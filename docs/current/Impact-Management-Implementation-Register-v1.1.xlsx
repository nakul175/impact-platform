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4b45340a64498d" /></Relationships>
</file>

<file path=xl/workbook.xml><?xml version="1.0" encoding="utf-8"?>
<x:workbook xmlns:x="http://schemas.openxmlformats.org/spreadsheetml/2006/main">
  <x:sheets>
    <x:sheet xmlns:r="http://schemas.openxmlformats.org/officeDocument/2006/relationships" name="Overview" sheetId="1" r:id="R565f5210236b4c75"/>
    <x:sheet xmlns:r="http://schemas.openxmlformats.org/officeDocument/2006/relationships" name="Requirements" sheetId="2" r:id="Rbb679224b6b84b10"/>
    <x:sheet xmlns:r="http://schemas.openxmlformats.org/officeDocument/2006/relationships" name="Foundations" sheetId="3" r:id="Rf0f4c332eacf4585"/>
    <x:sheet xmlns:r="http://schemas.openxmlformats.org/officeDocument/2006/relationships" name="Work packages" sheetId="4" r:id="R4f8a3abd6daf4ae1"/>
    <x:sheet xmlns:r="http://schemas.openxmlformats.org/officeDocument/2006/relationships" name="API operations" sheetId="5" r:id="Ra6b7554f5aef4fe2"/>
    <x:sheet xmlns:r="http://schemas.openxmlformats.org/officeDocument/2006/relationships" name="Role templates" sheetId="6" r:id="Rdfe4ad2182e04a5c"/>
    <x:sheet xmlns:r="http://schemas.openxmlformats.org/officeDocument/2006/relationships" name="Threats" sheetId="7" r:id="Rcc8e98ad73674ab2"/>
    <x:sheet xmlns:r="http://schemas.openxmlformats.org/officeDocument/2006/relationships" name="UI screens" sheetId="8" r:id="R28635f22c1a444be"/>
    <x:sheet xmlns:r="http://schemas.openxmlformats.org/officeDocument/2006/relationships" name="Release gates" sheetId="9" r:id="Rc632a5ac100b4a77"/>
    <x:sheet xmlns:r="http://schemas.openxmlformats.org/officeDocument/2006/relationships" name="Deployment inputs" sheetId="10" r:id="R9f34fcb9e42d4b7a"/>
    <x:sheet xmlns:r="http://schemas.openxmlformats.org/officeDocument/2006/relationships" name="Current API" sheetId="11" r:id="R16a54b6da4f94da1"/>
    <x:sheet xmlns:r="http://schemas.openxmlformats.org/officeDocument/2006/relationships" name="Execution records" sheetId="12" r:id="R4449c9b22cc3435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0"/>
      <x:color rgb="FF17283B"/>
      <x:name val="Arial"/>
    </x:font>
    <x:font>
      <x:b/>
      <x:sz val="16"/>
      <x:color rgb="FF17283B"/>
      <x:name val="Arial"/>
    </x:font>
    <x:font>
      <x:b/>
      <x:sz val="10"/>
      <x:color rgb="FFFFFFFF"/>
      <x:name val="Arial"/>
    </x:font>
    <x:font>
      <x:sz val="10"/>
      <x:color rgb="FF1F4E79"/>
      <x:name val="Arial"/>
    </x:font>
    <x:font>
      <x:sz val="11"/>
      <x:color rgb="FF17283B"/>
      <x:name val="Arial"/>
    </x:font>
    <x:font>
      <x:b/>
      <x:sz val="11"/>
      <x:color rgb="FF17283B"/>
      <x:name val="Arial"/>
    </x:font>
    <x:font>
      <x:sz val="11"/>
      <x:name val="Arial"/>
    </x:font>
    <x:font>
      <x:sz val="10"/>
      <x:name val="Arial"/>
    </x:font>
    <x:font>
      <x:sz val="10"/>
      <x:color rgb="FFFFFFFF"/>
      <x:name val="Arial"/>
    </x:font>
    <x:font>
      <x:sz val="14"/>
      <x:name val="Arial"/>
    </x:font>
    <x:font>
      <x:b/>
      <x:sz val="14"/>
      <x:name val="Arial"/>
    </x:font>
  </x:fonts>
  <x:fills count="6">
    <x:fill>
      <x:patternFill patternType="none"/>
    </x:fill>
    <x:fill>
      <x:patternFill patternType="gray125"/>
    </x:fill>
    <x:fill>
      <x:patternFill patternType="solid">
        <x:fgColor rgb="FF17283B"/>
      </x:patternFill>
    </x:fill>
    <x:fill>
      <x:patternFill patternType="solid">
        <x:fgColor rgb="FFFFF3D0"/>
      </x:patternFill>
    </x:fill>
    <x:fill>
      <x:patternFill patternType="solid">
        <x:fgColor rgb="FFE8EDF2"/>
      </x:patternFill>
    </x:fill>
    <x:fill>
      <x:patternFill patternType="solid">
        <x:fgColor rgb="FF182B3D"/>
      </x:patternFill>
    </x:fill>
  </x:fills>
  <x:borders count="2">
    <x:border/>
    <x:border>
      <x:bottom style="thin">
        <x:color rgb="FFAABAC7"/>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0" borderId="0" xfId="0" applyNumberFormat="1" applyFont="1" applyFill="1" applyBorder="1"/>
    <x:xf numFmtId="0" fontId="5" fillId="2"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0" fontId="0" fillId="0" borderId="0" xfId="0" applyNumberFormat="1" applyFont="1" applyFill="1" applyBorder="1" applyAlignment="1">
      <x:alignment wrapText="1"/>
    </x:xf>
    <x:xf numFmtId="0" fontId="7" fillId="0"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vertical="center"/>
    </x:xf>
    <x:xf numFmtId="0" fontId="8" fillId="5" borderId="0" xfId="0" applyNumberFormat="1" applyFont="1" applyFill="1" applyBorder="1" applyAlignment="1">
      <x:alignment vertical="center"/>
    </x:xf>
    <x:xf numFmtId="0" fontId="9" fillId="5" borderId="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dxfs count="1">
    <x:dxf>
      <x:fill>
        <x:patternFill>
          <x:bgColor rgb="FFF5D6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19fc1af4d24b6f" /><Relationship Type="http://schemas.openxmlformats.org/officeDocument/2006/relationships/theme" Target="/xl/theme/theme1.xml" Id="R89300eec1c7344ea" /><Relationship Type="http://schemas.openxmlformats.org/officeDocument/2006/relationships/sharedStrings" Target="/xl/sharedStrings.xml" Id="R7dd04e680dab42c0" /><Relationship Type="http://schemas.openxmlformats.org/officeDocument/2006/relationships/worksheet" Target="/xl/worksheets/sheet1.xml" Id="R565f5210236b4c75" /><Relationship Type="http://schemas.openxmlformats.org/officeDocument/2006/relationships/worksheet" Target="/xl/worksheets/sheet2.xml" Id="Rbb679224b6b84b10" /><Relationship Type="http://schemas.openxmlformats.org/officeDocument/2006/relationships/worksheet" Target="/xl/worksheets/sheet3.xml" Id="Rf0f4c332eacf4585" /><Relationship Type="http://schemas.openxmlformats.org/officeDocument/2006/relationships/worksheet" Target="/xl/worksheets/sheet4.xml" Id="R4f8a3abd6daf4ae1" /><Relationship Type="http://schemas.openxmlformats.org/officeDocument/2006/relationships/worksheet" Target="/xl/worksheets/sheet5.xml" Id="Ra6b7554f5aef4fe2" /><Relationship Type="http://schemas.openxmlformats.org/officeDocument/2006/relationships/worksheet" Target="/xl/worksheets/sheet6.xml" Id="Rdfe4ad2182e04a5c" /><Relationship Type="http://schemas.openxmlformats.org/officeDocument/2006/relationships/worksheet" Target="/xl/worksheets/sheet7.xml" Id="Rcc8e98ad73674ab2" /><Relationship Type="http://schemas.openxmlformats.org/officeDocument/2006/relationships/worksheet" Target="/xl/worksheets/sheet8.xml" Id="R28635f22c1a444be" /><Relationship Type="http://schemas.openxmlformats.org/officeDocument/2006/relationships/worksheet" Target="/xl/worksheets/sheet9.xml" Id="Rc632a5ac100b4a77" /><Relationship Type="http://schemas.openxmlformats.org/officeDocument/2006/relationships/worksheet" Target="/xl/worksheets/sheet10.xml" Id="R9f34fcb9e42d4b7a" /><Relationship Type="http://schemas.openxmlformats.org/officeDocument/2006/relationships/worksheet" Target="/xl/worksheets/sheet11.xml" Id="R16a54b6da4f94da1" /><Relationship Type="http://schemas.openxmlformats.org/officeDocument/2006/relationships/worksheet" Target="/xl/worksheets/sheet12.xml" Id="R4449c9b22cc34351" /></Relationships>
</file>

<file path=xl/tables/table1.xml><?xml version="1.0" encoding="utf-8"?>
<x:table xmlns:x="http://schemas.openxmlformats.org/spreadsheetml/2006/main" id="1" name="RegisterRequirements" displayName="RegisterRequirements" ref="A6:N313" headerRowCount="1" totalsRowCount="0" totalsRowShown="0">
  <x:autoFilter ref="A6:N313"/>
  <x:tableColumns count="14">
    <x:tableColumn id="1" name="FSD requirement"/>
    <x:tableColumn id="2" name="Release"/>
    <x:tableColumn id="3" name="Priority"/>
    <x:tableColumn id="4" name="Package"/>
    <x:tableColumn id="5" name="Requirement"/>
    <x:tableColumn id="6" name="Owner role"/>
    <x:tableColumn id="7" name="Status"/>
    <x:tableColumn id="8" name="Assignee"/>
    <x:tableColumn id="9" name="Implementation behaviour"/>
    <x:tableColumn id="10" name="Invalid and recovery behaviour"/>
    <x:tableColumn id="11" name="Acceptance evidence required"/>
    <x:tableColumn id="12" name="Test cases"/>
    <x:tableColumn id="13" name="Evidence link or run ID"/>
    <x:tableColumn id="14" name="Completion"/>
  </x:tableColumns>
  <x:tableStyleInfo name="TableStyleMedium2" showFirstColumn="0" showLastColumn="0" showRowStripes="1" showColumnStripes="0"/>
</x:table>
</file>

<file path=xl/tables/table2.xml><?xml version="1.0" encoding="utf-8"?>
<x:table xmlns:x="http://schemas.openxmlformats.org/spreadsheetml/2006/main" id="2" name="RegisterFoundations" displayName="RegisterFoundations" ref="A6:F16" headerRowCount="1" totalsRowCount="0" totalsRowShown="0">
  <x:autoFilter ref="A6:F16"/>
  <x:tableColumns count="6">
    <x:tableColumn id="1" name="Task"/>
    <x:tableColumn id="2" name="Deliverable"/>
    <x:tableColumn id="3" name="Acceptance"/>
    <x:tableColumn id="4" name="Status"/>
    <x:tableColumn id="5" name="Assignee"/>
    <x:tableColumn id="6" name="Evidence"/>
  </x:tableColumns>
  <x:tableStyleInfo name="TableStyleMedium2" showFirstColumn="0" showLastColumn="0" showRowStripes="1" showColumnStripes="0"/>
</x:table>
</file>

<file path=xl/tables/table3.xml><?xml version="1.0" encoding="utf-8"?>
<x:table xmlns:x="http://schemas.openxmlformats.org/spreadsheetml/2006/main" id="3" name="RegisterWorkpackages" displayName="RegisterWorkpackages" ref="A6:G24" headerRowCount="1" totalsRowCount="0" totalsRowShown="0">
  <x:autoFilter ref="A6:G24"/>
  <x:tableColumns count="7">
    <x:tableColumn id="1" name="Package"/>
    <x:tableColumn id="2" name="Title"/>
    <x:tableColumn id="3" name="Owner role"/>
    <x:tableColumn id="4" name="Dependencies"/>
    <x:tableColumn id="5" name="Requirements"/>
    <x:tableColumn id="6" name="Complete"/>
    <x:tableColumn id="7" name="Outcome"/>
  </x:tableColumns>
  <x:tableStyleInfo name="TableStyleMedium2" showFirstColumn="0" showLastColumn="0" showRowStripes="1" showColumnStripes="0"/>
</x:table>
</file>

<file path=xl/tables/table4.xml><?xml version="1.0" encoding="utf-8"?>
<x:table xmlns:x="http://schemas.openxmlformats.org/spreadsheetml/2006/main" id="4" name="RegisterAPIoperations" displayName="RegisterAPIoperations" ref="A6:I241" headerRowCount="1" totalsRowCount="0" totalsRowShown="0">
  <x:autoFilter ref="A6:I241"/>
  <x:tableColumns count="9">
    <x:tableColumn id="1" name="Operation"/>
    <x:tableColumn id="2" name="Method"/>
    <x:tableColumn id="3" name="Route"/>
    <x:tableColumn id="4" name="Capability"/>
    <x:tableColumn id="5" name="Role templates"/>
    <x:tableColumn id="6" name="Assurance seconds"/>
    <x:tableColumn id="7" name="Independent actor"/>
    <x:tableColumn id="8" name="Purpose required"/>
    <x:tableColumn id="9" name="Audit required"/>
  </x:tableColumns>
  <x:tableStyleInfo name="TableStyleMedium2" showFirstColumn="0" showLastColumn="0" showRowStripes="1" showColumnStripes="0"/>
</x:table>
</file>

<file path=xl/tables/table5.xml><?xml version="1.0" encoding="utf-8"?>
<x:table xmlns:x="http://schemas.openxmlformats.org/spreadsheetml/2006/main" id="5" name="RegisterRoletemplates" displayName="RegisterRoletemplates" ref="A6:P189" headerRowCount="1" totalsRowCount="0" totalsRowShown="0">
  <x:autoFilter ref="A6:P189"/>
  <x:tableColumns count="16">
    <x:tableColumn id="1" name="Capability"/>
    <x:tableColumn id="2" name="OWNER"/>
    <x:tableColumn id="3" name="TENANT_ADMIN"/>
    <x:tableColumn id="4" name="MEL_ADMIN"/>
    <x:tableColumn id="5" name="PROGRAMME_MANAGER"/>
    <x:tableColumn id="6" name="AUTHOR"/>
    <x:tableColumn id="7" name="REVIEWER"/>
    <x:tableColumn id="8" name="ENUMERATOR"/>
    <x:tableColumn id="9" name="DATA_STEWARD"/>
    <x:tableColumn id="10" name="ANALYST"/>
    <x:tableColumn id="11" name="FINANCE"/>
    <x:tableColumn id="12" name="PRIVACY"/>
    <x:tableColumn id="13" name="OPERATOR"/>
    <x:tableColumn id="14" name="SUPPORT"/>
    <x:tableColumn id="15" name="SERVICE"/>
    <x:tableColumn id="16" name="EXTERNAL"/>
  </x:tableColumns>
  <x:tableStyleInfo name="TableStyleMedium2" showFirstColumn="0" showLastColumn="0" showRowStripes="1" showColumnStripes="0"/>
</x:table>
</file>

<file path=xl/tables/table6.xml><?xml version="1.0" encoding="utf-8"?>
<x:table xmlns:x="http://schemas.openxmlformats.org/spreadsheetml/2006/main" id="6" name="RegisterThreats" displayName="RegisterThreats" ref="A6:J38" headerRowCount="1" totalsRowCount="0" totalsRowShown="0">
  <x:autoFilter ref="A6:J38"/>
  <x:tableColumns count="10">
    <x:tableColumn id="1" name="Threat"/>
    <x:tableColumn id="2" name="Impact"/>
    <x:tableColumn id="3" name="Asset"/>
    <x:tableColumn id="4" name="Attack"/>
    <x:tableColumn id="5" name="Required control"/>
    <x:tableColumn id="6" name="Verification"/>
    <x:tableColumn id="7" name="Owner role"/>
    <x:tableColumn id="8" name="FSD references"/>
    <x:tableColumn id="9" name="Status"/>
    <x:tableColumn id="10" name="Evidence"/>
  </x:tableColumns>
  <x:tableStyleInfo name="TableStyleMedium2" showFirstColumn="0" showLastColumn="0" showRowStripes="1" showColumnStripes="0"/>
</x:table>
</file>

<file path=xl/tables/table7.xml><?xml version="1.0" encoding="utf-8"?>
<x:table xmlns:x="http://schemas.openxmlformats.org/spreadsheetml/2006/main" id="7" name="RegisterUIscreens" displayName="RegisterUIscreens" ref="A6:G36" headerRowCount="1" totalsRowCount="0" totalsRowShown="0">
  <x:autoFilter ref="A6:G36"/>
  <x:tableColumns count="7">
    <x:tableColumn id="1" name="Screen"/>
    <x:tableColumn id="2" name="Primary actor"/>
    <x:tableColumn id="3" name="Client route"/>
    <x:tableColumn id="4" name="Data"/>
    <x:tableColumn id="5" name="Actions"/>
    <x:tableColumn id="6" name="Interaction"/>
    <x:tableColumn id="7" name="Guard"/>
  </x:tableColumns>
  <x:tableStyleInfo name="TableStyleMedium2" showFirstColumn="0" showLastColumn="0" showRowStripes="1" showColumnStripes="0"/>
</x:table>
</file>

<file path=xl/tables/table8.xml><?xml version="1.0" encoding="utf-8"?>
<x:table xmlns:x="http://schemas.openxmlformats.org/spreadsheetml/2006/main" id="8" name="RegisterReleasegates" displayName="RegisterReleasegates" ref="A6:F20" headerRowCount="1" totalsRowCount="0" totalsRowShown="0">
  <x:autoFilter ref="A6:F20"/>
  <x:tableColumns count="6">
    <x:tableColumn id="1" name="Gate"/>
    <x:tableColumn id="2" name="Criterion"/>
    <x:tableColumn id="3" name="Owner role"/>
    <x:tableColumn id="4" name="Status"/>
    <x:tableColumn id="5" name="Evidence"/>
    <x:tableColumn id="6" name="Qualification"/>
  </x:tableColumns>
  <x:tableStyleInfo name="TableStyleMedium2" showFirstColumn="0" showLastColumn="0" showRowStripes="1" showColumnStripes="0"/>
</x:table>
</file>

<file path=xl/tables/table9.xml><?xml version="1.0" encoding="utf-8"?>
<x:table xmlns:x="http://schemas.openxmlformats.org/spreadsheetml/2006/main" id="9" name="RegisterDeploymentinputs" displayName="RegisterDeploymentinputs" ref="A6:E23" headerRowCount="1" totalsRowCount="0" totalsRowShown="0">
  <x:autoFilter ref="A6:E23"/>
  <x:tableColumns count="5">
    <x:tableColumn id="1" name="Input"/>
    <x:tableColumn id="2" name="Meaning"/>
    <x:tableColumn id="3" name="Owner role"/>
    <x:tableColumn id="4" name="Status"/>
    <x:tableColumn id="5" name="Configuration reference or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104cf0d14748d8" /></Relationships>
</file>

<file path=xl/worksheets/_rels/sheet3.xml.rels>&#65279;<?xml version="1.0" encoding="utf-8"?><Relationships xmlns="http://schemas.openxmlformats.org/package/2006/relationships"><Relationship Type="http://schemas.openxmlformats.org/officeDocument/2006/relationships/table" Target="/xl/tables/table2.xml" Id="Refea54ff46ec4099" /></Relationships>
</file>

<file path=xl/worksheets/_rels/sheet4.xml.rels>&#65279;<?xml version="1.0" encoding="utf-8"?><Relationships xmlns="http://schemas.openxmlformats.org/package/2006/relationships"><Relationship Type="http://schemas.openxmlformats.org/officeDocument/2006/relationships/table" Target="/xl/tables/table3.xml" Id="Rd94ac981fc514585" /></Relationships>
</file>

<file path=xl/worksheets/_rels/sheet5.xml.rels>&#65279;<?xml version="1.0" encoding="utf-8"?><Relationships xmlns="http://schemas.openxmlformats.org/package/2006/relationships"><Relationship Type="http://schemas.openxmlformats.org/officeDocument/2006/relationships/table" Target="/xl/tables/table4.xml" Id="Rf3bf92ff86aa4a9e" /></Relationships>
</file>

<file path=xl/worksheets/_rels/sheet6.xml.rels>&#65279;<?xml version="1.0" encoding="utf-8"?><Relationships xmlns="http://schemas.openxmlformats.org/package/2006/relationships"><Relationship Type="http://schemas.openxmlformats.org/officeDocument/2006/relationships/table" Target="/xl/tables/table5.xml" Id="R33116ce2629642f7" /></Relationships>
</file>

<file path=xl/worksheets/_rels/sheet7.xml.rels>&#65279;<?xml version="1.0" encoding="utf-8"?><Relationships xmlns="http://schemas.openxmlformats.org/package/2006/relationships"><Relationship Type="http://schemas.openxmlformats.org/officeDocument/2006/relationships/table" Target="/xl/tables/table6.xml" Id="R5e3b7bd947a34ede" /></Relationships>
</file>

<file path=xl/worksheets/_rels/sheet8.xml.rels>&#65279;<?xml version="1.0" encoding="utf-8"?><Relationships xmlns="http://schemas.openxmlformats.org/package/2006/relationships"><Relationship Type="http://schemas.openxmlformats.org/officeDocument/2006/relationships/table" Target="/xl/tables/table7.xml" Id="R66a4fa41e15646ba" /></Relationships>
</file>

<file path=xl/worksheets/_rels/sheet9.xml.rels>&#65279;<?xml version="1.0" encoding="utf-8"?><Relationships xmlns="http://schemas.openxmlformats.org/package/2006/relationships"><Relationship Type="http://schemas.openxmlformats.org/officeDocument/2006/relationships/table" Target="/xl/tables/table8.xml" Id="R0de00ef8632a4d66" /></Relationships>
</file>

<file path=xl/worksheets/_rels/sheet10.xml.rels>&#65279;<?xml version="1.0" encoding="utf-8"?><Relationships xmlns="http://schemas.openxmlformats.org/package/2006/relationships"><Relationship Type="http://schemas.openxmlformats.org/officeDocument/2006/relationships/table" Target="/xl/tables/table9.xml" Id="R76027702fa0a4702" /></Relationships>
</file>

<file path=xl/worksheets/sheet1.xml><?xml version="1.0" encoding="utf-8"?>
<x:worksheet xmlns:x="http://schemas.openxmlformats.org/spreadsheetml/2006/main">
  <x:sheetPr>
    <x:tabColor rgb="FF17283B"/>
  </x:sheetPr>
  <x:sheetViews>
    <x:sheetView showGridLines="0" workbookViewId="0"/>
  </x:sheetViews>
  <x:sheetFormatPr defaultRowHeight="15"/>
  <x:cols>
    <x:col min="1" max="1" width="34" hidden="0" customWidth="1"/>
    <x:col min="2" max="2" width="21" hidden="0" customWidth="1"/>
    <x:col min="3" max="3" width="21" hidden="0" customWidth="1"/>
    <x:col min="4" max="4" width="21" hidden="0" customWidth="1"/>
    <x:col min="5" max="5" width="21" hidden="0" customWidth="1"/>
    <x:col min="6" max="6" width="21" hidden="0" customWidth="1"/>
  </x:cols>
  <x:sheetData>
    <x:row r="1">
      <x:c r="A1" s="13"/>
      <x:c r="B1" s="13"/>
      <x:c r="C1" s="13"/>
      <x:c r="D1" s="13"/>
      <x:c r="E1" s="13"/>
      <x:c r="F1" s="13"/>
    </x:row>
    <x:row r="2" ht="32" customHeight="1">
      <x:c r="A2" s="2" t="str">
        <x:v>Impact Management Implementation Register</x:v>
      </x:c>
      <x:c r="B2" s="13"/>
      <x:c r="C2" s="13"/>
      <x:c r="D2" s="13"/>
      <x:c r="E2" s="13"/>
      <x:c r="F2" s="13"/>
    </x:row>
    <x:row r="3">
      <x:c r="A3" s="13"/>
      <x:c r="B3" s="13"/>
      <x:c r="C3" s="13"/>
      <x:c r="D3" s="13"/>
      <x:c r="E3" s="13"/>
      <x:c r="F3" s="13"/>
    </x:row>
    <x:row r="4">
      <x:c r="A4" s="13" t="str">
        <x:v>Version 1.1 | 27 September 2026 | Application 0.12.0</x:v>
      </x:c>
      <x:c r="B4" s="13"/>
      <x:c r="C4" s="13"/>
      <x:c r="D4" s="13"/>
      <x:c r="E4" s="13"/>
      <x:c r="F4" s="13"/>
    </x:row>
    <x:row r="5">
      <x:c r="A5" s="13"/>
      <x:c r="B5" s="13"/>
      <x:c r="C5" s="13"/>
      <x:c r="D5" s="13"/>
      <x:c r="E5" s="13"/>
      <x:c r="F5" s="13"/>
    </x:row>
    <x:row r="6" ht="36" customHeight="1">
      <x:c r="A6" s="6" t="str">
        <x:v>Release</x:v>
      </x:c>
      <x:c r="B6" s="6" t="str">
        <x:v>Requirements</x:v>
      </x:c>
      <x:c r="C6" s="6" t="str">
        <x:v>Complete</x:v>
      </x:c>
      <x:c r="D6" s="6" t="str">
        <x:v>In progress</x:v>
      </x:c>
      <x:c r="E6" s="6" t="str">
        <x:v>Blocked</x:v>
      </x:c>
      <x:c r="F6" s="6" t="str">
        <x:v>Done missing proof</x:v>
      </x:c>
    </x:row>
    <x:row r="7" ht="29" customHeight="1">
      <x:c r="A7" s="13" t="str">
        <x:v>R1</x:v>
      </x:c>
      <x:c r="B7" s="13" t="n">
        <x:f>COUNTIF(Requirements!$B$7:$B$313,A7)</x:f>
        <x:v>256</x:v>
      </x:c>
      <x:c r="C7" s="13" t="n">
        <x:f>COUNTIFS(Requirements!$B$7:$B$313,A7,Requirements!$N$7:$N$313,"Complete")</x:f>
        <x:v>0</x:v>
      </x:c>
      <x:c r="D7" s="13" t="n">
        <x:f>COUNTIFS(Requirements!$B$7:$B$313,A7,Requirements!$G$7:$G$313,"In progress")</x:f>
        <x:v>73</x:v>
      </x:c>
      <x:c r="E7" s="13" t="n">
        <x:f>COUNTIFS(Requirements!$B$7:$B$313,A7,Requirements!$G$7:$G$313,"Blocked")</x:f>
        <x:v>0</x:v>
      </x:c>
      <x:c r="F7" s="13" t="n">
        <x:f>COUNTIFS(Requirements!$B$7:$B$313,A7,Requirements!$N$7:$N$313,"Evidence required")</x:f>
        <x:v>0</x:v>
      </x:c>
    </x:row>
    <x:row r="8" ht="29" customHeight="1">
      <x:c r="A8" s="13" t="str">
        <x:v>R2</x:v>
      </x:c>
      <x:c r="B8" s="13" t="n">
        <x:f>COUNTIF(Requirements!$B$7:$B$313,A8)</x:f>
        <x:v>45</x:v>
      </x:c>
      <x:c r="C8" s="13" t="n">
        <x:f>COUNTIFS(Requirements!$B$7:$B$313,A8,Requirements!$N$7:$N$313,"Complete")</x:f>
        <x:v>0</x:v>
      </x:c>
      <x:c r="D8" s="13" t="n">
        <x:f>COUNTIFS(Requirements!$B$7:$B$313,A8,Requirements!$G$7:$G$313,"In progress")</x:f>
        <x:v>1</x:v>
      </x:c>
      <x:c r="E8" s="13" t="n">
        <x:f>COUNTIFS(Requirements!$B$7:$B$313,A8,Requirements!$G$7:$G$313,"Blocked")</x:f>
        <x:v>0</x:v>
      </x:c>
      <x:c r="F8" s="13" t="n">
        <x:f>COUNTIFS(Requirements!$B$7:$B$313,A8,Requirements!$N$7:$N$313,"Evidence required")</x:f>
        <x:v>0</x:v>
      </x:c>
    </x:row>
    <x:row r="9" ht="29" customHeight="1">
      <x:c r="A9" s="13" t="str">
        <x:v>R3</x:v>
      </x:c>
      <x:c r="B9" s="13" t="n">
        <x:f>COUNTIF(Requirements!$B$7:$B$313,A9)</x:f>
        <x:v>6</x:v>
      </x:c>
      <x:c r="C9" s="13" t="n">
        <x:f>COUNTIFS(Requirements!$B$7:$B$313,A9,Requirements!$N$7:$N$313,"Complete")</x:f>
        <x:v>0</x:v>
      </x:c>
      <x:c r="D9" s="13" t="n">
        <x:f>COUNTIFS(Requirements!$B$7:$B$313,A9,Requirements!$G$7:$G$313,"In progress")</x:f>
        <x:v>0</x:v>
      </x:c>
      <x:c r="E9" s="13" t="n">
        <x:f>COUNTIFS(Requirements!$B$7:$B$313,A9,Requirements!$G$7:$G$313,"Blocked")</x:f>
        <x:v>0</x:v>
      </x:c>
      <x:c r="F9" s="13" t="n">
        <x:f>COUNTIFS(Requirements!$B$7:$B$313,A9,Requirements!$N$7:$N$313,"Evidence required")</x:f>
        <x:v>0</x:v>
      </x:c>
    </x:row>
    <x:row r="10" ht="29" customHeight="1">
      <x:c r="A10" s="16" t="str">
        <x:v>All requirements</x:v>
      </x:c>
      <x:c r="B10" s="16" t="n">
        <x:f>SUM(B7:B9)</x:f>
        <x:v>307</x:v>
      </x:c>
      <x:c r="C10" s="16" t="n">
        <x:f>SUM(C7:C9)</x:f>
        <x:v>0</x:v>
      </x:c>
      <x:c r="D10" s="16" t="n">
        <x:f>SUM(D7:D9)</x:f>
        <x:v>74</x:v>
      </x:c>
      <x:c r="E10" s="16" t="n">
        <x:f>SUM(E7:E9)</x:f>
        <x:v>0</x:v>
      </x:c>
      <x:c r="F10" s="16" t="n">
        <x:f>SUM(F7:F9)</x:f>
        <x:v>0</x:v>
      </x:c>
    </x:row>
    <x:row r="11">
      <x:c r="A11" s="13"/>
      <x:c r="B11" s="13"/>
      <x:c r="C11" s="13"/>
      <x:c r="D11" s="13"/>
      <x:c r="E11" s="13"/>
      <x:c r="F11" s="13"/>
    </x:row>
    <x:row r="12">
      <x:c r="A12" s="13"/>
      <x:c r="B12" s="13"/>
      <x:c r="C12" s="13"/>
      <x:c r="D12" s="13"/>
      <x:c r="E12" s="13"/>
      <x:c r="F12" s="13"/>
    </x:row>
    <x:row r="13" ht="28" customHeight="1">
      <x:c r="A13" s="13" t="str">
        <x:v>Release gates</x:v>
      </x:c>
      <x:c r="B13" s="13" t="n">
        <x:f>ROWS('Release gates'!A7:A20)</x:f>
        <x:v>14</x:v>
      </x:c>
      <x:c r="C13" s="13"/>
      <x:c r="D13" s="13"/>
      <x:c r="E13" s="13"/>
      <x:c r="F13" s="13"/>
    </x:row>
    <x:row r="14" ht="28" customHeight="1">
      <x:c r="A14" s="13" t="str">
        <x:v>Qualified gates</x:v>
      </x:c>
      <x:c r="B14" s="13" t="n">
        <x:f>COUNTIF('Release gates'!F7:F20,"Qualified")</x:f>
        <x:v>0</x:v>
      </x:c>
      <x:c r="C14" s="13"/>
      <x:c r="D14" s="13"/>
      <x:c r="E14" s="13"/>
      <x:c r="F14" s="13"/>
    </x:row>
    <x:row r="15" ht="28" customHeight="1">
      <x:c r="A15" s="13" t="str">
        <x:v>Threats requiring verification</x:v>
      </x:c>
      <x:c r="B15" s="13" t="n">
        <x:f>ROWS(Threats!I7:I38)-COUNTIF(Threats!I7:I38,"Mitigated and verified")</x:f>
        <x:v>32</x:v>
      </x:c>
      <x:c r="C15" s="13"/>
      <x:c r="D15" s="13"/>
      <x:c r="E15" s="13"/>
      <x:c r="F15" s="13"/>
    </x:row>
    <x:row r="16" ht="28" customHeight="1">
      <x:c r="A16" s="13" t="str">
        <x:v>Screens (30 baseline + 4 current)</x:v>
      </x:c>
      <x:c r="B16" s="13" t="n">
        <x:f>COUNTA('UI screens'!A7:A40)</x:f>
        <x:v>34</x:v>
      </x:c>
      <x:c r="C16" s="13"/>
      <x:c r="D16" s="13"/>
      <x:c r="E16" s="13"/>
      <x:c r="F16" s="13"/>
    </x:row>
    <x:row r="17">
      <x:c r="A17" s="13"/>
      <x:c r="B17" s="13"/>
      <x:c r="C17" s="13"/>
      <x:c r="D17" s="13"/>
      <x:c r="E17" s="13"/>
      <x:c r="F17" s="13"/>
    </x:row>
    <x:row r="18">
      <x:c r="A18" s="13"/>
      <x:c r="B18" s="13"/>
      <x:c r="C18" s="13"/>
      <x:c r="D18" s="13"/>
      <x:c r="E18" s="13"/>
      <x:c r="F18" s="13"/>
    </x:row>
    <x:row r="19" ht="24" customHeight="1">
      <x:c r="A19" s="13" t="str">
        <x:v>307 baseline requirements retained: 74 PARTIAL, 233 PENDING; none fully accepted.</x:v>
      </x:c>
      <x:c r="B19" s="13"/>
      <x:c r="C19" s="13"/>
      <x:c r="D19" s="13"/>
      <x:c r="E19" s="13"/>
      <x:c r="F19" s="13"/>
    </x:row>
    <x:row r="20" ht="24" customHeight="1">
      <x:c r="A20" s="13" t="str">
        <x:v>Named assignees and acceptance remain open. Current assessments are in Requirements.</x:v>
      </x:c>
      <x:c r="B20" s="13"/>
      <x:c r="C20" s="13"/>
      <x:c r="D20" s="13"/>
      <x:c r="E20" s="13"/>
      <x:c r="F20" s="13"/>
    </x:row>
    <x:row r="21" ht="24" customHeight="1">
      <x:c r="A21" s="13" t="str">
        <x:v>A role template alone does not grant access.</x:v>
      </x:c>
      <x:c r="B21" s="13"/>
      <x:c r="C21" s="13"/>
      <x:c r="D21" s="13"/>
      <x:c r="E21" s="13"/>
      <x:c r="F21" s="13"/>
    </x:row>
    <x:row r="22" ht="24" customHeight="1">
      <x:c r="A22" s="13" t="str">
        <x:v>0.12 evidence: 325 application, 143 reference and 81 browser checks.</x:v>
      </x:c>
      <x:c r="B22" s="13"/>
      <x:c r="C22" s="13"/>
      <x:c r="D22" s="13"/>
      <x:c r="E22" s="13"/>
      <x:c r="F22" s="13"/>
    </x:row>
    <x:row r="23" ht="24" customHeight="1">
      <x:c r="A23" s="13" t="str">
        <x:v>Source: preserved FSD requirements, documentation 1.1 and build 0.12 evidence.</x:v>
      </x:c>
      <x:c r="B23" s="13"/>
      <x:c r="C23" s="13"/>
      <x:c r="D23" s="13"/>
      <x:c r="E23" s="13"/>
      <x:c r="F23" s="13"/>
    </x:row>
    <x:row r="24">
      <x:c r="A24" s="13"/>
      <x:c r="B24" s="13"/>
      <x:c r="C24" s="13"/>
      <x:c r="D24" s="13"/>
      <x:c r="E24" s="13"/>
      <x:c r="F24" s="13"/>
    </x:row>
    <x:row r="25" ht="30" customHeight="1">
      <x:c r="A25" s="29" t="str">
        <x:v>Current executed checks</x:v>
      </x:c>
      <x:c r="B25" s="29" t="str">
        <x:v>Application</x:v>
      </x:c>
      <x:c r="C25" s="29" t="str">
        <x:v>Browser</x:v>
      </x:c>
      <x:c r="D25" s="29" t="str">
        <x:v>Reference assertions</x:v>
      </x:c>
      <x:c r="E25" s="13"/>
      <x:c r="F25" s="13"/>
    </x:row>
    <x:row r="26" ht="30" customHeight="1">
      <x:c r="A26" s="13"/>
      <x:c r="B26" s="13" t="n">
        <x:f>COUNTIFS('Execution records'!$B$7:$B$413,"Application",'Execution records'!$D$7:$D$413,"Pass")</x:f>
        <x:v>325</x:v>
      </x:c>
      <x:c r="C26" s="13" t="n">
        <x:f>COUNTIFS('Execution records'!$B$7:$B$413,"Browser",'Execution records'!$D$7:$D$413,"Pass")</x:f>
        <x:v>81</x:v>
      </x:c>
      <x:c r="D26" s="13" t="n">
        <x:v>143</x:v>
      </x:c>
      <x:c r="E26" s="13"/>
      <x:c r="F26" s="13"/>
    </x:row>
    <x:row r="27">
      <x:c r="A27" s="13"/>
      <x:c r="B27" s="13"/>
      <x:c r="C27" s="13"/>
      <x:c r="D27" s="13"/>
      <x:c r="E27" s="13"/>
      <x:c r="F27" s="13"/>
    </x:row>
    <x:row r="28">
      <x:c r="A28" s="13"/>
      <x:c r="B28" s="13"/>
      <x:c r="C28" s="13"/>
      <x:c r="D28" s="13"/>
      <x:c r="E28" s="13"/>
      <x:c r="F28"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2" hidden="0" customWidth="1"/>
    <x:col min="2" max="2" width="10" hidden="0" customWidth="1"/>
    <x:col min="3" max="3" width="10" hidden="0" customWidth="1"/>
    <x:col min="4" max="4" width="12" hidden="0" customWidth="1"/>
    <x:col min="5" max="5" width="39" hidden="0" customWidth="1"/>
    <x:col min="6" max="6" width="27" hidden="0" customWidth="1"/>
    <x:col min="7" max="7" width="18" hidden="0" customWidth="1"/>
    <x:col min="8" max="8" width="24" hidden="0" customWidth="1"/>
    <x:col min="9" max="9" width="86" hidden="0" customWidth="1"/>
    <x:col min="10" max="10" width="86" hidden="0" customWidth="1"/>
    <x:col min="11" max="11" width="90" hidden="0" customWidth="1"/>
    <x:col min="12" max="12" width="43" hidden="0" customWidth="1"/>
    <x:col min="13" max="13" width="50" hidden="0" customWidth="1"/>
    <x:col min="14" max="14" width="24" hidden="0" customWidth="1"/>
    <x:col min="15" max="15" width="80" hidden="0" customWidth="1"/>
    <x:col min="16" max="16" width="18" hidden="0" customWidth="1"/>
  </x:cols>
  <x:sheetData>
    <x:row r="1">
      <x:c r="A1" s="1"/>
      <x:c r="B1" s="1"/>
      <x:c r="C1" s="1"/>
      <x:c r="D1" s="1"/>
      <x:c r="E1" s="1"/>
      <x:c r="F1" s="1"/>
      <x:c r="G1" s="1"/>
      <x:c r="H1" s="1"/>
      <x:c r="I1" s="1"/>
      <x:c r="J1" s="1"/>
      <x:c r="K1" s="1"/>
      <x:c r="L1" s="1"/>
      <x:c r="M1" s="1"/>
      <x:c r="N1" s="1"/>
    </x:row>
    <x:row r="2" ht="30" customHeight="1">
      <x:c r="A2" s="2" t="str">
        <x:v>Requirement implementation backlog</x:v>
      </x:c>
      <x:c r="B2" s="1"/>
      <x:c r="C2" s="1"/>
      <x:c r="D2" s="1"/>
      <x:c r="E2" s="1"/>
      <x:c r="F2" s="1"/>
      <x:c r="G2" s="1"/>
      <x:c r="H2" s="1"/>
      <x:c r="I2" s="1"/>
      <x:c r="J2" s="1"/>
      <x:c r="K2" s="1"/>
      <x:c r="L2" s="1"/>
      <x:c r="M2" s="1"/>
      <x:c r="N2" s="1"/>
    </x:row>
    <x:row r="3">
      <x:c r="A3" s="1"/>
      <x:c r="B3" s="1"/>
      <x:c r="C3" s="1"/>
      <x:c r="D3" s="1"/>
      <x:c r="E3" s="1"/>
      <x:c r="F3" s="1"/>
      <x:c r="G3" s="1"/>
      <x:c r="H3" s="1"/>
      <x:c r="I3" s="1"/>
      <x:c r="J3" s="1"/>
      <x:c r="K3" s="1"/>
      <x:c r="L3" s="1"/>
      <x:c r="M3" s="1"/>
      <x:c r="N3" s="1"/>
    </x:row>
    <x:row r="4" ht="22" customHeight="1">
      <x:c r="A4" s="1" t="str">
        <x:v>Edition 1.1 | 27 September 2026 | Original requirements retained; current coverage annotated.</x:v>
      </x:c>
      <x:c r="B4" s="1"/>
      <x:c r="C4" s="1"/>
      <x:c r="D4" s="1"/>
      <x:c r="E4" s="1"/>
      <x:c r="F4" s="1"/>
      <x:c r="G4" s="1"/>
      <x:c r="H4" s="1"/>
      <x:c r="I4" s="1"/>
      <x:c r="J4" s="1"/>
      <x:c r="K4" s="1"/>
      <x:c r="L4" s="1"/>
      <x:c r="M4" s="1"/>
      <x:c r="N4" s="1"/>
    </x:row>
    <x:row r="5">
      <x:c r="A5" s="3"/>
      <x:c r="B5" s="3"/>
      <x:c r="C5" s="3"/>
      <x:c r="D5" s="3"/>
      <x:c r="E5" s="3"/>
      <x:c r="F5" s="3"/>
      <x:c r="G5" s="3"/>
      <x:c r="H5" s="3"/>
      <x:c r="I5" s="3"/>
      <x:c r="J5" s="3"/>
      <x:c r="K5" s="3"/>
      <x:c r="L5" s="3"/>
      <x:c r="M5" s="3"/>
      <x:c r="N5" s="3"/>
    </x:row>
    <x:row r="6" ht="36" customHeight="1">
      <x:c r="A6" s="8" t="str">
        <x:v>FSD requirement</x:v>
      </x:c>
      <x:c r="B6" s="8" t="str">
        <x:v>Release</x:v>
      </x:c>
      <x:c r="C6" s="8" t="str">
        <x:v>Priority</x:v>
      </x:c>
      <x:c r="D6" s="8" t="str">
        <x:v>Package</x:v>
      </x:c>
      <x:c r="E6" s="8" t="str">
        <x:v>Requirement</x:v>
      </x:c>
      <x:c r="F6" s="8" t="str">
        <x:v>Owner role</x:v>
      </x:c>
      <x:c r="G6" s="8" t="str">
        <x:v>Status</x:v>
      </x:c>
      <x:c r="H6" s="8" t="str">
        <x:v>Assignee</x:v>
      </x:c>
      <x:c r="I6" s="8" t="str">
        <x:v>Implementation behaviour</x:v>
      </x:c>
      <x:c r="J6" s="8" t="str">
        <x:v>Invalid and recovery behaviour</x:v>
      </x:c>
      <x:c r="K6" s="8" t="str">
        <x:v>Acceptance evidence required</x:v>
      </x:c>
      <x:c r="L6" s="8" t="str">
        <x:v>Test cases</x:v>
      </x:c>
      <x:c r="M6" s="8" t="str">
        <x:v>Evidence link or run ID</x:v>
      </x:c>
      <x:c r="N6" s="8" t="str">
        <x:v>Completion</x:v>
      </x:c>
      <x:c r="O6" s="17" t="str">
        <x:v>Current assessment</x:v>
      </x:c>
      <x:c r="P6" s="17" t="str">
        <x:v>Ledger status</x:v>
      </x:c>
    </x:row>
    <x:row r="7" ht="64" customHeight="1">
      <x:c r="A7" s="10" t="str">
        <x:v>FR-TEN-001</x:v>
      </x:c>
      <x:c r="B7" s="10" t="str">
        <x:v>R1</x:v>
      </x:c>
      <x:c r="C7" s="10" t="str">
        <x:v>P0</x:v>
      </x:c>
      <x:c r="D7" s="10" t="str">
        <x:v>WP01</x:v>
      </x:c>
      <x:c r="E7" s="10" t="str">
        <x:v>Tenant lifecycle</x:v>
      </x:c>
      <x:c r="F7" s="10" t="str">
        <x:v>Identity lead</x:v>
      </x:c>
      <x:c r="G7" s="12" t="str">
        <x:v>In progress</x:v>
      </x:c>
      <x:c r="H7" s="12" t="str"/>
      <x:c r="I7" s="10" t="str">
        <x:v>An operator creates a requested tenant with an owner invitation and selected policy profile. Activation checks verified owner, recovery contact, region, retention and identity settings. Suspension previews scheduled writes, then pauses them while preserving policy permitted support and exit access.</x:v>
      </x:c>
      <x:c r="J7" s="10" t="str">
        <x:v>Reactivation rechecks expired grants and source credentials; it does not replay queued writes automatically. Closure follows the exit workflow and cannot skip holds.</x:v>
      </x:c>
      <x:c r="K7" s="10" t="str">
        <x:v>Suspend tenant A with a running import and a report schedule; accepted rows remain recorded, future writes stop at the cancellation boundary and tenant B continues normally.</x:v>
      </x:c>
      <x:c r="L7" s="10" t="str">
        <x:v>TC-TEN-001-01 / TC-TEN-001-02</x:v>
      </x:c>
      <x:c r="M7" s="12" t="str">
        <x:v>apps/api/impact_api/tenant_lifecycle.py; qualification/test_tenant_lifecycle.py; tools/browser/tenant-check.mjs; docs/RELEASE-0.10.md; apps/api/impact_api/access_bootstrap.py; qualification/test_access_bootstrap.py; tools/browser/bootstrap-check.mjs; docs/RELEASE-0.11.md; apps/api/impact_api/recovery_contacts.py; qualification/test_recovery_contacts.py; tools/browser/recovery-check.mjs; docs/RELEASE-0.12.md</x:v>
      </x:c>
      <x:c r="N7" s="10" t="str">
        <x:f>IF(G7="Done",IF(AND(LEN(H7)&gt;0,LEN(M7)&gt;0),"Complete","Evidence required"),"Open")</x:f>
        <x:v>Open</x:v>
      </x:c>
      <x:c r="O7" s="17" t="str">
        <x:v>v0.10–0.12 implement operator-requested profiles, owner acceptance, independent activation, readiness/impact checks, access fencing and durable work holds. Initial access now requires an owner proposal, separate administrator acceptance and independent operator approval of fixed capability/expiry ceilings; business grants still require separate review. Recovery-contact nomination, registered-account/MFA verification, independent approval, replacement/renewal, revocation and current eligibility now gate activation/reactivation. Partial: external channel verification/invitations, unavailable-owner recovery, authority renewal, support/exit access, workers, credential rechecks, archival/deletion and native concurrency remain open.</x:v>
      </x:c>
      <x:c r="P7" s="17" t="str">
        <x:v>PARTIAL</x:v>
      </x:c>
    </x:row>
    <x:row r="8" ht="64" customHeight="1">
      <x:c r="A8" s="10" t="str">
        <x:v>FR-TEN-002</x:v>
      </x:c>
      <x:c r="B8" s="10" t="str">
        <x:v>R1</x:v>
      </x:c>
      <x:c r="C8" s="10" t="str">
        <x:v>P0</x:v>
      </x:c>
      <x:c r="D8" s="10" t="str">
        <x:v>WP01</x:v>
      </x:c>
      <x:c r="E8" s="10" t="str">
        <x:v>Organisation structures</x:v>
      </x:c>
      <x:c r="F8" s="10" t="str">
        <x:v>Identity lead</x:v>
      </x:c>
      <x:c r="G8" s="12" t="str">
        <x:v>In progress</x:v>
      </x:c>
      <x:c r="H8" s="12" t="str"/>
      <x:c r="I8" s="10" t="str">
        <x:v>An organisation administrator creates a unit with a stable code and optional parent. Moving a unit or project produces a preview of reporting membership, explicit grants and future obligations. Confirming applies the effective dated change and records the old parent.</x:v>
      </x:c>
      <x:c r="J8" s="10" t="str">
        <x:v>Reject self parenting and descendant cycles. Existing grants change only through an explicit reviewed access change; historical reports retain their original organisational context.</x:v>
      </x:c>
      <x:c r="K8" s="10" t="str">
        <x:v>Move project P from office East to West on 1 July; June retains East and the preview identifies every access grant that would change.</x:v>
      </x:c>
      <x:c r="L8" s="10" t="str">
        <x:v>TC-TEN-002-01 / TC-TEN-002-02</x:v>
      </x:c>
      <x:c r="M8" s="12" t="str">
        <x:v>apps/api/impact_api/workspace_administration.py; apps/api/impact_api/account.py; qualification/test_workspace_administration.py; tools/browser/workspace-check.mjs; docs/RELEASE-0.9.md</x:v>
      </x:c>
      <x:c r="N8" s="10" t="str">
        <x:f>IF(G8="Done",IF(AND(LEN(H8)&gt;0,LEN(M8)&gt;0),"Complete","Evidence required"),"Open")</x:f>
        <x:v>Open</x:v>
      </x:c>
      <x:c r="O8"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8" s="17" t="str">
        <x:v>PARTIAL</x:v>
      </x:c>
    </x:row>
    <x:row r="9" ht="64" customHeight="1">
      <x:c r="A9" s="10" t="str">
        <x:v>FR-TEN-003</x:v>
      </x:c>
      <x:c r="B9" s="10" t="str">
        <x:v>R1</x:v>
      </x:c>
      <x:c r="C9" s="10" t="str">
        <x:v>P0</x:v>
      </x:c>
      <x:c r="D9" s="10" t="str">
        <x:v>WP01</x:v>
      </x:c>
      <x:c r="E9" s="10" t="str">
        <x:v>Multiple memberships</x:v>
      </x:c>
      <x:c r="F9" s="10" t="str">
        <x:v>Identity lead</x:v>
      </x:c>
      <x:c r="G9" s="12" t="str">
        <x:v>In progress</x:v>
      </x:c>
      <x:c r="H9" s="12" t="str"/>
      <x:c r="I9" s="10" t="str">
        <x:v>The tenant selector lists active memberships and their display identities. Opening a second tenant leaves existing tabs bound to their original tenant. Each command carries the originating tenant context and is rejected if the selected resource belongs elsewhere.</x:v>
      </x:c>
      <x:c r="J9" s="10" t="str">
        <x:v>Clear tenant scoped recent items and unsent AI context when switching the same tab. Browser back navigation reauthorises the historic page rather than restoring protected cached content.</x:v>
      </x:c>
      <x:c r="K9" s="10" t="str">
        <x:v>Hold reviewer rights in A and collector rights in B; approve from an A tab and verify the B tab cannot reuse that permission or source reference.</x:v>
      </x:c>
      <x:c r="L9" s="10" t="str">
        <x:v>TC-TEN-003-01 / TC-TEN-003-02</x:v>
      </x:c>
      <x:c r="M9" s="12" t="str">
        <x:v>apps/api/impact_api/administration.py; qualification/test_administration.py; docs/RELEASE-0.2.md</x:v>
      </x:c>
      <x:c r="N9" s="10" t="str">
        <x:f>IF(G9="Done",IF(AND(LEN(H9)&gt;0,LEN(M9)&gt;0),"Complete","Evidence required"),"Open")</x:f>
        <x:v>Open</x:v>
      </x:c>
      <x:c r="O9" s="17" t="str">
        <x:v>Provisioned-identity invitations, membership changes, independent role approval, suspension and revocation are implemented. Federation assurance, recovery, all identity providers and full departure inventory are not qualified.</x:v>
      </x:c>
      <x:c r="P9" s="17" t="str">
        <x:v>PARTIAL</x:v>
      </x:c>
    </x:row>
    <x:row r="10" ht="64" customHeight="1">
      <x:c r="A10" s="10" t="str">
        <x:v>FR-TEN-004</x:v>
      </x:c>
      <x:c r="B10" s="10" t="str">
        <x:v>R1</x:v>
      </x:c>
      <x:c r="C10" s="10" t="str">
        <x:v>P1</x:v>
      </x:c>
      <x:c r="D10" s="10" t="str">
        <x:v>WP01</x:v>
      </x:c>
      <x:c r="E10" s="10" t="str">
        <x:v>Configuration and terminology</x:v>
      </x:c>
      <x:c r="F10" s="10" t="str">
        <x:v>Identity lead</x:v>
      </x:c>
      <x:c r="G10" s="12" t="str">
        <x:v>Not started</x:v>
      </x:c>
      <x:c r="H10" s="12" t="str"/>
      <x:c r="I10" s="10" t="str">
        <x:v>A configuration editor proposes labels, code lists, reporting calendar, time zone or unit changes and chooses an effective date. Preview lists dependent schedules and drafts. Approved versions apply prospectively; historical objects retain the version they used.</x:v>
      </x:c>
      <x:c r="J10" s="10" t="str">
        <x:v>Display label edits do not change stable codes. A fiscal boundary change requires a new calendar and explicit future obligation regeneration; overlapping official periods are rejected.</x:v>
      </x:c>
      <x:c r="K10" s="10" t="str">
        <x:v>Rename an output label and change the next fiscal year start; prior snapshot labels and period membership remain reconstructable.</x:v>
      </x:c>
      <x:c r="L10" s="10" t="str">
        <x:v>TC-TEN-004-01 / TC-TEN-004-02</x:v>
      </x:c>
      <x:c r="M10" s="12" t="str">
        <x:v>No accepted implementation evidence mapped.</x:v>
      </x:c>
      <x:c r="N10" s="10" t="str">
        <x:f>IF(G10="Done",IF(AND(LEN(H10)&gt;0,LEN(M10)&gt;0),"Complete","Evidence required"),"Open")</x:f>
        <x:v>Open</x:v>
      </x:c>
      <x:c r="O10" s="17" t="str">
        <x:v>No complete implementation and acceptance evidence mapped. Retain the original acceptance criteria; this requirement remains open.</x:v>
      </x:c>
      <x:c r="P10" s="17" t="str">
        <x:v>PENDING</x:v>
      </x:c>
    </x:row>
    <x:row r="11" ht="64" customHeight="1">
      <x:c r="A11" s="10" t="str">
        <x:v>FR-TEN-005</x:v>
      </x:c>
      <x:c r="B11" s="10" t="str">
        <x:v>R1</x:v>
      </x:c>
      <x:c r="C11" s="10" t="str">
        <x:v>P1</x:v>
      </x:c>
      <x:c r="D11" s="10" t="str">
        <x:v>WP01</x:v>
      </x:c>
      <x:c r="E11" s="10" t="str">
        <x:v>Custom fields and templates</x:v>
      </x:c>
      <x:c r="F11" s="10" t="str">
        <x:v>Identity lead</x:v>
      </x:c>
      <x:c r="G11" s="12" t="str">
        <x:v>Not started</x:v>
      </x:c>
      <x:c r="H11" s="12" t="str"/>
      <x:c r="I11" s="10" t="str">
        <x:v>An administrator selects field type, stable code, permitted object types, required condition, validation and classification. Preview shows form, import, search and report availability. Publishing creates a field definition version; templates reference that version.</x:v>
      </x:c>
      <x:c r="J11" s="10" t="str">
        <x:v>A type change with existing values requires an explicit migration mapping or a new field. Retiring removes new entry but preserves historical values and restricted visibility.</x:v>
      </x:c>
      <x:c r="K11" s="10" t="str">
        <x:v>Create a restricted decimal field required only for active grants; an authorised import succeeds and an external viewer sees neither value nor search facet.</x:v>
      </x:c>
      <x:c r="L11" s="10" t="str">
        <x:v>TC-TEN-005-01 / TC-TEN-005-02</x:v>
      </x:c>
      <x:c r="M11" s="12" t="str">
        <x:v>No accepted implementation evidence mapped.</x:v>
      </x:c>
      <x:c r="N11" s="10" t="str">
        <x:f>IF(G11="Done",IF(AND(LEN(H11)&gt;0,LEN(M11)&gt;0),"Complete","Evidence required"),"Open")</x:f>
        <x:v>Open</x:v>
      </x:c>
      <x:c r="O11" s="17" t="str">
        <x:v>No complete implementation and acceptance evidence mapped. Retain the original acceptance criteria; this requirement remains open.</x:v>
      </x:c>
      <x:c r="P11" s="17" t="str">
        <x:v>PENDING</x:v>
      </x:c>
    </x:row>
    <x:row r="12" ht="64" customHeight="1">
      <x:c r="A12" s="10" t="str">
        <x:v>FR-TEN-006</x:v>
      </x:c>
      <x:c r="B12" s="10" t="str">
        <x:v>R1</x:v>
      </x:c>
      <x:c r="C12" s="10" t="str">
        <x:v>P0</x:v>
      </x:c>
      <x:c r="D12" s="10" t="str">
        <x:v>WP01</x:v>
      </x:c>
      <x:c r="E12" s="10" t="str">
        <x:v>Partner and consortium boundaries</x:v>
      </x:c>
      <x:c r="F12" s="10" t="str">
        <x:v>Identity lead</x:v>
      </x:c>
      <x:c r="G12" s="12" t="str">
        <x:v>Not started</x:v>
      </x:c>
      <x:c r="H12" s="12" t="str"/>
      <x:c r="I12" s="10" t="str">
        <x:v>The programme manager creates a partner agreement naming projects, shared artifacts, allowed actions, purpose, dates and owner. A cross tenant exchange creates an explicit destination copy with source version and agreement reference. Each transfer is recorded in the sharing register.</x:v>
      </x:c>
      <x:c r="J12" s="10" t="str">
        <x:v>An agreement grants no tenant membership by itself. Expiry stops new transfer, revokes live access and starts the agreed retained copy restriction or deletion process; external completion is tracked separately.</x:v>
      </x:c>
      <x:c r="K12" s="10" t="str">
        <x:v>Share one approved indicator definition with partners X and Y; each sees its own submissions and neither receives the other's completion statistics unless explicitly disclosed.</x:v>
      </x:c>
      <x:c r="L12" s="10" t="str">
        <x:v>TC-TEN-006-01 / TC-TEN-006-02</x:v>
      </x:c>
      <x:c r="M12" s="12" t="str">
        <x:v>No accepted implementation evidence mapped.</x:v>
      </x:c>
      <x:c r="N12" s="10" t="str">
        <x:f>IF(G12="Done",IF(AND(LEN(H12)&gt;0,LEN(M12)&gt;0),"Complete","Evidence required"),"Open")</x:f>
        <x:v>Open</x:v>
      </x:c>
      <x:c r="O12" s="17" t="str">
        <x:v>No complete implementation and acceptance evidence mapped. Retain the original acceptance criteria; this requirement remains open.</x:v>
      </x:c>
      <x:c r="P12" s="17" t="str">
        <x:v>PENDING</x:v>
      </x:c>
    </x:row>
    <x:row r="13" ht="64" customHeight="1">
      <x:c r="A13" s="10" t="str">
        <x:v>FR-TEN-007</x:v>
      </x:c>
      <x:c r="B13" s="10" t="str">
        <x:v>R1</x:v>
      </x:c>
      <x:c r="C13" s="10" t="str">
        <x:v>P0</x:v>
      </x:c>
      <x:c r="D13" s="10" t="str">
        <x:v>WP01</x:v>
      </x:c>
      <x:c r="E13" s="10" t="str">
        <x:v>Policy inheritance and exceptions</x:v>
      </x:c>
      <x:c r="F13" s="10" t="str">
        <x:v>Identity lead</x:v>
      </x:c>
      <x:c r="G13" s="12" t="str">
        <x:v>Not started</x:v>
      </x:c>
      <x:c r="H13" s="12" t="str"/>
      <x:c r="I13" s="10" t="str">
        <x:v>A policy editor shows effective tenant and project rules with the source of each restriction. Tightening is applied after impact confirmation. A permitted relaxation opens an exception request specifying scope, reason, compensating control, independent approver and expiry.</x:v>
      </x:c>
      <x:c r="J13" s="10" t="str">
        <x:v>Unknown policy or expired exception denies sensitive work. An exception cannot permit cross tenant access, self approval or unsupported arithmetic. Expiry restores the stricter rule and rechecks dependent jobs.</x:v>
      </x:c>
      <x:c r="K13" s="10" t="str">
        <x:v>Attempt to enable public raw participant exports under a tenant prohibition; the platform rejects it even if a project administrator owns the dataset.</x:v>
      </x:c>
      <x:c r="L13" s="10" t="str">
        <x:v>TC-TEN-007-01 / TC-TEN-007-02</x:v>
      </x:c>
      <x:c r="M13" s="12" t="str">
        <x:v>No accepted implementation evidence mapped.</x:v>
      </x:c>
      <x:c r="N13" s="10" t="str">
        <x:f>IF(G13="Done",IF(AND(LEN(H13)&gt;0,LEN(M13)&gt;0),"Complete","Evidence required"),"Open")</x:f>
        <x:v>Open</x:v>
      </x:c>
      <x:c r="O13" s="17" t="str">
        <x:v>No complete implementation and acceptance evidence mapped. Retain the original acceptance criteria; this requirement remains open.</x:v>
      </x:c>
      <x:c r="P13" s="17" t="str">
        <x:v>PENDING</x:v>
      </x:c>
    </x:row>
    <x:row r="14" ht="64" customHeight="1">
      <x:c r="A14" s="10" t="str">
        <x:v>FR-TEN-008</x:v>
      </x:c>
      <x:c r="B14" s="10" t="str">
        <x:v>R2</x:v>
      </x:c>
      <x:c r="C14" s="10" t="str">
        <x:v>P1</x:v>
      </x:c>
      <x:c r="D14" s="10" t="str">
        <x:v>WP01</x:v>
      </x:c>
      <x:c r="E14" s="10" t="str">
        <x:v>Configuration promotion</x:v>
      </x:c>
      <x:c r="F14" s="10" t="str">
        <x:v>Identity lead</x:v>
      </x:c>
      <x:c r="G14" s="12" t="str">
        <x:v>Not started</x:v>
      </x:c>
      <x:c r="H14" s="12" t="str"/>
      <x:c r="I14" s="10" t="str">
        <x:v>An administrator copies configuration and synthetic fixtures into an isolated test workspace. Promotion compares versions, dependencies and validation results; an eligible reviewer approves the complete package. Production application records the exact promoted versions and affected future objects.</x:v>
      </x:c>
      <x:c r="J14" s="10" t="str">
        <x:v>Never copy production credentials or personal records by default. Rollback restores compatible configuration references only; it cannot erase writes made under an intervening version without an explicit migration.</x:v>
      </x:c>
      <x:c r="K14" s="10" t="str">
        <x:v>Promote a new collection rule, then roll it back; sample records never appear in production and accepted production submissions keep their original rule references.</x:v>
      </x:c>
      <x:c r="L14" s="10" t="str">
        <x:v>TC-TEN-008-01 / TC-TEN-008-02</x:v>
      </x:c>
      <x:c r="M14" s="12" t="str">
        <x:v>No accepted implementation evidence mapped.</x:v>
      </x:c>
      <x:c r="N14" s="10" t="str">
        <x:f>IF(G14="Done",IF(AND(LEN(H14)&gt;0,LEN(M14)&gt;0),"Complete","Evidence required"),"Open")</x:f>
        <x:v>Open</x:v>
      </x:c>
      <x:c r="O14" s="17" t="str">
        <x:v>No complete implementation and acceptance evidence mapped. Retain the original acceptance criteria; this requirement remains open.</x:v>
      </x:c>
      <x:c r="P14" s="17" t="str">
        <x:v>PENDING</x:v>
      </x:c>
    </x:row>
    <x:row r="15" ht="64" customHeight="1">
      <x:c r="A15" s="10" t="str">
        <x:v>FR-TEN-009</x:v>
      </x:c>
      <x:c r="B15" s="10" t="str">
        <x:v>R2</x:v>
      </x:c>
      <x:c r="C15" s="10" t="str">
        <x:v>P1</x:v>
      </x:c>
      <x:c r="D15" s="10" t="str">
        <x:v>WP01</x:v>
      </x:c>
      <x:c r="E15" s="10" t="str">
        <x:v>Branding and external identity</x:v>
      </x:c>
      <x:c r="F15" s="10" t="str">
        <x:v>Identity lead</x:v>
      </x:c>
      <x:c r="G15" s="12" t="str">
        <x:v>Not started</x:v>
      </x:c>
      <x:c r="H15" s="12" t="str"/>
      <x:c r="I15" s="10" t="str">
        <x:v>The branding editor previews approved logos, accessible colours, tenant name and report styles. An external domain remains pending until verified control and an active renewal or revocation owner are recorded. Publishing the theme changes presentation only.</x:v>
      </x:c>
      <x:c r="J15" s="10" t="str">
        <x:v>Uploaded assets pass file safety checks. Branding cannot hide mandatory caveats, approval status or the actual organisation; expired domain verification disables the domain without opening a fallback tenant.</x:v>
      </x:c>
      <x:c r="K15" s="10" t="str">
        <x:v>Apply a low contrast colour palette; publication blocks the failing theme while the prior accessible theme continues to serve reports.</x:v>
      </x:c>
      <x:c r="L15" s="10" t="str">
        <x:v>TC-TEN-009-01 / TC-TEN-009-02</x:v>
      </x:c>
      <x:c r="M15" s="12" t="str">
        <x:v>No accepted implementation evidence mapped.</x:v>
      </x:c>
      <x:c r="N15" s="10" t="str">
        <x:f>IF(G15="Done",IF(AND(LEN(H15)&gt;0,LEN(M15)&gt;0),"Complete","Evidence required"),"Open")</x:f>
        <x:v>Open</x:v>
      </x:c>
      <x:c r="O15" s="17" t="str">
        <x:v>No complete implementation and acceptance evidence mapped. Retain the original acceptance criteria; this requirement remains open.</x:v>
      </x:c>
      <x:c r="P15" s="17" t="str">
        <x:v>PENDING</x:v>
      </x:c>
    </x:row>
    <x:row r="16" ht="64" customHeight="1">
      <x:c r="A16" s="10" t="str">
        <x:v>FR-TEN-010</x:v>
      </x:c>
      <x:c r="B16" s="10" t="str">
        <x:v>R1</x:v>
      </x:c>
      <x:c r="C16" s="10" t="str">
        <x:v>P0</x:v>
      </x:c>
      <x:c r="D16" s="10" t="str">
        <x:v>WP01</x:v>
      </x:c>
      <x:c r="E16" s="10" t="str">
        <x:v>Ownership continuity</x:v>
      </x:c>
      <x:c r="F16" s="10" t="str">
        <x:v>Identity lead</x:v>
      </x:c>
      <x:c r="G16" s="12" t="str">
        <x:v>In progress</x:v>
      </x:c>
      <x:c r="H16" s="12" t="str"/>
      <x:c r="I16" s="10" t="str">
        <x:v>The current owner nominates an active eligible successor, who verifies identity and accepts custody after step up. The system previews commercial and administrative responsibilities and records both actors. Recovery of an unavailable last owner follows a verified case with distinct approval.</x:v>
      </x:c>
      <x:c r="J16" s="10" t="str">
        <x:v>Do not remove or suspend the final eligible owner through ordinary member administration without a successor or approved closure path. Transfer does not automatically grant participant identity access.</x:v>
      </x:c>
      <x:c r="K16" s="10" t="str">
        <x:v>Attempt to revoke the sole owner, then complete a two actor transfer; the first action fails and the second preserves a complete custody history.</x:v>
      </x:c>
      <x:c r="L16" s="10" t="str">
        <x:v>TC-TEN-010-01 / TC-TEN-010-02</x:v>
      </x:c>
      <x:c r="M16" s="12" t="str">
        <x:v>apps/api/impact_api/workspace_administration.py; apps/api/impact_api/account.py; qualification/test_workspace_administration.py; tools/browser/workspace-check.mjs; docs/RELEASE-0.9.md</x:v>
      </x:c>
      <x:c r="N16" s="10" t="str">
        <x:f>IF(G16="Done",IF(AND(LEN(H16)&gt;0,LEN(M16)&gt;0),"Complete","Evidence required"),"Open")</x:f>
        <x:v>Open</x:v>
      </x:c>
      <x:c r="O16"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16" s="17" t="str">
        <x:v>PARTIAL</x:v>
      </x:c>
    </x:row>
    <x:row r="17" ht="64" customHeight="1">
      <x:c r="A17" s="10" t="str">
        <x:v>FR-IAM-001</x:v>
      </x:c>
      <x:c r="B17" s="10" t="str">
        <x:v>R1</x:v>
      </x:c>
      <x:c r="C17" s="10" t="str">
        <x:v>P0</x:v>
      </x:c>
      <x:c r="D17" s="10" t="str">
        <x:v>WP01</x:v>
      </x:c>
      <x:c r="E17" s="10" t="str">
        <x:v>Invitations and onboarding</x:v>
      </x:c>
      <x:c r="F17" s="10" t="str">
        <x:v>Identity lead</x:v>
      </x:c>
      <x:c r="G17" s="12" t="str">
        <x:v>In progress</x:v>
      </x:c>
      <x:c r="H17" s="12" t="str"/>
      <x:c r="I17" s="10" t="str">
        <x:v>The inviter selects tenant, role template, explicit scopes, expiry and intended verified identity. The preview shows effective capabilities before sending. Acceptance requires control of the nominated identity, token validity and current inviter authority; it creates one membership.</x:v>
      </x:c>
      <x:c r="J17" s="10" t="str">
        <x:v>Invites expire in seven days by default. Resend invalidates the old token. Bulk outcomes separate created, duplicate, invalid and delivery failed; receiving email alone does not prove membership activation.</x:v>
      </x:c>
      <x:c r="K17" s="10" t="str">
        <x:v>Forward an invitation to a different signed in account and replay a consumed token; both fail without revealing protected tenant content.</x:v>
      </x:c>
      <x:c r="L17" s="10" t="str">
        <x:v>TC-IAM-001-01 / TC-IAM-001-02</x:v>
      </x:c>
      <x:c r="M17" s="12" t="str">
        <x:v>apps/api/impact_api/administration.py; qualification/test_administration.py; docs/RELEASE-0.2.md</x:v>
      </x:c>
      <x:c r="N17" s="10" t="str">
        <x:f>IF(G17="Done",IF(AND(LEN(H17)&gt;0,LEN(M17)&gt;0),"Complete","Evidence required"),"Open")</x:f>
        <x:v>Open</x:v>
      </x:c>
      <x:c r="O17" s="17" t="str">
        <x:v>Provisioned-identity invitations, membership changes, independent role approval, suspension and revocation are implemented. Federation assurance, recovery, all identity providers and full departure inventory are not qualified.</x:v>
      </x:c>
      <x:c r="P17" s="17" t="str">
        <x:v>PARTIAL</x:v>
      </x:c>
    </x:row>
    <x:row r="18" ht="77" customHeight="1">
      <x:c r="A18" s="10" t="str">
        <x:v>FR-IAM-002</x:v>
      </x:c>
      <x:c r="B18" s="10" t="str">
        <x:v>R1</x:v>
      </x:c>
      <x:c r="C18" s="10" t="str">
        <x:v>P0</x:v>
      </x:c>
      <x:c r="D18" s="10" t="str">
        <x:v>WP01</x:v>
      </x:c>
      <x:c r="E18" s="10" t="str">
        <x:v>Enterprise federation</x:v>
      </x:c>
      <x:c r="F18" s="10" t="str">
        <x:v>Identity lead</x:v>
      </x:c>
      <x:c r="G18" s="12" t="str">
        <x:v>In progress</x:v>
      </x:c>
      <x:c r="H18" s="12" t="str"/>
      <x:c r="I18" s="10" t="str">
        <x:v>An identity administrator configures provider metadata, tenant binding and subject mapping, then tests with designated accounts before enforcing federation. The product shows certificate expiry and supports a tested overlapping rotation. Login binds issuer and stable subject to the intended tenant membership.</x:v>
      </x:c>
      <x:c r="J18" s="10" t="str">
        <x:v>A matching email alone never joins different federation identities. Invalid assertion, wrong audience or missing assurance fails safely. Emergency local recovery remains separately enrolled, restricted and audited.</x:v>
      </x:c>
      <x:c r="K18" s="10" t="str">
        <x:v>Enforce federation, expire the old certificate and interrupt the provider; ordinary local passwords cannot become an unreviewed bypass.</x:v>
      </x:c>
      <x:c r="L18" s="10" t="str">
        <x:v>TC-IAM-002-01 / TC-IAM-002-02</x:v>
      </x:c>
      <x:c r="M18" s="12" t="str">
        <x:v>apps/api/impact_api/administration.py; qualification/test_administration.py; docs/RELEASE-0.2.md</x:v>
      </x:c>
      <x:c r="N18" s="10" t="str">
        <x:f>IF(G18="Done",IF(AND(LEN(H18)&gt;0,LEN(M18)&gt;0),"Complete","Evidence required"),"Open")</x:f>
        <x:v>Open</x:v>
      </x:c>
      <x:c r="O18" s="17" t="str">
        <x:v>Provisioned-identity invitations, membership changes, independent role approval, suspension and revocation are implemented. Federation assurance, recovery, all identity providers and full departure inventory are not qualified.</x:v>
      </x:c>
      <x:c r="P18" s="17" t="str">
        <x:v>PARTIAL</x:v>
      </x:c>
    </x:row>
    <x:row r="19" ht="64" customHeight="1">
      <x:c r="A19" s="10" t="str">
        <x:v>FR-IAM-003</x:v>
      </x:c>
      <x:c r="B19" s="10" t="str">
        <x:v>R1</x:v>
      </x:c>
      <x:c r="C19" s="10" t="str">
        <x:v>P0</x:v>
      </x:c>
      <x:c r="D19" s="10" t="str">
        <x:v>WP01</x:v>
      </x:c>
      <x:c r="E19" s="10" t="str">
        <x:v>Multifactor and passkeys</x:v>
      </x:c>
      <x:c r="F19" s="10" t="str">
        <x:v>Identity lead</x:v>
      </x:c>
      <x:c r="G19" s="12" t="str">
        <x:v>In progress</x:v>
      </x:c>
      <x:c r="H19" s="12" t="str"/>
      <x:c r="I19" s="10" t="str">
        <x:v>Members enrol a passkey or approved additional factor after verifying the existing identity. Privileged role activation and sensitive actions check enrolled assurance. A step up challenge is bound to the user and intended action and expires after the proposed five minute freshness window.</x:v>
      </x:c>
      <x:c r="J19" s="10" t="str">
        <x:v>Removing the last qualifying factor from a privileged account is blocked unless verified recovery replaces it. SMS alone cannot satisfy privileged MFA. Device synchronisation behaviour must be disclosed by the chosen authenticator implementation.</x:v>
      </x:c>
      <x:c r="K19" s="10" t="str">
        <x:v>Attempt public publication after session login but before step up, then complete a valid challenge; only the reviewed pending action becomes eligible.</x:v>
      </x:c>
      <x:c r="L19" s="10" t="str">
        <x:v>TC-IAM-003-01 / TC-IAM-003-02</x:v>
      </x:c>
      <x:c r="M19" s="12" t="str">
        <x:v>apps/api/impact_api/workspace_administration.py; apps/api/impact_api/account.py; qualification/test_workspace_administration.py; tools/browser/workspace-check.mjs; docs/RELEASE-0.9.md</x:v>
      </x:c>
      <x:c r="N19" s="10" t="str">
        <x:f>IF(G19="Done",IF(AND(LEN(H19)&gt;0,LEN(M19)&gt;0),"Complete","Evidence required"),"Open")</x:f>
        <x:v>Open</x:v>
      </x:c>
      <x:c r="O19"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19" s="17" t="str">
        <x:v>PARTIAL</x:v>
      </x:c>
    </x:row>
    <x:row r="20" ht="64" customHeight="1">
      <x:c r="A20" s="10" t="str">
        <x:v>FR-IAM-004</x:v>
      </x:c>
      <x:c r="B20" s="10" t="str">
        <x:v>R1</x:v>
      </x:c>
      <x:c r="C20" s="10" t="str">
        <x:v>P0</x:v>
      </x:c>
      <x:c r="D20" s="10" t="str">
        <x:v>WP01</x:v>
      </x:c>
      <x:c r="E20" s="10" t="str">
        <x:v>Local account security</x:v>
      </x:c>
      <x:c r="F20" s="10" t="str">
        <x:v>Identity lead</x:v>
      </x:c>
      <x:c r="G20" s="12" t="str">
        <x:v>Not started</x:v>
      </x:c>
      <x:c r="H20" s="12" t="str"/>
      <x:c r="I20" s="10" t="str">
        <x:v>Local account setup displays the effective password policy, permits paste and password managers and checks known compromised values. Reset returns a neutral acknowledgement and a short lived single use recovery link. Successful reset revokes prior recovery tokens and sessions according to policy.</x:v>
      </x:c>
      <x:c r="J20" s="10" t="str">
        <x:v>Proposed reset expiry is 30 minutes. Never reveal whether a supplied address is registered. Apply bounded retry and abuse controls without exposing password text to telemetry or normal administrators.</x:v>
      </x:c>
      <x:c r="K20" s="10" t="str">
        <x:v>Submit the same reset token twice and inspect logs after a failed password attempt; the replay fails and neither password nor token is recoverable from diagnostics.</x:v>
      </x:c>
      <x:c r="L20" s="10" t="str">
        <x:v>TC-IAM-004-01 / TC-IAM-004-02</x:v>
      </x:c>
      <x:c r="M20" s="12" t="str">
        <x:v>No accepted implementation evidence mapped.</x:v>
      </x:c>
      <x:c r="N20" s="10" t="str">
        <x:f>IF(G20="Done",IF(AND(LEN(H20)&gt;0,LEN(M20)&gt;0),"Complete","Evidence required"),"Open")</x:f>
        <x:v>Open</x:v>
      </x:c>
      <x:c r="O20" s="17" t="str">
        <x:v>No complete implementation and acceptance evidence mapped. Retain the original acceptance criteria; this requirement remains open.</x:v>
      </x:c>
      <x:c r="P20" s="17" t="str">
        <x:v>PENDING</x:v>
      </x:c>
    </x:row>
    <x:row r="21" ht="77" customHeight="1">
      <x:c r="A21" s="10" t="str">
        <x:v>FR-IAM-005</x:v>
      </x:c>
      <x:c r="B21" s="10" t="str">
        <x:v>R2</x:v>
      </x:c>
      <x:c r="C21" s="10" t="str">
        <x:v>P1</x:v>
      </x:c>
      <x:c r="D21" s="10" t="str">
        <x:v>WP01</x:v>
      </x:c>
      <x:c r="E21" s="10" t="str">
        <x:v>Provisioning and deprovisioning</x:v>
      </x:c>
      <x:c r="F21" s="10" t="str">
        <x:v>Identity lead</x:v>
      </x:c>
      <x:c r="G21" s="12" t="str">
        <x:v>Not started</x:v>
      </x:c>
      <x:c r="H21" s="12" t="str"/>
      <x:c r="I21" s="10" t="str">
        <x:v>A directory connection declares authoritative attributes and groups. Provisioning creates a pending or active membership only within its configured scope. Deactivation removes derived access, revokes sessions and opens ownership reassignment tasks. Reconciliation shows directory and platform differences.</x:v>
      </x:c>
      <x:c r="J21" s="10" t="str">
        <x:v>Directory controlled attributes cannot be manually overridden except through a recorded bounded exception. A manual grant can add only separately authorised scope and is removed if policy forbids local supplements.</x:v>
      </x:c>
      <x:c r="K21" s="10" t="str">
        <x:v>Deactivate a directory user while they own a job; within the BRD revocation bound, further access fails and the job is cancelled or explicitly reassigned.</x:v>
      </x:c>
      <x:c r="L21" s="10" t="str">
        <x:v>TC-IAM-005-01 / TC-IAM-005-02</x:v>
      </x:c>
      <x:c r="M21" s="12" t="str">
        <x:v>No accepted implementation evidence mapped.</x:v>
      </x:c>
      <x:c r="N21" s="10" t="str">
        <x:f>IF(G21="Done",IF(AND(LEN(H21)&gt;0,LEN(M21)&gt;0),"Complete","Evidence required"),"Open")</x:f>
        <x:v>Open</x:v>
      </x:c>
      <x:c r="O21" s="17" t="str">
        <x:v>No complete implementation and acceptance evidence mapped. Retain the original acceptance criteria; this requirement remains open.</x:v>
      </x:c>
      <x:c r="P21" s="17" t="str">
        <x:v>PENDING</x:v>
      </x:c>
    </x:row>
    <x:row r="22" ht="64" customHeight="1">
      <x:c r="A22" s="10" t="str">
        <x:v>FR-IAM-006</x:v>
      </x:c>
      <x:c r="B22" s="10" t="str">
        <x:v>R1</x:v>
      </x:c>
      <x:c r="C22" s="10" t="str">
        <x:v>P0</x:v>
      </x:c>
      <x:c r="D22" s="10" t="str">
        <x:v>WP01</x:v>
      </x:c>
      <x:c r="E22" s="10" t="str">
        <x:v>Session control</x:v>
      </x:c>
      <x:c r="F22" s="10" t="str">
        <x:v>Identity lead</x:v>
      </x:c>
      <x:c r="G22" s="12" t="str">
        <x:v>In progress</x:v>
      </x:c>
      <x:c r="H22" s="12" t="str"/>
      <x:c r="I22" s="10" t="str">
        <x:v>Members see session device label, approximate activity, creation and last use without unnecessary location detail. Revoke one or all sessions after verification. Idle and absolute expiry follow FD04; a warning preserves permitted drafts before reauthentication.</x:v>
      </x:c>
      <x:c r="J22" s="10" t="str">
        <x:v>Logout clears sensitive in memory state and protected cached navigation. Shared device mode disables persistent unrestricted sessions. Revocation invalidates server authority even if a browser retains a stale screen image.</x:v>
      </x:c>
      <x:c r="K22" s="10" t="str">
        <x:v>Open two sessions, revoke one, then use browser back and a queued export from that session; neither returns protected data.</x:v>
      </x:c>
      <x:c r="L22" s="10" t="str">
        <x:v>TC-IAM-006-01 / TC-IAM-006-02</x:v>
      </x:c>
      <x:c r="M22" s="12" t="str">
        <x:v>apps/api/impact_api/workspace_administration.py; apps/api/impact_api/account.py; qualification/test_workspace_administration.py; tools/browser/workspace-check.mjs; docs/RELEASE-0.9.md</x:v>
      </x:c>
      <x:c r="N22" s="10" t="str">
        <x:f>IF(G22="Done",IF(AND(LEN(H22)&gt;0,LEN(M22)&gt;0),"Complete","Evidence required"),"Open")</x:f>
        <x:v>Open</x:v>
      </x:c>
      <x:c r="O22"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22" s="17" t="str">
        <x:v>PARTIAL</x:v>
      </x:c>
    </x:row>
    <x:row r="23" ht="64" customHeight="1">
      <x:c r="A23" s="10" t="str">
        <x:v>FR-IAM-007</x:v>
      </x:c>
      <x:c r="B23" s="10" t="str">
        <x:v>R1</x:v>
      </x:c>
      <x:c r="C23" s="10" t="str">
        <x:v>P0</x:v>
      </x:c>
      <x:c r="D23" s="10" t="str">
        <x:v>WP01</x:v>
      </x:c>
      <x:c r="E23" s="10" t="str">
        <x:v>Recovery and identity changes</x:v>
      </x:c>
      <x:c r="F23" s="10" t="str">
        <x:v>Identity lead</x:v>
      </x:c>
      <x:c r="G23" s="12" t="str">
        <x:v>Not started</x:v>
      </x:c>
      <x:c r="H23" s="12" t="str"/>
      <x:c r="I23" s="10" t="str">
        <x:v>Identity changes require recent step up and verification of the new channel. Notify both permitted old and new contacts without disclosing secrets. Lost factor recovery verifies enrolled recovery evidence, consumes one recovery code and triggers a security notice.</x:v>
      </x:c>
      <x:c r="J23" s="10" t="str">
        <x:v>A support agent cannot reset identity based only on a conversation or knowledge questions. Disputed changes enter a restricted recovery case; existing broad privileges are not restored until verification completes.</x:v>
      </x:c>
      <x:c r="K23" s="10" t="str">
        <x:v>Use a stolen ordinary session to replace the recovery email; the change is blocked until stronger verification succeeds.</x:v>
      </x:c>
      <x:c r="L23" s="10" t="str">
        <x:v>TC-IAM-007-01 / TC-IAM-007-02</x:v>
      </x:c>
      <x:c r="M23" s="12" t="str">
        <x:v>No accepted implementation evidence mapped.</x:v>
      </x:c>
      <x:c r="N23" s="10" t="str">
        <x:f>IF(G23="Done",IF(AND(LEN(H23)&gt;0,LEN(M23)&gt;0),"Complete","Evidence required"),"Open")</x:f>
        <x:v>Open</x:v>
      </x:c>
      <x:c r="O23" s="17" t="str">
        <x:v>No complete implementation and acceptance evidence mapped. Retain the original acceptance criteria; this requirement remains open.</x:v>
      </x:c>
      <x:c r="P23" s="17" t="str">
        <x:v>PENDING</x:v>
      </x:c>
    </x:row>
    <x:row r="24" ht="64" customHeight="1">
      <x:c r="A24" s="10" t="str">
        <x:v>FR-IAM-008</x:v>
      </x:c>
      <x:c r="B24" s="10" t="str">
        <x:v>R1</x:v>
      </x:c>
      <x:c r="C24" s="10" t="str">
        <x:v>P0</x:v>
      </x:c>
      <x:c r="D24" s="10" t="str">
        <x:v>WP01</x:v>
      </x:c>
      <x:c r="E24" s="10" t="str">
        <x:v>Membership status and expiry</x:v>
      </x:c>
      <x:c r="F24" s="10" t="str">
        <x:v>Identity lead</x:v>
      </x:c>
      <x:c r="G24" s="12" t="str">
        <x:v>In progress</x:v>
      </x:c>
      <x:c r="H24" s="12" t="str"/>
      <x:c r="I24" s="10" t="str">
        <x:v>Memberships expose active, suspended, expired and revoked states independently in each tenant. A scheduled expiry uses an absolute instant; the member and owner see upcoming expiry. Suspension immediately starts online revocation and identifies pending work without changing historical attribution.</x:v>
      </x:c>
      <x:c r="J24" s="10" t="str">
        <x:v>Reactivation requires current grant review and new expiry where relevant. It cannot revive a revoked link, old service secret or independently expired delegation. Membership expiry is not account deletion.</x:v>
      </x:c>
      <x:c r="K24" s="10" t="str">
        <x:v>Expire a reviewer in tenant A while retaining tenant B membership; A approvals fail and B authorised work continues.</x:v>
      </x:c>
      <x:c r="L24" s="10" t="str">
        <x:v>TC-IAM-008-01 / TC-IAM-008-02</x:v>
      </x:c>
      <x:c r="M24" s="12" t="str">
        <x:v>apps/api/impact_api/workspace_administration.py; apps/api/impact_api/account.py; qualification/test_workspace_administration.py; tools/browser/workspace-check.mjs; docs/RELEASE-0.9.md</x:v>
      </x:c>
      <x:c r="N24" s="10" t="str">
        <x:f>IF(G24="Done",IF(AND(LEN(H24)&gt;0,LEN(M24)&gt;0),"Complete","Evidence required"),"Open")</x:f>
        <x:v>Open</x:v>
      </x:c>
      <x:c r="O24"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24" s="17" t="str">
        <x:v>PARTIAL</x:v>
      </x:c>
    </x:row>
    <x:row r="25" ht="64" customHeight="1">
      <x:c r="A25" s="10" t="str">
        <x:v>FR-IAM-009</x:v>
      </x:c>
      <x:c r="B25" s="10" t="str">
        <x:v>R1</x:v>
      </x:c>
      <x:c r="C25" s="10" t="str">
        <x:v>P0</x:v>
      </x:c>
      <x:c r="D25" s="10" t="str">
        <x:v>WP01</x:v>
      </x:c>
      <x:c r="E25" s="10" t="str">
        <x:v>Delegated user administration</x:v>
      </x:c>
      <x:c r="F25" s="10" t="str">
        <x:v>Identity lead</x:v>
      </x:c>
      <x:c r="G25" s="12" t="str">
        <x:v>In progress</x:v>
      </x:c>
      <x:c r="H25" s="12" t="str"/>
      <x:c r="I25" s="10" t="str">
        <x:v>A delegated administrator can invite or modify members only within their delegation envelope. Grant preview computes the effective capability difference and flags sensitive expansion for independent approval. Approval rechecks the issuer's current delegation authority.</x:v>
      </x:c>
      <x:c r="J25" s="10" t="str">
        <x:v>An administrator cannot delegate a right they merely possess if it is not delegable. Self elevation, granting a role through a new group and scope expansion through an import use identical checks.</x:v>
      </x:c>
      <x:c r="K25" s="10" t="str">
        <x:v>A project administrator creates a group and attempts to add tenant administration through it; the indirect escalation fails.</x:v>
      </x:c>
      <x:c r="L25" s="10" t="str">
        <x:v>TC-IAM-009-01 / TC-IAM-009-02</x:v>
      </x:c>
      <x:c r="M25" s="12" t="str">
        <x:v>apps/api/impact_api/administration.py; qualification/test_administration.py; docs/RELEASE-0.2.md</x:v>
      </x:c>
      <x:c r="N25" s="10" t="str">
        <x:f>IF(G25="Done",IF(AND(LEN(H25)&gt;0,LEN(M25)&gt;0),"Complete","Evidence required"),"Open")</x:f>
        <x:v>Open</x:v>
      </x:c>
      <x:c r="O25" s="17" t="str">
        <x:v>Provisioned-identity invitations, membership changes, independent role approval, suspension and revocation are implemented. Federation assurance, recovery, all identity providers and full departure inventory are not qualified.</x:v>
      </x:c>
      <x:c r="P25" s="17" t="str">
        <x:v>PARTIAL</x:v>
      </x:c>
    </x:row>
    <x:row r="26" ht="64" customHeight="1">
      <x:c r="A26" s="10" t="str">
        <x:v>FR-IAM-010</x:v>
      </x:c>
      <x:c r="B26" s="10" t="str">
        <x:v>R1</x:v>
      </x:c>
      <x:c r="C26" s="10" t="str">
        <x:v>P1</x:v>
      </x:c>
      <x:c r="D26" s="10" t="str">
        <x:v>WP01</x:v>
      </x:c>
      <x:c r="E26" s="10" t="str">
        <x:v>Group management</x:v>
      </x:c>
      <x:c r="F26" s="10" t="str">
        <x:v>Identity lead</x:v>
      </x:c>
      <x:c r="G26" s="12" t="str">
        <x:v>In progress</x:v>
      </x:c>
      <x:c r="H26" s="12" t="str"/>
      <x:c r="I26" s="10" t="str">
        <x:v>Group editors maintain members and scoped grants with effective dates and ownership. Effective permission inspection expands all valid grant paths. R1 uses flat groups; R2 may enable nested groups only after cycle detection, visible ancestry and identical revocation behaviour are qualified.</x:v>
      </x:c>
      <x:c r="J26" s="10" t="str">
        <x:v>Removing membership invalidates each derived permission. Group deletion retires future grants but retains audit history. Explicit restrictive policies still override group permissions.</x:v>
      </x:c>
      <x:c r="K26" s="10" t="str">
        <x:v>Remove an analyst from a reporting group; existing report links, AI citations and scheduled exports are denied within the defined bound.</x:v>
      </x:c>
      <x:c r="L26" s="10" t="str">
        <x:v>TC-IAM-010-01 / TC-IAM-010-02</x:v>
      </x:c>
      <x:c r="M26" s="12" t="str">
        <x:v>apps/api/impact_api/workspace_administration.py; apps/api/impact_api/account.py; qualification/test_workspace_administration.py; tools/browser/workspace-check.mjs; docs/RELEASE-0.9.md</x:v>
      </x:c>
      <x:c r="N26" s="10" t="str">
        <x:f>IF(G26="Done",IF(AND(LEN(H26)&gt;0,LEN(M26)&gt;0),"Complete","Evidence required"),"Open")</x:f>
        <x:v>Open</x:v>
      </x:c>
      <x:c r="O26"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26" s="17" t="str">
        <x:v>PARTIAL</x:v>
      </x:c>
    </x:row>
    <x:row r="27" ht="64" customHeight="1">
      <x:c r="A27" s="10" t="str">
        <x:v>FR-IAM-011</x:v>
      </x:c>
      <x:c r="B27" s="10" t="str">
        <x:v>R2</x:v>
      </x:c>
      <x:c r="C27" s="10" t="str">
        <x:v>P1</x:v>
      </x:c>
      <x:c r="D27" s="10" t="str">
        <x:v>WP01</x:v>
      </x:c>
      <x:c r="E27" s="10" t="str">
        <x:v>Access certification</x:v>
      </x:c>
      <x:c r="F27" s="10" t="str">
        <x:v>Identity lead</x:v>
      </x:c>
      <x:c r="G27" s="12" t="str">
        <x:v>Not started</x:v>
      </x:c>
      <x:c r="H27" s="12" t="str"/>
      <x:c r="I27" s="10" t="str">
        <x:v>An owner starts an access review for selected scopes and a snapshot date. Reviewers see subject, source of grant, sensitive capabilities, expiry, owner and last relevant activity. Each grant is retained, narrowed or revoked with reason; unreviewed grants remain flagged overdue.</x:v>
      </x:c>
      <x:c r="J27" s="10" t="str">
        <x:v>Review access reveals entitlement metadata only, not protected record content. Execution rechecks the current grant revision so a stale review cannot revoke an unrelated replacement grant.</x:v>
      </x:c>
      <x:c r="K27" s="10" t="str">
        <x:v>Review a service identity whose owner has left; assign a new owner or revoke it and retain the review decision and execution receipt.</x:v>
      </x:c>
      <x:c r="L27" s="10" t="str">
        <x:v>TC-IAM-011-01 / TC-IAM-011-02</x:v>
      </x:c>
      <x:c r="M27" s="12" t="str">
        <x:v>No accepted implementation evidence mapped.</x:v>
      </x:c>
      <x:c r="N27" s="10" t="str">
        <x:f>IF(G27="Done",IF(AND(LEN(H27)&gt;0,LEN(M27)&gt;0),"Complete","Evidence required"),"Open")</x:f>
        <x:v>Open</x:v>
      </x:c>
      <x:c r="O27" s="17" t="str">
        <x:v>No complete implementation and acceptance evidence mapped. Retain the original acceptance criteria; this requirement remains open.</x:v>
      </x:c>
      <x:c r="P27" s="17" t="str">
        <x:v>PENDING</x:v>
      </x:c>
    </x:row>
    <x:row r="28" ht="64" customHeight="1">
      <x:c r="A28" s="10" t="str">
        <x:v>FR-IAM-012</x:v>
      </x:c>
      <x:c r="B28" s="10" t="str">
        <x:v>R1</x:v>
      </x:c>
      <x:c r="C28" s="10" t="str">
        <x:v>P0</x:v>
      </x:c>
      <x:c r="D28" s="10" t="str">
        <x:v>WP01</x:v>
      </x:c>
      <x:c r="E28" s="10" t="str">
        <x:v>Service identities</x:v>
      </x:c>
      <x:c r="F28" s="10" t="str">
        <x:v>Identity lead</x:v>
      </x:c>
      <x:c r="G28" s="12" t="str">
        <x:v>Not started</x:v>
      </x:c>
      <x:c r="H28" s="12" t="str"/>
      <x:c r="I28" s="10" t="str">
        <x:v>A service owner creates a machine identity with purpose, allowed resources, operations and expiry. A secret is shown once at issue and later only as a safe reference. Rotation permits a bounded overlap, after which the previous credential is revoked.</x:v>
      </x:c>
      <x:c r="J28" s="10" t="str">
        <x:v>No ordinary login or human approval using a service identity. Owner departure flags the credential for reassignment or suspension. Credentials cannot broaden the scope of the owning integration.</x:v>
      </x:c>
      <x:c r="K28" s="10" t="str">
        <x:v>Rotate during a retried connector run; one intended row effect is recorded and the expired secret fails on its next request.</x:v>
      </x:c>
      <x:c r="L28" s="10" t="str">
        <x:v>TC-IAM-012-01 / TC-IAM-012-02</x:v>
      </x:c>
      <x:c r="M28" s="12" t="str">
        <x:v>No accepted implementation evidence mapped.</x:v>
      </x:c>
      <x:c r="N28" s="10" t="str">
        <x:f>IF(G28="Done",IF(AND(LEN(H28)&gt;0,LEN(M28)&gt;0),"Complete","Evidence required"),"Open")</x:f>
        <x:v>Open</x:v>
      </x:c>
      <x:c r="O28" s="17" t="str">
        <x:v>No complete implementation and acceptance evidence mapped. Retain the original acceptance criteria; this requirement remains open.</x:v>
      </x:c>
      <x:c r="P28" s="17" t="str">
        <x:v>PENDING</x:v>
      </x:c>
    </x:row>
    <x:row r="29" ht="64" customHeight="1">
      <x:c r="A29" s="10" t="str">
        <x:v>FR-IAM-013</x:v>
      </x:c>
      <x:c r="B29" s="10" t="str">
        <x:v>R1</x:v>
      </x:c>
      <x:c r="C29" s="10" t="str">
        <x:v>P1</x:v>
      </x:c>
      <x:c r="D29" s="10" t="str">
        <x:v>WP01</x:v>
      </x:c>
      <x:c r="E29" s="10" t="str">
        <x:v>User profile and preferences</x:v>
      </x:c>
      <x:c r="F29" s="10" t="str">
        <x:v>Identity lead</x:v>
      </x:c>
      <x:c r="G29" s="12" t="str">
        <x:v>In progress</x:v>
      </x:c>
      <x:c r="H29" s="12" t="str"/>
      <x:c r="I29" s="10" t="str">
        <x:v>The profile screen permits display name, interface language, reporting preferences, time zone and accessibility choices. Directory controlled fields are read only with a source label. A change previews date and number display without changing stored values.</x:v>
      </x:c>
      <x:c r="J29" s="10" t="str">
        <x:v>Immutable identity and audit attribution never depend on display name. Preferences cannot suppress mandatory security notices or override an organisation reporting calendar.</x:v>
      </x:c>
      <x:c r="K29" s="10" t="str">
        <x:v>Change the display name and zone after an approval; the approval still resolves to the same actor and original absolute timestamp.</x:v>
      </x:c>
      <x:c r="L29" s="10" t="str">
        <x:v>TC-IAM-013-01 / TC-IAM-013-02</x:v>
      </x:c>
      <x:c r="M29" s="12" t="str">
        <x:v>apps/api/impact_api/workspace_administration.py; apps/api/impact_api/account.py; qualification/test_workspace_administration.py; tools/browser/workspace-check.mjs; docs/RELEASE-0.9.md</x:v>
      </x:c>
      <x:c r="N29" s="10" t="str">
        <x:f>IF(G29="Done",IF(AND(LEN(H29)&gt;0,LEN(M29)&gt;0),"Complete","Evidence required"),"Open")</x:f>
        <x:v>Open</x:v>
      </x:c>
      <x:c r="O29"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29" s="17" t="str">
        <x:v>PARTIAL</x:v>
      </x:c>
    </x:row>
    <x:row r="30" ht="64" customHeight="1">
      <x:c r="A30" s="10" t="str">
        <x:v>FR-IAM-014</x:v>
      </x:c>
      <x:c r="B30" s="10" t="str">
        <x:v>R1</x:v>
      </x:c>
      <x:c r="C30" s="10" t="str">
        <x:v>P0</x:v>
      </x:c>
      <x:c r="D30" s="10" t="str">
        <x:v>WP01</x:v>
      </x:c>
      <x:c r="E30" s="10" t="str">
        <x:v>Departure and work reassignment</x:v>
      </x:c>
      <x:c r="F30" s="10" t="str">
        <x:v>Identity lead</x:v>
      </x:c>
      <x:c r="G30" s="12" t="str">
        <x:v>In progress</x:v>
      </x:c>
      <x:c r="H30" s="12" t="str"/>
      <x:c r="I30" s="10" t="str">
        <x:v>The offboarding wizard first revokes access, then lists owned sources, schedules, drafts, credentials and approval tasks for an authorised successor. Each item is reassigned, cancelled or held with an owner; export and delivery jobs reauthorise before any sensitive action.</x:v>
      </x:c>
      <x:c r="J30" s="10" t="str">
        <x:v>Reassignment is not impersonation and never transfers the departed person's approval decision. Work cannot continue under an orphaned human session. Content visibility follows the successor's explicit grants.</x:v>
      </x:c>
      <x:c r="K30" s="10" t="str">
        <x:v>Remove a report schedule owner with an export in progress; the system preserves receipts but prevents unapproved delivery and records the successor decision.</x:v>
      </x:c>
      <x:c r="L30" s="10" t="str">
        <x:v>TC-IAM-014-01 / TC-IAM-014-02</x:v>
      </x:c>
      <x:c r="M30" s="12" t="str">
        <x:v>apps/api/impact_api/administration.py; qualification/test_administration.py; docs/RELEASE-0.2.md</x:v>
      </x:c>
      <x:c r="N30" s="10" t="str">
        <x:f>IF(G30="Done",IF(AND(LEN(H30)&gt;0,LEN(M30)&gt;0),"Complete","Evidence required"),"Open")</x:f>
        <x:v>Open</x:v>
      </x:c>
      <x:c r="O30" s="17" t="str">
        <x:v>Provisioned-identity invitations, membership changes, independent role approval, suspension and revocation are implemented. Federation assurance, recovery, all identity providers and full departure inventory are not qualified.</x:v>
      </x:c>
      <x:c r="P30" s="17" t="str">
        <x:v>PARTIAL</x:v>
      </x:c>
    </x:row>
    <x:row r="31" ht="64" customHeight="1">
      <x:c r="A31" s="10" t="str">
        <x:v>FR-ACC-001</x:v>
      </x:c>
      <x:c r="B31" s="10" t="str">
        <x:v>R1</x:v>
      </x:c>
      <x:c r="C31" s="10" t="str">
        <x:v>P0</x:v>
      </x:c>
      <x:c r="D31" s="10" t="str">
        <x:v>WP01</x:v>
      </x:c>
      <x:c r="E31" s="10" t="str">
        <x:v>Deny by default</x:v>
      </x:c>
      <x:c r="F31" s="10" t="str">
        <x:v>Identity lead</x:v>
      </x:c>
      <x:c r="G31" s="12" t="str">
        <x:v>In progress</x:v>
      </x:c>
      <x:c r="H31" s="12" t="str"/>
      <x:c r="I31" s="10" t="str">
        <x:v>The authorisation layer evaluates every resource and related reference before reading or writing. A client supplied tenant or object ID is a selector, never proof of access. Batch requests check each item and expose only permitted item outcomes.</x:v>
      </x:c>
      <x:c r="J31" s="10" t="str">
        <x:v>For protected unknown IDs use RESOURCE_UNAVAILABLE without record names or counts. Failure to resolve policy denies the action rather than using a cached broad role.</x:v>
      </x:c>
      <x:c r="K31" s="10" t="str">
        <x:v>Replace a participant ID with one from another tenant in a valid form submission; reject the reference and record no cross tenant relationship.</x:v>
      </x:c>
      <x:c r="L31" s="10" t="str">
        <x:v>TC-ACC-001-01 / TC-ACC-001-02</x:v>
      </x:c>
      <x:c r="M31" s="12" t="str">
        <x:v>apps/api/impact_api/store.py; apps/api/impact_api/auth.py; qualification/test_live_application.py</x:v>
      </x:c>
      <x:c r="N31" s="10" t="str">
        <x:f>IF(G31="Done",IF(AND(LEN(H31)&gt;0,LEN(M31)&gt;0),"Complete","Evidence required"),"Open")</x:f>
        <x:v>Open</x:v>
      </x:c>
      <x:c r="O31" s="17" t="str">
        <x:v>Implemented routes enforce explicit grants, tenant fences, natural-person independence, revisions and retry receipts. Native database concurrency, every future module, audit tamper evidence and production assurance remain open.</x:v>
      </x:c>
      <x:c r="P31" s="17" t="str">
        <x:v>PARTIAL</x:v>
      </x:c>
    </x:row>
    <x:row r="32" ht="64" customHeight="1">
      <x:c r="A32" s="10" t="str">
        <x:v>FR-ACC-002</x:v>
      </x:c>
      <x:c r="B32" s="10" t="str">
        <x:v>R1</x:v>
      </x:c>
      <x:c r="C32" s="10" t="str">
        <x:v>P0</x:v>
      </x:c>
      <x:c r="D32" s="10" t="str">
        <x:v>WP01</x:v>
      </x:c>
      <x:c r="E32" s="10" t="str">
        <x:v>Fine grained scope</x:v>
      </x:c>
      <x:c r="F32" s="10" t="str">
        <x:v>Identity lead</x:v>
      </x:c>
      <x:c r="G32" s="12" t="str">
        <x:v>In progress</x:v>
      </x:c>
      <x:c r="H32" s="12" t="str"/>
      <x:c r="I32" s="10" t="str">
        <x:v>A grant editor selects action, project or partner scope, record condition and permitted field categories separately. Record reads apply row and field policy before filters, sorting, aggregation or export. Writing a hidden field is denied even when the row is editable.</x:v>
      </x:c>
      <x:c r="J32" s="10" t="str">
        <x:v>A field omitted because of access is not interpreted as a request to clear it. Sensitive view, download, approval and publication are independent from ordinary read.</x:v>
      </x:c>
      <x:c r="K32" s="10" t="str">
        <x:v>Grant a reviewer access to one candidate and necessary evidence; attempts to edit the source or export the registry fail.</x:v>
      </x:c>
      <x:c r="L32" s="10" t="str">
        <x:v>TC-ACC-002-01 / TC-ACC-002-02</x:v>
      </x:c>
      <x:c r="M32" s="12" t="str">
        <x:v>apps/api/impact_api/workspace_administration.py; apps/api/impact_api/account.py; qualification/test_workspace_administration.py; tools/browser/workspace-check.mjs; docs/RELEASE-0.9.md</x:v>
      </x:c>
      <x:c r="N32" s="10" t="str">
        <x:f>IF(G32="Done",IF(AND(LEN(H32)&gt;0,LEN(M32)&gt;0),"Complete","Evidence required"),"Open")</x:f>
        <x:v>Open</x:v>
      </x:c>
      <x:c r="O32" s="17" t="str">
        <x:v>v0.9 adds versioned custom roles, independently reviewed flat group access, immediate organisation moves with cycle checks, renewal without old-access resurrection, nominated custody transfer, self-service session revocation/preferences and configured ACR enforcement. Further onboarding acceptance, authority renewal, provider MFA/recovery qualification, action-bound step-up, future-effective organisation impact and full access certification remain open.</x:v>
      </x:c>
      <x:c r="P32" s="17" t="str">
        <x:v>PARTIAL</x:v>
      </x:c>
    </x:row>
    <x:row r="33" ht="64" customHeight="1">
      <x:c r="A33" s="10" t="str">
        <x:v>FR-ACC-003</x:v>
      </x:c>
      <x:c r="B33" s="10" t="str">
        <x:v>R1</x:v>
      </x:c>
      <x:c r="C33" s="10" t="str">
        <x:v>P0</x:v>
      </x:c>
      <x:c r="D33" s="10" t="str">
        <x:v>WP01</x:v>
      </x:c>
      <x:c r="E33" s="10" t="str">
        <x:v>Effective permissions</x:v>
      </x:c>
      <x:c r="F33" s="10" t="str">
        <x:v>Identity lead</x:v>
      </x:c>
      <x:c r="G33" s="12" t="str">
        <x:v>In progress</x:v>
      </x:c>
      <x:c r="H33" s="12" t="str"/>
      <x:c r="I33" s="10" t="str">
        <x:v>Effective access inspection shows each permitted grant path, restrictions and missing assurance for a selected action. A normal user sees only explanations about their own permitted context; an authorised administrator may simulate subjects within their administration scope.</x:v>
      </x:c>
      <x:c r="J33" s="10" t="str">
        <x:v>Do not expose names of hidden projects or sensitive field values while explaining denial. Explicit restriction wins across conflicting roles.</x:v>
      </x:c>
      <x:c r="K33" s="10" t="str">
        <x:v>Give a person both analyst and partner templates; a restriction on another partner's rows remains effective and the explanation identifies the scope rule safely.</x:v>
      </x:c>
      <x:c r="L33" s="10" t="str">
        <x:v>TC-ACC-003-01 / TC-ACC-003-02</x:v>
      </x:c>
      <x:c r="M33" s="12" t="str">
        <x:v>apps/api/impact_api/administration.py; qualification/test_administration.py; docs/RELEASE-0.2.md</x:v>
      </x:c>
      <x:c r="N33" s="10" t="str">
        <x:f>IF(G33="Done",IF(AND(LEN(H33)&gt;0,LEN(M33)&gt;0),"Complete","Evidence required"),"Open")</x:f>
        <x:v>Open</x:v>
      </x:c>
      <x:c r="O33" s="17" t="str">
        <x:v>Provisioned-identity invitations, membership changes, independent role approval, suspension and revocation are implemented. Federation assurance, recovery, all identity providers and full departure inventory are not qualified.</x:v>
      </x:c>
      <x:c r="P33" s="17" t="str">
        <x:v>PARTIAL</x:v>
      </x:c>
    </x:row>
    <x:row r="34" ht="77" customHeight="1">
      <x:c r="A34" s="10" t="str">
        <x:v>FR-ACC-004</x:v>
      </x:c>
      <x:c r="B34" s="10" t="str">
        <x:v>R1</x:v>
      </x:c>
      <x:c r="C34" s="10" t="str">
        <x:v>P0</x:v>
      </x:c>
      <x:c r="D34" s="10" t="str">
        <x:v>WP01</x:v>
      </x:c>
      <x:c r="E34" s="10" t="str">
        <x:v>Separation of duties</x:v>
      </x:c>
      <x:c r="F34" s="10" t="str">
        <x:v>Identity lead</x:v>
      </x:c>
      <x:c r="G34" s="12" t="str">
        <x:v>In progress</x:v>
      </x:c>
      <x:c r="H34" s="12" t="str"/>
      <x:c r="I34" s="10" t="str">
        <x:v>Before accepting approval, calculate the candidate's author set, verified identity aliases, delegated authorisation and current reviewer assignment. Reject overlap between reviewer and material authors. Emergency exceptions require a separately approved policy and cannot silently count self approval as independent.</x:v>
      </x:c>
      <x:c r="J34" s="10" t="str">
        <x:v>A role switch, group change, delegated task or service identity does not create independence. Editing the candidate returns it to draft and invalidates old candidate decisions.</x:v>
      </x:c>
      <x:c r="K34" s="10" t="str">
        <x:v>The author becomes a reviewer through a second group and attempts approval; the system still requires a different eligible person.</x:v>
      </x:c>
      <x:c r="L34" s="10" t="str">
        <x:v>TC-ACC-004-01 / TC-ACC-004-02</x:v>
      </x:c>
      <x:c r="M34" s="12" t="str">
        <x:v>apps/api/impact_api/store.py; apps/api/impact_api/auth.py; qualification/test_live_application.py</x:v>
      </x:c>
      <x:c r="N34" s="10" t="str">
        <x:f>IF(G34="Done",IF(AND(LEN(H34)&gt;0,LEN(M34)&gt;0),"Complete","Evidence required"),"Open")</x:f>
        <x:v>Open</x:v>
      </x:c>
      <x:c r="O34" s="17" t="str">
        <x:v>Implemented routes enforce explicit grants, tenant fences, natural-person independence, revisions and retry receipts. Native database concurrency, every future module, audit tamper evidence and production assurance remain open.</x:v>
      </x:c>
      <x:c r="P34" s="17" t="str">
        <x:v>PARTIAL</x:v>
      </x:c>
    </x:row>
    <x:row r="35" ht="64" customHeight="1">
      <x:c r="A35" s="10" t="str">
        <x:v>FR-ACC-005</x:v>
      </x:c>
      <x:c r="B35" s="10" t="str">
        <x:v>R1</x:v>
      </x:c>
      <x:c r="C35" s="10" t="str">
        <x:v>P0</x:v>
      </x:c>
      <x:c r="D35" s="10" t="str">
        <x:v>WP01</x:v>
      </x:c>
      <x:c r="E35" s="10" t="str">
        <x:v>Permission safe derivation</x:v>
      </x:c>
      <x:c r="F35" s="10" t="str">
        <x:v>Identity lead</x:v>
      </x:c>
      <x:c r="G35" s="12" t="str">
        <x:v>In progress</x:v>
      </x:c>
      <x:c r="H35" s="12" t="str"/>
      <x:c r="I35" s="10" t="str">
        <x:v>Private derivatives record source restriction dependencies. Reading a dashboard, search result, saved analysis or AI answer rechecks those dependencies. An approved public aggregate uses a separate disclosure artifact with fixed approved content and no private drill down.</x:v>
      </x:c>
      <x:c r="J35" s="10" t="str">
        <x:v>Combining one public and one restricted source does not make the result public. Copying content creates a new governed object and preserves restrictions until disclosure review.</x:v>
      </x:c>
      <x:c r="K35" s="10" t="str">
        <x:v>Copy a restricted dashboard to a partner workspace; its restricted metric remains unavailable until a valid substitute or disclosure is approved.</x:v>
      </x:c>
      <x:c r="L35" s="10" t="str">
        <x:v>TC-ACC-005-01 / TC-ACC-005-02</x:v>
      </x:c>
      <x:c r="M35" s="12" t="str">
        <x:v>apps/api/impact_api/store.py; apps/api/impact_api/auth.py; qualification/test_live_application.py</x:v>
      </x:c>
      <x:c r="N35" s="10" t="str">
        <x:f>IF(G35="Done",IF(AND(LEN(H35)&gt;0,LEN(M35)&gt;0),"Complete","Evidence required"),"Open")</x:f>
        <x:v>Open</x:v>
      </x:c>
      <x:c r="O35" s="17" t="str">
        <x:v>Implemented routes enforce explicit grants, tenant fences, natural-person independence, revisions and retry receipts. Native database concurrency, every future module, audit tamper evidence and production assurance remain open.</x:v>
      </x:c>
      <x:c r="P35" s="17" t="str">
        <x:v>PARTIAL</x:v>
      </x:c>
    </x:row>
    <x:row r="36" ht="64" customHeight="1">
      <x:c r="A36" s="10" t="str">
        <x:v>FR-ACC-006</x:v>
      </x:c>
      <x:c r="B36" s="10" t="str">
        <x:v>R1</x:v>
      </x:c>
      <x:c r="C36" s="10" t="str">
        <x:v>P0</x:v>
      </x:c>
      <x:c r="D36" s="10" t="str">
        <x:v>WP01</x:v>
      </x:c>
      <x:c r="E36" s="10" t="str">
        <x:v>External access lifecycle</x:v>
      </x:c>
      <x:c r="F36" s="10" t="str">
        <x:v>Identity lead</x:v>
      </x:c>
      <x:c r="G36" s="12" t="str">
        <x:v>In progress</x:v>
      </x:c>
      <x:c r="H36" s="12" t="str"/>
      <x:c r="I36" s="10" t="str">
        <x:v>A share action requires artifact version, audience, permitted actions, owner, reason and expiry. Preview uses the intended recipient's effective view. Authenticated external access is the default; public links are limited to approved public artifacts.</x:v>
      </x:c>
      <x:c r="J36" s="10" t="str">
        <x:v>Link possession does not authorise sensitive data. Changing classification revokes or revalidates existing disclosures. Expired links show unavailable without an artifact preview.</x:v>
      </x:c>
      <x:c r="K36" s="10" t="str">
        <x:v>Issue a seven day report link and revoke it after one day; old URLs and generated download references cease serving the artifact.</x:v>
      </x:c>
      <x:c r="L36" s="10" t="str">
        <x:v>TC-ACC-006-01 / TC-ACC-006-02</x:v>
      </x:c>
      <x:c r="M36" s="12" t="str">
        <x:v>apps/api/impact_api/administration.py; qualification/test_administration.py; docs/RELEASE-0.2.md</x:v>
      </x:c>
      <x:c r="N36" s="10" t="str">
        <x:f>IF(G36="Done",IF(AND(LEN(H36)&gt;0,LEN(M36)&gt;0),"Complete","Evidence required"),"Open")</x:f>
        <x:v>Open</x:v>
      </x:c>
      <x:c r="O36" s="17" t="str">
        <x:v>Provisioned-identity invitations, membership changes, independent role approval, suspension and revocation are implemented. Federation assurance, recovery, all identity providers and full departure inventory are not qualified.</x:v>
      </x:c>
      <x:c r="P36" s="17" t="str">
        <x:v>PARTIAL</x:v>
      </x:c>
    </x:row>
    <x:row r="37" ht="64" customHeight="1">
      <x:c r="A37" s="10" t="str">
        <x:v>FR-ACC-007</x:v>
      </x:c>
      <x:c r="B37" s="10" t="str">
        <x:v>R1</x:v>
      </x:c>
      <x:c r="C37" s="10" t="str">
        <x:v>P0</x:v>
      </x:c>
      <x:c r="D37" s="10" t="str">
        <x:v>WP01</x:v>
      </x:c>
      <x:c r="E37" s="10" t="str">
        <x:v>Export and bulk access</x:v>
      </x:c>
      <x:c r="F37" s="10" t="str">
        <x:v>Identity lead</x:v>
      </x:c>
      <x:c r="G37" s="12" t="str">
        <x:v>Not started</x:v>
      </x:c>
      <x:c r="H37" s="12" t="str"/>
      <x:c r="I37" s="10" t="str">
        <x:v>Export preview lists selected fields, filters, classification, row estimate and intended format. Authorisation is checked when requested, when execution starts, when sensitive output is generated and when the result is downloaded. The receipt identifies the export owner and expiry.</x:v>
      </x:c>
      <x:c r="J37" s="10" t="str">
        <x:v>Generated download access is authenticated or otherwise bound to a current approved disclosure. A link cannot outlive the policy grant by relying on an old signature alone.</x:v>
      </x:c>
      <x:c r="K37" s="10" t="str">
        <x:v>Generate an export, revoke its requester before download and attempt retrieval from the original URL; no bytes are served after the revocation bound.</x:v>
      </x:c>
      <x:c r="L37" s="10" t="str">
        <x:v>TC-ACC-007-01 / TC-ACC-007-02</x:v>
      </x:c>
      <x:c r="M37" s="12" t="str">
        <x:v>No accepted implementation evidence mapped.</x:v>
      </x:c>
      <x:c r="N37" s="10" t="str">
        <x:f>IF(G37="Done",IF(AND(LEN(H37)&gt;0,LEN(M37)&gt;0),"Complete","Evidence required"),"Open")</x:f>
        <x:v>Open</x:v>
      </x:c>
      <x:c r="O37" s="17" t="str">
        <x:v>No complete implementation and acceptance evidence mapped. Retain the original acceptance criteria; this requirement remains open.</x:v>
      </x:c>
      <x:c r="P37" s="17" t="str">
        <x:v>PENDING</x:v>
      </x:c>
    </x:row>
    <x:row r="38" ht="64" customHeight="1">
      <x:c r="A38" s="10" t="str">
        <x:v>FR-ACC-008</x:v>
      </x:c>
      <x:c r="B38" s="10" t="str">
        <x:v>R1</x:v>
      </x:c>
      <x:c r="C38" s="10" t="str">
        <x:v>P0</x:v>
      </x:c>
      <x:c r="D38" s="10" t="str">
        <x:v>WP01</x:v>
      </x:c>
      <x:c r="E38" s="10" t="str">
        <x:v>Privileged support access</x:v>
      </x:c>
      <x:c r="F38" s="10" t="str">
        <x:v>Identity lead</x:v>
      </x:c>
      <x:c r="G38" s="12" t="str">
        <x:v>Not started</x:v>
      </x:c>
      <x:c r="H38" s="12" t="str"/>
      <x:c r="I38" s="10" t="str">
        <x:v>Support access begins with a case tied to tenant consent policy, requested objects, purpose and duration. The operator uses their real identity and an active elevation grant; every sensitive read and mutation is attributable. The tenant may end access immediately.</x:v>
      </x:c>
      <x:c r="J38" s="10" t="str">
        <x:v>No hidden impersonation or universal support account. Excluded operations remain blocked. Download rights and participant identity access require explicit additional scope.</x:v>
      </x:c>
      <x:c r="K38" s="10" t="str">
        <x:v>Approve a support session for one failed import and attempt owner transfer; the diagnostic read succeeds and transfer is denied.</x:v>
      </x:c>
      <x:c r="L38" s="10" t="str">
        <x:v>TC-ACC-008-01 / TC-ACC-008-02</x:v>
      </x:c>
      <x:c r="M38" s="12" t="str">
        <x:v>No accepted implementation evidence mapped.</x:v>
      </x:c>
      <x:c r="N38" s="10" t="str">
        <x:f>IF(G38="Done",IF(AND(LEN(H38)&gt;0,LEN(M38)&gt;0),"Complete","Evidence required"),"Open")</x:f>
        <x:v>Open</x:v>
      </x:c>
      <x:c r="O38" s="17" t="str">
        <x:v>No complete implementation and acceptance evidence mapped. Retain the original acceptance criteria; this requirement remains open.</x:v>
      </x:c>
      <x:c r="P38" s="17" t="str">
        <x:v>PENDING</x:v>
      </x:c>
    </x:row>
    <x:row r="39" ht="64" customHeight="1">
      <x:c r="A39" s="10" t="str">
        <x:v>FR-ACC-009</x:v>
      </x:c>
      <x:c r="B39" s="10" t="str">
        <x:v>R1</x:v>
      </x:c>
      <x:c r="C39" s="10" t="str">
        <x:v>P0</x:v>
      </x:c>
      <x:c r="D39" s="10" t="str">
        <x:v>WP01</x:v>
      </x:c>
      <x:c r="E39" s="10" t="str">
        <x:v>Privacy preserving aggregates</x:v>
      </x:c>
      <x:c r="F39" s="10" t="str">
        <x:v>Identity lead</x:v>
      </x:c>
      <x:c r="G39" s="12" t="str">
        <x:v>Not started</x:v>
      </x:c>
      <x:c r="H39" s="12" t="str"/>
      <x:c r="I39" s="10" t="str">
        <x:v>The disclosure reviewer selects minimum cell threshold, complementary suppression and allowed fixed slices. Preview tests totals, cross tables and filter combinations for reconstruction. Public APIs and downloads return the same suppressed representation without hidden raw values.</x:v>
      </x:c>
      <x:c r="J39" s="10" t="str">
        <x:v>Default threshold five is a minimum rule, not a guarantee. If complementary suppression or differencing cannot be bounded, withhold the affected slice or expose only a reviewed fixed artifact.</x:v>
      </x:c>
      <x:c r="K39" s="10" t="str">
        <x:v>Publish groups of two and eight with a total of ten; do not expose the eight and ten combination if it reveals the suppressed two.</x:v>
      </x:c>
      <x:c r="L39" s="10" t="str">
        <x:v>TC-ACC-009-01 / TC-ACC-009-02</x:v>
      </x:c>
      <x:c r="M39" s="12" t="str">
        <x:v>No accepted implementation evidence mapped.</x:v>
      </x:c>
      <x:c r="N39" s="10" t="str">
        <x:f>IF(G39="Done",IF(AND(LEN(H39)&gt;0,LEN(M39)&gt;0),"Complete","Evidence required"),"Open")</x:f>
        <x:v>Open</x:v>
      </x:c>
      <x:c r="O39" s="17" t="str">
        <x:v>No complete implementation and acceptance evidence mapped. Retain the original acceptance criteria; this requirement remains open.</x:v>
      </x:c>
      <x:c r="P39" s="17" t="str">
        <x:v>PENDING</x:v>
      </x:c>
    </x:row>
    <x:row r="40" ht="64" customHeight="1">
      <x:c r="A40" s="10" t="str">
        <x:v>FR-ACC-010</x:v>
      </x:c>
      <x:c r="B40" s="10" t="str">
        <x:v>R1</x:v>
      </x:c>
      <x:c r="C40" s="10" t="str">
        <x:v>P0</x:v>
      </x:c>
      <x:c r="D40" s="10" t="str">
        <x:v>WP01</x:v>
      </x:c>
      <x:c r="E40" s="10" t="str">
        <x:v>Partner limited collaboration</x:v>
      </x:c>
      <x:c r="F40" s="10" t="str">
        <x:v>Identity lead</x:v>
      </x:c>
      <x:c r="G40" s="12" t="str">
        <x:v>Not started</x:v>
      </x:c>
      <x:c r="H40" s="12" t="str"/>
      <x:c r="I40" s="10" t="str">
        <x:v>Partner assignment binds a partner organisation to specified obligations and shared artifacts. All lists, comments, mentions, lookup suggestions, task counts and previews apply that scope. Funder access uses separately approved result views.</x:v>
      </x:c>
      <x:c r="J40" s="10" t="str">
        <x:v>A partner's author identity does not grant access to another partner's contributor record. Shared summary status may be disclosed only through an approved definition.</x:v>
      </x:c>
      <x:c r="K40" s="10" t="str">
        <x:v>Search another partner's participant name and request its guessed report URL; neither leaks existence, snippet or count.</x:v>
      </x:c>
      <x:c r="L40" s="10" t="str">
        <x:v>TC-ACC-010-01 / TC-ACC-010-02</x:v>
      </x:c>
      <x:c r="M40" s="12" t="str">
        <x:v>No accepted implementation evidence mapped.</x:v>
      </x:c>
      <x:c r="N40" s="10" t="str">
        <x:f>IF(G40="Done",IF(AND(LEN(H40)&gt;0,LEN(M40)&gt;0),"Complete","Evidence required"),"Open")</x:f>
        <x:v>Open</x:v>
      </x:c>
      <x:c r="O40" s="17" t="str">
        <x:v>No complete implementation and acceptance evidence mapped. Retain the original acceptance criteria; this requirement remains open.</x:v>
      </x:c>
      <x:c r="P40" s="17" t="str">
        <x:v>PENDING</x:v>
      </x:c>
    </x:row>
    <x:row r="41" ht="64" customHeight="1">
      <x:c r="A41" s="10" t="str">
        <x:v>FR-ACC-011</x:v>
      </x:c>
      <x:c r="B41" s="10" t="str">
        <x:v>R1</x:v>
      </x:c>
      <x:c r="C41" s="10" t="str">
        <x:v>P0</x:v>
      </x:c>
      <x:c r="D41" s="10" t="str">
        <x:v>WP01</x:v>
      </x:c>
      <x:c r="E41" s="10" t="str">
        <x:v>Access changes and existing artifacts</x:v>
      </x:c>
      <x:c r="F41" s="10" t="str">
        <x:v>Identity lead</x:v>
      </x:c>
      <x:c r="G41" s="12" t="str">
        <x:v>In progress</x:v>
      </x:c>
      <x:c r="H41" s="12" t="str"/>
      <x:c r="I41" s="10" t="str">
        <x:v>A grant change creates a revocation event covering active sessions, cached reads, queued jobs, generated artifacts and AI dependencies. New sensitive actions evaluate current policy immediately; online presentation converges within the 60 second bound.</x:v>
      </x:c>
      <x:c r="J41" s="10" t="str">
        <x:v>Previously downloaded copies are reported as external disclosures, not remotely erased. Restriction of a source can withhold a prior conversation segment or artifact under platform control.</x:v>
      </x:c>
      <x:c r="K41" s="10" t="str">
        <x:v>Remove source access after an AI answer was saved; reopening the conversation does not reveal the revoked source text through its summary.</x:v>
      </x:c>
      <x:c r="L41" s="10" t="str">
        <x:v>TC-ACC-011-01 / TC-ACC-011-02</x:v>
      </x:c>
      <x:c r="M41" s="12" t="str">
        <x:v>apps/api/impact_api/store.py; apps/api/impact_api/auth.py; qualification/test_live_application.py</x:v>
      </x:c>
      <x:c r="N41" s="10" t="str">
        <x:f>IF(G41="Done",IF(AND(LEN(H41)&gt;0,LEN(M41)&gt;0),"Complete","Evidence required"),"Open")</x:f>
        <x:v>Open</x:v>
      </x:c>
      <x:c r="O41" s="17" t="str">
        <x:v>Implemented routes enforce explicit grants, tenant fences, natural-person independence, revisions and retry receipts. Native database concurrency, every future module, audit tamper evidence and production assurance remain open.</x:v>
      </x:c>
      <x:c r="P41" s="17" t="str">
        <x:v>PARTIAL</x:v>
      </x:c>
    </x:row>
    <x:row r="42" ht="64" customHeight="1">
      <x:c r="A42" s="10" t="str">
        <x:v>FR-ACC-012</x:v>
      </x:c>
      <x:c r="B42" s="10" t="str">
        <x:v>R2</x:v>
      </x:c>
      <x:c r="C42" s="10" t="str">
        <x:v>P1</x:v>
      </x:c>
      <x:c r="D42" s="10" t="str">
        <x:v>WP01</x:v>
      </x:c>
      <x:c r="E42" s="10" t="str">
        <x:v>Administrative review and simulation</x:v>
      </x:c>
      <x:c r="F42" s="10" t="str">
        <x:v>Identity lead</x:v>
      </x:c>
      <x:c r="G42" s="12" t="str">
        <x:v>In progress</x:v>
      </x:c>
      <x:c r="H42" s="12" t="str"/>
      <x:c r="I42" s="10" t="str">
        <x:v>An administrator drafts an access change and chooses representative subjects. The preview calculates gained and lost capabilities, affected restricted classes, links and schedules. Sensitive expansion requires a second eligible reviewer and a current policy comparison at execution.</x:v>
      </x:c>
      <x:c r="J42" s="10" t="str">
        <x:v>Simulation is read only. It cannot reveal data beyond the administrator's review scope; use counts or redacted scope labels only when permitted.</x:v>
      </x:c>
      <x:c r="K42" s="10" t="str">
        <x:v>Expand a group to a new programme, inspect the candidate access difference and then change the group's membership; execution requires a fresh preview.</x:v>
      </x:c>
      <x:c r="L42" s="10" t="str">
        <x:v>TC-ACC-012-01 / TC-ACC-012-02</x:v>
      </x:c>
      <x:c r="M42" s="12" t="str">
        <x:v>apps/api/impact_api/administration.py; qualification/test_administration.py; docs/RELEASE-0.2.md</x:v>
      </x:c>
      <x:c r="N42" s="10" t="str">
        <x:f>IF(G42="Done",IF(AND(LEN(H42)&gt;0,LEN(M42)&gt;0),"Complete","Evidence required"),"Open")</x:f>
        <x:v>Open</x:v>
      </x:c>
      <x:c r="O42" s="17" t="str">
        <x:v>Provisioned-identity invitations, membership changes, independent role approval, suspension and revocation are implemented. Federation assurance, recovery, all identity providers and full departure inventory are not qualified.</x:v>
      </x:c>
      <x:c r="P42" s="17" t="str">
        <x:v>PARTIAL</x:v>
      </x:c>
    </x:row>
    <x:row r="43" ht="64" customHeight="1">
      <x:c r="A43" s="10" t="str">
        <x:v>FR-PLN-001</x:v>
      </x:c>
      <x:c r="B43" s="10" t="str">
        <x:v>R1</x:v>
      </x:c>
      <x:c r="C43" s="10" t="str">
        <x:v>P0</x:v>
      </x:c>
      <x:c r="D43" s="10" t="str">
        <x:v>WP02</x:v>
      </x:c>
      <x:c r="E43" s="10" t="str">
        <x:v>Results hierarchy</x:v>
      </x:c>
      <x:c r="F43" s="10" t="str">
        <x:v>Domain lead</x:v>
      </x:c>
      <x:c r="G43" s="12" t="str">
        <x:v>Not started</x:v>
      </x:c>
      <x:c r="H43" s="12" t="str"/>
      <x:c r="I43" s="10" t="str">
        <x:v>The planner creates typed framework nodes in a table or relationship view. Both views edit the same stable node identities and version. Required node title, description, owner and intended result level are validated before review; activities may link to output nodes.</x:v>
      </x:c>
      <x:c r="J43" s="10" t="str">
        <x:v>Reject cycles in containment, orphaned parent references and deletion of a referenced approved node. Relationship links and numeric aggregation links are distinct objects.</x:v>
      </x:c>
      <x:c r="K43" s="10" t="str">
        <x:v>Rename one output in the table and verify the graph and indicator bindings update within the same draft without creating a duplicate node.</x:v>
      </x:c>
      <x:c r="L43" s="10" t="str">
        <x:v>TC-PLN-001-01 / TC-PLN-001-02</x:v>
      </x:c>
      <x:c r="M43" s="12" t="str">
        <x:v>No accepted implementation evidence mapped.</x:v>
      </x:c>
      <x:c r="N43" s="10" t="str">
        <x:f>IF(G43="Done",IF(AND(LEN(H43)&gt;0,LEN(M43)&gt;0),"Complete","Evidence required"),"Open")</x:f>
        <x:v>Open</x:v>
      </x:c>
      <x:c r="O43" s="17" t="str">
        <x:v>No complete implementation and acceptance evidence mapped. Retain the original acceptance criteria; this requirement remains open.</x:v>
      </x:c>
      <x:c r="P43" s="17" t="str">
        <x:v>PENDING</x:v>
      </x:c>
    </x:row>
    <x:row r="44" ht="64" customHeight="1">
      <x:c r="A44" s="10" t="str">
        <x:v>FR-PLN-002</x:v>
      </x:c>
      <x:c r="B44" s="10" t="str">
        <x:v>R2</x:v>
      </x:c>
      <x:c r="C44" s="10" t="str">
        <x:v>P1</x:v>
      </x:c>
      <x:c r="D44" s="10" t="str">
        <x:v>WP02</x:v>
      </x:c>
      <x:c r="E44" s="10" t="str">
        <x:v>Theory of change relationships</x:v>
      </x:c>
      <x:c r="F44" s="10" t="str">
        <x:v>Domain lead</x:v>
      </x:c>
      <x:c r="G44" s="12" t="str">
        <x:v>Not started</x:v>
      </x:c>
      <x:c r="H44" s="12" t="str"/>
      <x:c r="I44" s="10" t="str">
        <x:v>The theory of change editor adds directed contribution links with rationale, assumptions, evidence strength and optional external context. Cross programme links require permission to both endpoints or a separately shared summary endpoint.</x:v>
      </x:c>
      <x:c r="J44" s="10" t="str">
        <x:v>Alternative causal pathways are allowed; a containment cycle is not. Adding a theory relationship never creates a numeric sum, deduplication rule or causal proof.</x:v>
      </x:c>
      <x:c r="K44" s="10" t="str">
        <x:v>Link two outcomes to one impact and inspect the parent result; it remains uncalculated until an explicit approved numeric rule exists.</x:v>
      </x:c>
      <x:c r="L44" s="10" t="str">
        <x:v>TC-PLN-002-01 / TC-PLN-002-02</x:v>
      </x:c>
      <x:c r="M44" s="12" t="str">
        <x:v>No accepted implementation evidence mapped.</x:v>
      </x:c>
      <x:c r="N44" s="10" t="str">
        <x:f>IF(G44="Done",IF(AND(LEN(H44)&gt;0,LEN(M44)&gt;0),"Complete","Evidence required"),"Open")</x:f>
        <x:v>Open</x:v>
      </x:c>
      <x:c r="O44" s="17" t="str">
        <x:v>No complete implementation and acceptance evidence mapped. Retain the original acceptance criteria; this requirement remains open.</x:v>
      </x:c>
      <x:c r="P44" s="17" t="str">
        <x:v>PENDING</x:v>
      </x:c>
    </x:row>
    <x:row r="45" ht="64" customHeight="1">
      <x:c r="A45" s="10" t="str">
        <x:v>FR-PLN-003</x:v>
      </x:c>
      <x:c r="B45" s="10" t="str">
        <x:v>R1</x:v>
      </x:c>
      <x:c r="C45" s="10" t="str">
        <x:v>P0</x:v>
      </x:c>
      <x:c r="D45" s="10" t="str">
        <x:v>WP02</x:v>
      </x:c>
      <x:c r="E45" s="10" t="str">
        <x:v>Framework baselines</x:v>
      </x:c>
      <x:c r="F45" s="10" t="str">
        <x:v>Domain lead</x:v>
      </x:c>
      <x:c r="G45" s="12" t="str">
        <x:v>Not started</x:v>
      </x:c>
      <x:c r="H45" s="12" t="str"/>
      <x:c r="I45" s="10" t="str">
        <x:v>Submit a framework candidate with its completeness report and change comparison. Review shows impacted indicators, targets, activities, templates and obligations. Approval freezes a baseline version; subsequent changes start a child draft with effective date.</x:v>
      </x:c>
      <x:c r="J45" s="10" t="str">
        <x:v>A previously approved reporting snapshot references its original baseline. Deleting an obsolete draft does not delete approved history or source citations.</x:v>
      </x:c>
      <x:c r="K45" s="10" t="str">
        <x:v>Revise an outcome in July and regenerate the March report; March retains its approved hierarchy and language.</x:v>
      </x:c>
      <x:c r="L45" s="10" t="str">
        <x:v>TC-PLN-003-01 / TC-PLN-003-02</x:v>
      </x:c>
      <x:c r="M45" s="12" t="str">
        <x:v>No accepted implementation evidence mapped.</x:v>
      </x:c>
      <x:c r="N45" s="10" t="str">
        <x:f>IF(G45="Done",IF(AND(LEN(H45)&gt;0,LEN(M45)&gt;0),"Complete","Evidence required"),"Open")</x:f>
        <x:v>Open</x:v>
      </x:c>
      <x:c r="O45" s="17" t="str">
        <x:v>No complete implementation and acceptance evidence mapped. Retain the original acceptance criteria; this requirement remains open.</x:v>
      </x:c>
      <x:c r="P45" s="17" t="str">
        <x:v>PENDING</x:v>
      </x:c>
    </x:row>
    <x:row r="46" ht="64" customHeight="1">
      <x:c r="A46" s="10" t="str">
        <x:v>FR-PLN-004</x:v>
      </x:c>
      <x:c r="B46" s="10" t="str">
        <x:v>R1</x:v>
      </x:c>
      <x:c r="C46" s="10" t="str">
        <x:v>P1</x:v>
      </x:c>
      <x:c r="D46" s="10" t="str">
        <x:v>WP02</x:v>
      </x:c>
      <x:c r="E46" s="10" t="str">
        <x:v>Reusable libraries</x:v>
      </x:c>
      <x:c r="F46" s="10" t="str">
        <x:v>Domain lead</x:v>
      </x:c>
      <x:c r="G46" s="12" t="str">
        <x:v>Not started</x:v>
      </x:c>
      <x:c r="H46" s="12" t="str"/>
      <x:c r="I46" s="10" t="str">
        <x:v>A library curator publishes a version with applicability, owner, review date and permitted override fields. Instantiation selects a pinned copy or a managed update relationship. Update notices show semantic differences and affected local changes before adoption.</x:v>
      </x:c>
      <x:c r="J46" s="10" t="str">
        <x:v>Even managed instances do not update approved definitions automatically. A project may reject an update with a recorded reason; library retirement prevents new use without invalidating old reports.</x:v>
      </x:c>
      <x:c r="K46" s="10" t="str">
        <x:v>Update a template denominator and confirm two consuming projects remain on their existing versions until each adopts a reviewed revision.</x:v>
      </x:c>
      <x:c r="L46" s="10" t="str">
        <x:v>TC-PLN-004-01 / TC-PLN-004-02</x:v>
      </x:c>
      <x:c r="M46" s="12" t="str">
        <x:v>No accepted implementation evidence mapped.</x:v>
      </x:c>
      <x:c r="N46" s="10" t="str">
        <x:f>IF(G46="Done",IF(AND(LEN(H46)&gt;0,LEN(M46)&gt;0),"Complete","Evidence required"),"Open")</x:f>
        <x:v>Open</x:v>
      </x:c>
      <x:c r="O46" s="17" t="str">
        <x:v>No complete implementation and acceptance evidence mapped. Retain the original acceptance criteria; this requirement remains open.</x:v>
      </x:c>
      <x:c r="P46" s="17" t="str">
        <x:v>PENDING</x:v>
      </x:c>
    </x:row>
    <x:row r="47" ht="51" customHeight="1">
      <x:c r="A47" s="10" t="str">
        <x:v>FR-PLN-005</x:v>
      </x:c>
      <x:c r="B47" s="10" t="str">
        <x:v>R2</x:v>
      </x:c>
      <x:c r="C47" s="10" t="str">
        <x:v>P1</x:v>
      </x:c>
      <x:c r="D47" s="10" t="str">
        <x:v>WP02</x:v>
      </x:c>
      <x:c r="E47" s="10" t="str">
        <x:v>Standard mappings</x:v>
      </x:c>
      <x:c r="F47" s="10" t="str">
        <x:v>Domain lead</x:v>
      </x:c>
      <x:c r="G47" s="12" t="str">
        <x:v>Not started</x:v>
      </x:c>
      <x:c r="H47" s="12" t="str"/>
      <x:c r="I47" s="10" t="str">
        <x:v>A mapping editor links local nodes or indicators to a versioned external standard using a relation type such as related to, contributes to or equivalent by reviewed definition. It records rationale and reviewer.</x:v>
      </x:c>
      <x:c r="J47" s="10" t="str">
        <x:v>Many to many mappings organise reporting only. They do not imply mathematical equivalence, unit conversion or additive attribution. An unavailable standard version remains a historical reference.</x:v>
      </x:c>
      <x:c r="K47" s="10" t="str">
        <x:v>Map one local measure to two SDG entries and verify the organisational unique result is still counted once.</x:v>
      </x:c>
      <x:c r="L47" s="10" t="str">
        <x:v>TC-PLN-005-01 / TC-PLN-005-02</x:v>
      </x:c>
      <x:c r="M47" s="12" t="str">
        <x:v>No accepted implementation evidence mapped.</x:v>
      </x:c>
      <x:c r="N47" s="10" t="str">
        <x:f>IF(G47="Done",IF(AND(LEN(H47)&gt;0,LEN(M47)&gt;0),"Complete","Evidence required"),"Open")</x:f>
        <x:v>Open</x:v>
      </x:c>
      <x:c r="O47" s="17" t="str">
        <x:v>No complete implementation and acceptance evidence mapped. Retain the original acceptance criteria; this requirement remains open.</x:v>
      </x:c>
      <x:c r="P47" s="17" t="str">
        <x:v>PENDING</x:v>
      </x:c>
    </x:row>
    <x:row r="48" ht="64" customHeight="1">
      <x:c r="A48" s="10" t="str">
        <x:v>FR-PLN-006</x:v>
      </x:c>
      <x:c r="B48" s="10" t="str">
        <x:v>R1</x:v>
      </x:c>
      <x:c r="C48" s="10" t="str">
        <x:v>P0</x:v>
      </x:c>
      <x:c r="D48" s="10" t="str">
        <x:v>WP02</x:v>
      </x:c>
      <x:c r="E48" s="10" t="str">
        <x:v>Measurement plan</x:v>
      </x:c>
      <x:c r="F48" s="10" t="str">
        <x:v>Domain lead</x:v>
      </x:c>
      <x:c r="G48" s="12" t="str">
        <x:v>In progress</x:v>
      </x:c>
      <x:c r="H48" s="12" t="str"/>
      <x:c r="I48" s="10" t="str">
        <x:v>The measurement plan matrix requires source mode, method, collection owner, reviewer, calendar, coverage and evidence rule for each active indicator. Activation runs completeness checks and creates assigned remediation items for gaps.</x:v>
      </x:c>
      <x:c r="J48" s="10" t="str">
        <x:v>Collector and reviewer must be eligible and independent where required. A missing source binding cannot be replaced by a default zero series.</x:v>
      </x:c>
      <x:c r="K48" s="10" t="str">
        <x:v>Attempt activation with an unassigned reviewer and missing denominator method; show both exact fields and prevent Ready to Active until resolved.</x:v>
      </x:c>
      <x:c r="L48" s="10" t="str">
        <x:v>TC-PLN-006-01 / TC-PLN-006-02</x:v>
      </x:c>
      <x:c r="M48" s="12" t="str">
        <x:v>apps/api/impact_api/measurement.py; qualification/test_work_center.py; docs/RELEASE-0.7.md</x:v>
      </x:c>
      <x:c r="N48" s="10" t="str">
        <x:f>IF(G48="Done",IF(AND(LEN(H48)&gt;0,LEN(M48)&gt;0),"Complete","Evidence required"),"Open")</x:f>
        <x:v>Open</x:v>
      </x:c>
      <x:c r="O48"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48" s="17" t="str">
        <x:v>PARTIAL</x:v>
      </x:c>
    </x:row>
    <x:row r="49" ht="51" customHeight="1">
      <x:c r="A49" s="10" t="str">
        <x:v>FR-PLN-007</x:v>
      </x:c>
      <x:c r="B49" s="10" t="str">
        <x:v>R1</x:v>
      </x:c>
      <x:c r="C49" s="10" t="str">
        <x:v>P1</x:v>
      </x:c>
      <x:c r="D49" s="10" t="str">
        <x:v>WP02</x:v>
      </x:c>
      <x:c r="E49" s="10" t="str">
        <x:v>Assumptions and context</x:v>
      </x:c>
      <x:c r="F49" s="10" t="str">
        <x:v>Domain lead</x:v>
      </x:c>
      <x:c r="G49" s="12" t="str">
        <x:v>Not started</x:v>
      </x:c>
      <x:c r="H49" s="12" t="str"/>
      <x:c r="I49" s="10" t="str">
        <x:v>Managers create assumptions and context records linked to nodes, with expected condition, evidence, owner, review date and status. Marking an assumption invalid generates a review task and highlights affected planning views.</x:v>
      </x:c>
      <x:c r="J49" s="10" t="str">
        <x:v>An assumption status changes interpretation, not recorded actuals. Changes to a past assumption retain the previous assessment and effective date.</x:v>
      </x:c>
      <x:c r="K49" s="10" t="str">
        <x:v>Invalidate a funding assumption after a baseline was approved; the linked outcome is flagged and historical results remain unchanged.</x:v>
      </x:c>
      <x:c r="L49" s="10" t="str">
        <x:v>TC-PLN-007-01 / TC-PLN-007-02</x:v>
      </x:c>
      <x:c r="M49" s="12" t="str">
        <x:v>No accepted implementation evidence mapped.</x:v>
      </x:c>
      <x:c r="N49" s="10" t="str">
        <x:f>IF(G49="Done",IF(AND(LEN(H49)&gt;0,LEN(M49)&gt;0),"Complete","Evidence required"),"Open")</x:f>
        <x:v>Open</x:v>
      </x:c>
      <x:c r="O49" s="17" t="str">
        <x:v>No complete implementation and acceptance evidence mapped. Retain the original acceptance criteria; this requirement remains open.</x:v>
      </x:c>
      <x:c r="P49" s="17" t="str">
        <x:v>PENDING</x:v>
      </x:c>
    </x:row>
    <x:row r="50" ht="64" customHeight="1">
      <x:c r="A50" s="10" t="str">
        <x:v>FR-PLN-008</x:v>
      </x:c>
      <x:c r="B50" s="10" t="str">
        <x:v>R3</x:v>
      </x:c>
      <x:c r="C50" s="10" t="str">
        <x:v>P2</x:v>
      </x:c>
      <x:c r="D50" s="10" t="str">
        <x:v>WP02</x:v>
      </x:c>
      <x:c r="E50" s="10" t="str">
        <x:v>Planning scenarios</x:v>
      </x:c>
      <x:c r="F50" s="10" t="str">
        <x:v>Domain lead</x:v>
      </x:c>
      <x:c r="G50" s="12" t="str">
        <x:v>Not started</x:v>
      </x:c>
      <x:c r="H50" s="12" t="str"/>
      <x:c r="I50" s="10" t="str">
        <x:v>A scenario starts from a pinned programme baseline and records altered targets, budgets, timing and assumptions. Comparison shows differences and calculated projections separately from approved actuals. Adoption creates ordinary amendment proposals for each governed object.</x:v>
      </x:c>
      <x:c r="J50" s="10" t="str">
        <x:v>No direct promote operation can bypass target, budget or framework approval. Abandoned scenarios remain labelled and are excluded from official portfolio views.</x:v>
      </x:c>
      <x:c r="K50" s="10" t="str">
        <x:v>Compare two funding scenarios and adopt one; the original targets remain official until all required amendment decisions complete.</x:v>
      </x:c>
      <x:c r="L50" s="10" t="str">
        <x:v>TC-PLN-008-01 / TC-PLN-008-02</x:v>
      </x:c>
      <x:c r="M50" s="12" t="str">
        <x:v>No accepted implementation evidence mapped.</x:v>
      </x:c>
      <x:c r="N50" s="10" t="str">
        <x:f>IF(G50="Done",IF(AND(LEN(H50)&gt;0,LEN(M50)&gt;0),"Complete","Evidence required"),"Open")</x:f>
        <x:v>Open</x:v>
      </x:c>
      <x:c r="O50" s="17" t="str">
        <x:v>No complete implementation and acceptance evidence mapped. Retain the original acceptance criteria; this requirement remains open.</x:v>
      </x:c>
      <x:c r="P50" s="17" t="str">
        <x:v>PENDING</x:v>
      </x:c>
    </x:row>
    <x:row r="51" ht="64" customHeight="1">
      <x:c r="A51" s="10" t="str">
        <x:v>FR-PLN-009</x:v>
      </x:c>
      <x:c r="B51" s="10" t="str">
        <x:v>R1</x:v>
      </x:c>
      <x:c r="C51" s="10" t="str">
        <x:v>P1</x:v>
      </x:c>
      <x:c r="D51" s="10" t="str">
        <x:v>WP02</x:v>
      </x:c>
      <x:c r="E51" s="10" t="str">
        <x:v>Document assisted setup</x:v>
      </x:c>
      <x:c r="F51" s="10" t="str">
        <x:v>Domain lead</x:v>
      </x:c>
      <x:c r="G51" s="12" t="str">
        <x:v>Not started</x:v>
      </x:c>
      <x:c r="H51" s="12" t="str"/>
      <x:c r="I51" s="10" t="str">
        <x:v>Setup offers manual, library and document assisted paths into the same draft entities. Extraction presents source location, proposed field, ambiguity and inference label. The user accepts or edits selected values and sees unresolved fields before submission.</x:v>
      </x:c>
      <x:c r="J51" s="10" t="str">
        <x:v>Missing dates, populations or commitments stay missing. AI inferred relationships are not source facts; material additions require normal review. No source text can execute a product command.</x:v>
      </x:c>
      <x:c r="K51" s="10" t="str">
        <x:v>Process a proposal containing two different end dates; setup shows both references and cannot activate until the owner resolves the conflict.</x:v>
      </x:c>
      <x:c r="L51" s="10" t="str">
        <x:v>TC-PLN-009-01 / TC-PLN-009-02</x:v>
      </x:c>
      <x:c r="M51" s="12" t="str">
        <x:v>No accepted implementation evidence mapped.</x:v>
      </x:c>
      <x:c r="N51" s="10" t="str">
        <x:f>IF(G51="Done",IF(AND(LEN(H51)&gt;0,LEN(M51)&gt;0),"Complete","Evidence required"),"Open")</x:f>
        <x:v>Open</x:v>
      </x:c>
      <x:c r="O51" s="17" t="str">
        <x:v>No complete implementation and acceptance evidence mapped. Retain the original acceptance criteria; this requirement remains open.</x:v>
      </x:c>
      <x:c r="P51" s="17" t="str">
        <x:v>PENDING</x:v>
      </x:c>
    </x:row>
    <x:row r="52" ht="64" customHeight="1">
      <x:c r="A52" s="10" t="str">
        <x:v>FR-PLN-010</x:v>
      </x:c>
      <x:c r="B52" s="10" t="str">
        <x:v>R1</x:v>
      </x:c>
      <x:c r="C52" s="10" t="str">
        <x:v>P0</x:v>
      </x:c>
      <x:c r="D52" s="10" t="str">
        <x:v>WP02</x:v>
      </x:c>
      <x:c r="E52" s="10" t="str">
        <x:v>Framework completeness review</x:v>
      </x:c>
      <x:c r="F52" s="10" t="str">
        <x:v>Domain lead</x:v>
      </x:c>
      <x:c r="G52" s="12" t="str">
        <x:v>Not started</x:v>
      </x:c>
      <x:c r="H52" s="12" t="str"/>
      <x:c r="I52" s="10" t="str">
        <x:v>The completeness view checks orphan nodes, unmeasured outcomes, missing owners, invalid sources, unreviewed assumptions and conflicting reporting obligations. Each issue has severity, object, rule and assigned resolver. Eligible exceptions require reason and review date.</x:v>
      </x:c>
      <x:c r="J52" s="10" t="str">
        <x:v>Structural invalidity and unsupported official arithmetic cannot be excepted. A warning can be accepted only by the named authority and remains visible in baseline evidence.</x:v>
      </x:c>
      <x:c r="K52" s="10" t="str">
        <x:v>Submit a framework with an unmeasured output; approval either includes a permitted documented exception or remains blocked with an assigned action.</x:v>
      </x:c>
      <x:c r="L52" s="10" t="str">
        <x:v>TC-PLN-010-01 / TC-PLN-010-02</x:v>
      </x:c>
      <x:c r="M52" s="12" t="str">
        <x:v>No accepted implementation evidence mapped.</x:v>
      </x:c>
      <x:c r="N52" s="10" t="str">
        <x:f>IF(G52="Done",IF(AND(LEN(H52)&gt;0,LEN(M52)&gt;0),"Complete","Evidence required"),"Open")</x:f>
        <x:v>Open</x:v>
      </x:c>
      <x:c r="O52" s="17" t="str">
        <x:v>No complete implementation and acceptance evidence mapped. Retain the original acceptance criteria; this requirement remains open.</x:v>
      </x:c>
      <x:c r="P52" s="17" t="str">
        <x:v>PENDING</x:v>
      </x:c>
    </x:row>
    <x:row r="53" ht="64" customHeight="1">
      <x:c r="A53" s="10" t="str">
        <x:v>FR-PRG-001</x:v>
      </x:c>
      <x:c r="B53" s="10" t="str">
        <x:v>R1</x:v>
      </x:c>
      <x:c r="C53" s="10" t="str">
        <x:v>P0</x:v>
      </x:c>
      <x:c r="D53" s="10" t="str">
        <x:v>WP02</x:v>
      </x:c>
      <x:c r="E53" s="10" t="str">
        <x:v>Programme and project registry</x:v>
      </x:c>
      <x:c r="F53" s="10" t="str">
        <x:v>Domain lead</x:v>
      </x:c>
      <x:c r="G53" s="12" t="str">
        <x:v>In progress</x:v>
      </x:c>
      <x:c r="H53" s="12" t="str"/>
      <x:c r="I53" s="10" t="str">
        <x:v>Programme creation validates a tenant unique code, title, dates, owner, geography and reporting calendar. Users add portfolio memberships with effective dates. Registry filters apply access before counts and allow archive or reopen only through lifecycle actions.</x:v>
      </x:c>
      <x:c r="J53" s="10" t="str">
        <x:v>A project may appear in several views without duplicating its underlying identity. Archived projects remain searchable to authorised auditors but cannot receive ordinary new submissions.</x:v>
      </x:c>
      <x:c r="K53" s="10" t="str">
        <x:v>Create project P in two thematic portfolios and confirm the organisation registry contains one project identity and two memberships.</x:v>
      </x:c>
      <x:c r="L53" s="10" t="str">
        <x:v>TC-PRG-001-01 / TC-PRG-001-02</x:v>
      </x:c>
      <x:c r="M53" s="12" t="str">
        <x:v>apps/api/impact_api/measurement.py; qualification/test_work_center.py; docs/RELEASE-0.7.md</x:v>
      </x:c>
      <x:c r="N53" s="10" t="str">
        <x:f>IF(G53="Done",IF(AND(LEN(H53)&gt;0,LEN(M53)&gt;0),"Complete","Evidence required"),"Open")</x:f>
        <x:v>Open</x:v>
      </x:c>
      <x:c r="O53"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53" s="17" t="str">
        <x:v>PARTIAL</x:v>
      </x:c>
    </x:row>
    <x:row r="54" ht="64" customHeight="1">
      <x:c r="A54" s="10" t="str">
        <x:v>FR-PRG-002</x:v>
      </x:c>
      <x:c r="B54" s="10" t="str">
        <x:v>R1</x:v>
      </x:c>
      <x:c r="C54" s="10" t="str">
        <x:v>P1</x:v>
      </x:c>
      <x:c r="D54" s="10" t="str">
        <x:v>WP02</x:v>
      </x:c>
      <x:c r="E54" s="10" t="str">
        <x:v>Activities and milestones</x:v>
      </x:c>
      <x:c r="F54" s="10" t="str">
        <x:v>Domain lead</x:v>
      </x:c>
      <x:c r="G54" s="12" t="str">
        <x:v>Not started</x:v>
      </x:c>
      <x:c r="H54" s="12" t="str"/>
      <x:c r="I54" s="10" t="str">
        <x:v>Managers define activities with assignee, start, due date, predecessor links, milestone evidence and framework reference. Completion requires the declared deliverable evidence or an authorised exception; blocked and cancelled are explicit states.</x:v>
      </x:c>
      <x:c r="J54" s="10" t="str">
        <x:v>Reject dependency cycles and due dates before start. A predecessor delay flags downstream risk but never automatically changes official outcome actuals or approved programme dates.</x:v>
      </x:c>
      <x:c r="K54" s="10" t="str">
        <x:v>Delay activity A, which precedes B; B shows dependency risk, its approved due date is retained and no indicator achievement is invented.</x:v>
      </x:c>
      <x:c r="L54" s="10" t="str">
        <x:v>TC-PRG-002-01 / TC-PRG-002-02</x:v>
      </x:c>
      <x:c r="M54" s="12" t="str">
        <x:v>No accepted implementation evidence mapped.</x:v>
      </x:c>
      <x:c r="N54" s="10" t="str">
        <x:f>IF(G54="Done",IF(AND(LEN(H54)&gt;0,LEN(M54)&gt;0),"Complete","Evidence required"),"Open")</x:f>
        <x:v>Open</x:v>
      </x:c>
      <x:c r="O54" s="17" t="str">
        <x:v>No complete implementation and acceptance evidence mapped. Retain the original acceptance criteria; this requirement remains open.</x:v>
      </x:c>
      <x:c r="P54" s="17" t="str">
        <x:v>PENDING</x:v>
      </x:c>
    </x:row>
    <x:row r="55" ht="64" customHeight="1">
      <x:c r="A55" s="10" t="str">
        <x:v>FR-PRG-003</x:v>
      </x:c>
      <x:c r="B55" s="10" t="str">
        <x:v>R1</x:v>
      </x:c>
      <x:c r="C55" s="10" t="str">
        <x:v>P1</x:v>
      </x:c>
      <x:c r="D55" s="10" t="str">
        <x:v>WP02</x:v>
      </x:c>
      <x:c r="E55" s="10" t="str">
        <x:v>Workplans and calendars</x:v>
      </x:c>
      <x:c r="F55" s="10" t="str">
        <x:v>Domain lead</x:v>
      </x:c>
      <x:c r="G55" s="12" t="str">
        <x:v>Not started</x:v>
      </x:c>
      <x:c r="H55" s="12" t="str"/>
      <x:c r="I55" s="10" t="str">
        <x:v>The calendar renders programme and reporting tasks in the viewer's zone with the governing deadline zone available. Recurrence creates stable obligation instances using the working calendar. Reschedule preview lists future tasks and affected recipients.</x:v>
      </x:c>
      <x:c r="J55" s="10" t="str">
        <x:v>Locked period deadlines remain immutable history. Daylight saving changes resolve to one declared instant; duplicate task creation is prevented by obligation identity.</x:v>
      </x:c>
      <x:c r="K55" s="10" t="str">
        <x:v>Move programme end by one month and confirm only eligible future tasks shift, while a locked quarterly deadline stays unchanged.</x:v>
      </x:c>
      <x:c r="L55" s="10" t="str">
        <x:v>TC-PRG-003-01 / TC-PRG-003-02</x:v>
      </x:c>
      <x:c r="M55" s="12" t="str">
        <x:v>No accepted implementation evidence mapped.</x:v>
      </x:c>
      <x:c r="N55" s="10" t="str">
        <x:f>IF(G55="Done",IF(AND(LEN(H55)&gt;0,LEN(M55)&gt;0),"Complete","Evidence required"),"Open")</x:f>
        <x:v>Open</x:v>
      </x:c>
      <x:c r="O55" s="17" t="str">
        <x:v>No complete implementation and acceptance evidence mapped. Retain the original acceptance criteria; this requirement remains open.</x:v>
      </x:c>
      <x:c r="P55" s="17" t="str">
        <x:v>PENDING</x:v>
      </x:c>
    </x:row>
    <x:row r="56" ht="51" customHeight="1">
      <x:c r="A56" s="10" t="str">
        <x:v>FR-PRG-004</x:v>
      </x:c>
      <x:c r="B56" s="10" t="str">
        <x:v>R1</x:v>
      </x:c>
      <x:c r="C56" s="10" t="str">
        <x:v>P1</x:v>
      </x:c>
      <x:c r="D56" s="10" t="str">
        <x:v>WP02</x:v>
      </x:c>
      <x:c r="E56" s="10" t="str">
        <x:v>Risks issues and dependencies</x:v>
      </x:c>
      <x:c r="F56" s="10" t="str">
        <x:v>Domain lead</x:v>
      </x:c>
      <x:c r="G56" s="12" t="str">
        <x:v>Not started</x:v>
      </x:c>
      <x:c r="H56" s="12" t="str"/>
      <x:c r="I56" s="10" t="str">
        <x:v>A risk record captures category, likelihood, impact, score rule, owner, mitigation and review date. An issue records an observed problem and evidence. Automated detections enter suggested state until a manager validates them.</x:v>
      </x:c>
      <x:c r="J56" s="10" t="str">
        <x:v>Risk score is calculated from an explicit configured matrix, not AI certainty. Closing needs resolution evidence and does not remove earlier escalation events.</x:v>
      </x:c>
      <x:c r="K56" s="10" t="str">
        <x:v>Create a high impact issue past its due date; escalation identifies the responsible manager and linked obligations without exposing restricted evidence in email.</x:v>
      </x:c>
      <x:c r="L56" s="10" t="str">
        <x:v>TC-PRG-004-01 / TC-PRG-004-02</x:v>
      </x:c>
      <x:c r="M56" s="12" t="str">
        <x:v>No accepted implementation evidence mapped.</x:v>
      </x:c>
      <x:c r="N56" s="10" t="str">
        <x:f>IF(G56="Done",IF(AND(LEN(H56)&gt;0,LEN(M56)&gt;0),"Complete","Evidence required"),"Open")</x:f>
        <x:v>Open</x:v>
      </x:c>
      <x:c r="O56" s="17" t="str">
        <x:v>No complete implementation and acceptance evidence mapped. Retain the original acceptance criteria; this requirement remains open.</x:v>
      </x:c>
      <x:c r="P56" s="17" t="str">
        <x:v>PENDING</x:v>
      </x:c>
    </x:row>
    <x:row r="57" ht="51" customHeight="1">
      <x:c r="A57" s="10" t="str">
        <x:v>FR-PRG-005</x:v>
      </x:c>
      <x:c r="B57" s="10" t="str">
        <x:v>R1</x:v>
      </x:c>
      <x:c r="C57" s="10" t="str">
        <x:v>P1</x:v>
      </x:c>
      <x:c r="D57" s="10" t="str">
        <x:v>WP02</x:v>
      </x:c>
      <x:c r="E57" s="10" t="str">
        <x:v>Geography and sites</x:v>
      </x:c>
      <x:c r="F57" s="10" t="str">
        <x:v>Domain lead</x:v>
      </x:c>
      <x:c r="G57" s="12" t="str">
        <x:v>In progress</x:v>
      </x:c>
      <x:c r="H57" s="12" t="str"/>
      <x:c r="I57" s="10" t="str">
        <x:v>A geography editor imports or selects a versioned hierarchy and optional permitted coordinates. Project and observation bindings record boundary version and effective date. Maps use the disclosure level allowed for the viewer.</x:v>
      </x:c>
      <x:c r="J57" s="10" t="str">
        <x:v>Changing boundaries never rewrites old observation codes. Exact coordinates require separate permission; generalisation uses a documented mapping rather than arbitrary jitter presented as an exact location.</x:v>
      </x:c>
      <x:c r="K57" s="10" t="str">
        <x:v>Split a district into two new districts and reproduce a report on the old boundary while future data uses the new codes.</x:v>
      </x:c>
      <x:c r="L57" s="10" t="str">
        <x:v>TC-PRG-005-01 / TC-PRG-005-02</x:v>
      </x:c>
      <x:c r="M57" s="12" t="str">
        <x:v>apps/api/impact_api/measurement.py; qualification/test_work_center.py; docs/RELEASE-0.7.md</x:v>
      </x:c>
      <x:c r="N57" s="10" t="str">
        <x:f>IF(G57="Done",IF(AND(LEN(H57)&gt;0,LEN(M57)&gt;0),"Complete","Evidence required"),"Open")</x:f>
        <x:v>Open</x:v>
      </x:c>
      <x:c r="O57"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57" s="17" t="str">
        <x:v>PARTIAL</x:v>
      </x:c>
    </x:row>
    <x:row r="58" ht="64" customHeight="1">
      <x:c r="A58" s="10" t="str">
        <x:v>FR-PRG-006</x:v>
      </x:c>
      <x:c r="B58" s="10" t="str">
        <x:v>R1</x:v>
      </x:c>
      <x:c r="C58" s="10" t="str">
        <x:v>P0</x:v>
      </x:c>
      <x:c r="D58" s="10" t="str">
        <x:v>WP02</x:v>
      </x:c>
      <x:c r="E58" s="10" t="str">
        <x:v>Partner responsibilities</x:v>
      </x:c>
      <x:c r="F58" s="10" t="str">
        <x:v>Domain lead</x:v>
      </x:c>
      <x:c r="G58" s="12" t="str">
        <x:v>In progress</x:v>
      </x:c>
      <x:c r="H58" s="12" t="str"/>
      <x:c r="I58" s="10" t="str">
        <x:v>A manager assigns a partner to collection, activity or reporting responsibility with dates, acceptance and explicit scope. The partner accepts or requests correction. Transfer preview lists open tasks, historic submissions and new access needs.</x:v>
      </x:c>
      <x:c r="J58" s="10" t="str">
        <x:v>New responsibility does not confer access to unrelated historical participant records. Existing approved submissions remain attributed to the original contributor.</x:v>
      </x:c>
      <x:c r="K58" s="10" t="str">
        <x:v>Transfer next quarter's reporting from X to Y; X's approved quarter stays intact and Y sees only the assignments and evidence needed for future work.</x:v>
      </x:c>
      <x:c r="L58" s="10" t="str">
        <x:v>TC-PRG-006-01 / TC-PRG-006-02</x:v>
      </x:c>
      <x:c r="M58" s="12" t="str">
        <x:v>apps/api/impact_api/measurement.py; qualification/test_work_center.py; docs/RELEASE-0.7.md</x:v>
      </x:c>
      <x:c r="N58" s="10" t="str">
        <x:f>IF(G58="Done",IF(AND(LEN(H58)&gt;0,LEN(M58)&gt;0),"Complete","Evidence required"),"Open")</x:f>
        <x:v>Open</x:v>
      </x:c>
      <x:c r="O58"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58" s="17" t="str">
        <x:v>PARTIAL</x:v>
      </x:c>
    </x:row>
    <x:row r="59" ht="64" customHeight="1">
      <x:c r="A59" s="10" t="str">
        <x:v>FR-PRG-007</x:v>
      </x:c>
      <x:c r="B59" s="10" t="str">
        <x:v>R1</x:v>
      </x:c>
      <x:c r="C59" s="10" t="str">
        <x:v>P1</x:v>
      </x:c>
      <x:c r="D59" s="10" t="str">
        <x:v>WP02</x:v>
      </x:c>
      <x:c r="E59" s="10" t="str">
        <x:v>Programme change control</x:v>
      </x:c>
      <x:c r="F59" s="10" t="str">
        <x:v>Domain lead</x:v>
      </x:c>
      <x:c r="G59" s="12" t="str">
        <x:v>In progress</x:v>
      </x:c>
      <x:c r="H59" s="12" t="str"/>
      <x:c r="I59" s="10" t="str">
        <x:v>A programme amendment contains proposed changes, reason, effective date and impact on targets, activities, budgets and obligations. Reviewers approve an exact amendment package; application creates the corresponding new object versions and receipts.</x:v>
      </x:c>
      <x:c r="J59" s="10" t="str">
        <x:v>If any required child change fails validation, the amendment remains unapplied or explicitly partially applied only under a declared approved mode. No hidden mixture of old and new commitments.</x:v>
      </x:c>
      <x:c r="K59" s="10" t="str">
        <x:v>Shorten a programme while future obligations exist; approval requires resolving or explicitly retaining every affected obligation.</x:v>
      </x:c>
      <x:c r="L59" s="10" t="str">
        <x:v>TC-PRG-007-01 / TC-PRG-007-02</x:v>
      </x:c>
      <x:c r="M59" s="12" t="str">
        <x:v>apps/api/impact_api/measurement.py; qualification/test_work_center.py; docs/RELEASE-0.7.md</x:v>
      </x:c>
      <x:c r="N59" s="10" t="str">
        <x:f>IF(G59="Done",IF(AND(LEN(H59)&gt;0,LEN(M59)&gt;0),"Complete","Evidence required"),"Open")</x:f>
        <x:v>Open</x:v>
      </x:c>
      <x:c r="O59"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59" s="17" t="str">
        <x:v>PARTIAL</x:v>
      </x:c>
    </x:row>
    <x:row r="60" ht="64" customHeight="1">
      <x:c r="A60" s="10" t="str">
        <x:v>FR-PRG-008</x:v>
      </x:c>
      <x:c r="B60" s="10" t="str">
        <x:v>R1</x:v>
      </x:c>
      <x:c r="C60" s="10" t="str">
        <x:v>P0</x:v>
      </x:c>
      <x:c r="D60" s="10" t="str">
        <x:v>WP02</x:v>
      </x:c>
      <x:c r="E60" s="10" t="str">
        <x:v>Closure and archival</x:v>
      </x:c>
      <x:c r="F60" s="10" t="str">
        <x:v>Domain lead</x:v>
      </x:c>
      <x:c r="G60" s="12" t="str">
        <x:v>Not started</x:v>
      </x:c>
      <x:c r="H60" s="12" t="str"/>
      <x:c r="I60" s="10" t="str">
        <x:v>The close wizard lists incomplete submissions, unresolved quality issues, open approvals, deliverables and retention duties. Mandatory blockers require resolution; eligible exceptions are attached to the closure decision. Archival stops ordinary edits and schedules.</x:v>
      </x:c>
      <x:c r="J60" s="10" t="str">
        <x:v>Corrections after closure require approved reopen or a governed amendment with scope. Reopening the programme does not automatically reopen locked reporting periods.</x:v>
      </x:c>
      <x:c r="K60" s="10" t="str">
        <x:v>Archive a project with one permitted warning and verify its approved export still works while new ordinary data entry is denied.</x:v>
      </x:c>
      <x:c r="L60" s="10" t="str">
        <x:v>TC-PRG-008-01 / TC-PRG-008-02</x:v>
      </x:c>
      <x:c r="M60" s="12" t="str">
        <x:v>No accepted implementation evidence mapped.</x:v>
      </x:c>
      <x:c r="N60" s="10" t="str">
        <x:f>IF(G60="Done",IF(AND(LEN(H60)&gt;0,LEN(M60)&gt;0),"Complete","Evidence required"),"Open")</x:f>
        <x:v>Open</x:v>
      </x:c>
      <x:c r="O60" s="17" t="str">
        <x:v>No complete implementation and acceptance evidence mapped. Retain the original acceptance criteria; this requirement remains open.</x:v>
      </x:c>
      <x:c r="P60" s="17" t="str">
        <x:v>PENDING</x:v>
      </x:c>
    </x:row>
    <x:row r="61" ht="51" customHeight="1">
      <x:c r="A61" s="10" t="str">
        <x:v>FR-PRG-009</x:v>
      </x:c>
      <x:c r="B61" s="10" t="str">
        <x:v>R2</x:v>
      </x:c>
      <x:c r="C61" s="10" t="str">
        <x:v>P1</x:v>
      </x:c>
      <x:c r="D61" s="10" t="str">
        <x:v>WP02</x:v>
      </x:c>
      <x:c r="E61" s="10" t="str">
        <x:v>Cross project dependencies</x:v>
      </x:c>
      <x:c r="F61" s="10" t="str">
        <x:v>Domain lead</x:v>
      </x:c>
      <x:c r="G61" s="12" t="str">
        <x:v>Not started</x:v>
      </x:c>
      <x:c r="H61" s="12" t="str"/>
      <x:c r="I61" s="10" t="str">
        <x:v>A manager links an authorised prerequisite across projects with a shared status contract. Receiving users see either the full permitted dependency or a disclosed status summary with owner contact and freshness.</x:v>
      </x:c>
      <x:c r="J61" s="10" t="str">
        <x:v>Do not expose restricted titles, budgets or task comments through the dependency label. A broken grant changes the link to unavailable rather than copying the hidden source.</x:v>
      </x:c>
      <x:c r="K61" s="10" t="str">
        <x:v>A partner sees prerequisite delayed and due date but cannot drill into the originating project's confidential grant agreement.</x:v>
      </x:c>
      <x:c r="L61" s="10" t="str">
        <x:v>TC-PRG-009-01 / TC-PRG-009-02</x:v>
      </x:c>
      <x:c r="M61" s="12" t="str">
        <x:v>No accepted implementation evidence mapped.</x:v>
      </x:c>
      <x:c r="N61" s="10" t="str">
        <x:f>IF(G61="Done",IF(AND(LEN(H61)&gt;0,LEN(M61)&gt;0),"Complete","Evidence required"),"Open")</x:f>
        <x:v>Open</x:v>
      </x:c>
      <x:c r="O61" s="17" t="str">
        <x:v>No complete implementation and acceptance evidence mapped. Retain the original acceptance criteria; this requirement remains open.</x:v>
      </x:c>
      <x:c r="P61" s="17" t="str">
        <x:v>PENDING</x:v>
      </x:c>
    </x:row>
    <x:row r="62" ht="64" customHeight="1">
      <x:c r="A62" s="10" t="str">
        <x:v>FR-PRG-010</x:v>
      </x:c>
      <x:c r="B62" s="10" t="str">
        <x:v>R2</x:v>
      </x:c>
      <x:c r="C62" s="10" t="str">
        <x:v>P1</x:v>
      </x:c>
      <x:c r="D62" s="10" t="str">
        <x:v>WP02</x:v>
      </x:c>
      <x:c r="E62" s="10" t="str">
        <x:v>Bulk administration</x:v>
      </x:c>
      <x:c r="F62" s="10" t="str">
        <x:v>Domain lead</x:v>
      </x:c>
      <x:c r="G62" s="12" t="str">
        <x:v>Not started</x:v>
      </x:c>
      <x:c r="H62" s="12" t="str"/>
      <x:c r="I62" s="10" t="str">
        <x:v>Bulk administration accepts a selected object set and one operation such as owner reassignment or template instantiation. Preview validates every object's current revision and scope, showing valid, skipped and blocked candidates. Execution returns an item manifest.</x:v>
      </x:c>
      <x:c r="J62" s="10" t="str">
        <x:v>No mass approval through this tool. Retrying a completed item with the same operation identity has no new effect; changed candidates need refreshed review.</x:v>
      </x:c>
      <x:c r="K62" s="10" t="str">
        <x:v>Reassign ten projects with two outside scope and one stale revision; seven commit, three report safe reasons and retry does not duplicate template instances.</x:v>
      </x:c>
      <x:c r="L62" s="10" t="str">
        <x:v>TC-PRG-010-01 / TC-PRG-010-02</x:v>
      </x:c>
      <x:c r="M62" s="12" t="str">
        <x:v>No accepted implementation evidence mapped.</x:v>
      </x:c>
      <x:c r="N62" s="10" t="str">
        <x:f>IF(G62="Done",IF(AND(LEN(H62)&gt;0,LEN(M62)&gt;0),"Complete","Evidence required"),"Open")</x:f>
        <x:v>Open</x:v>
      </x:c>
      <x:c r="O62" s="17" t="str">
        <x:v>No complete implementation and acceptance evidence mapped. Retain the original acceptance criteria; this requirement remains open.</x:v>
      </x:c>
      <x:c r="P62" s="17" t="str">
        <x:v>PENDING</x:v>
      </x:c>
    </x:row>
    <x:row r="63" ht="77" customHeight="1">
      <x:c r="A63" s="10" t="str">
        <x:v>FR-IND-001</x:v>
      </x:c>
      <x:c r="B63" s="10" t="str">
        <x:v>R1</x:v>
      </x:c>
      <x:c r="C63" s="10" t="str">
        <x:v>P0</x:v>
      </x:c>
      <x:c r="D63" s="10" t="str">
        <x:v>WP03</x:v>
      </x:c>
      <x:c r="E63" s="10" t="str">
        <x:v>Complete indicator definition</x:v>
      </x:c>
      <x:c r="F63" s="10" t="str">
        <x:v>Measurement lead</x:v>
      </x:c>
      <x:c r="G63" s="12" t="str">
        <x:v>In progress</x:v>
      </x:c>
      <x:c r="H63" s="12" t="str"/>
      <x:c r="I63" s="10" t="str">
        <x:v>The indicator designer requires code, name, type, unit, population, inclusion and exclusion rules, method, source mode, time semantic, frequency, owner and limitations. Conditional panels collect numerator, denominator, multiplier, direction and aggregation rule. Review displays a complete measurement contract.</x:v>
      </x:c>
      <x:c r="J63" s="10" t="str">
        <x:v>A label alone is never an approved definition. Missing conditional fields block submission; undefined populations or units cannot be supplied by an undocumented default.</x:v>
      </x:c>
      <x:c r="K63" s="10" t="str">
        <x:v>Define a percentage with a numerator but no eligible denominator; validation links directly to the missing meaning and approval remains unavailable.</x:v>
      </x:c>
      <x:c r="L63" s="10" t="str">
        <x:v>TC-IND-001-01 / TC-IND-001-02</x:v>
      </x:c>
      <x:c r="M63" s="12" t="str">
        <x:v>apps/api/impact_api/measurement.py; qualification/test_work_center.py; docs/RELEASE-0.7.md</x:v>
      </x:c>
      <x:c r="N63" s="10" t="str">
        <x:f>IF(G63="Done",IF(AND(LEN(H63)&gt;0,LEN(M63)&gt;0),"Complete","Evidence required"),"Open")</x:f>
        <x:v>Open</x:v>
      </x:c>
      <x:c r="O63"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63" s="17" t="str">
        <x:v>PARTIAL</x:v>
      </x:c>
    </x:row>
    <x:row r="64" ht="77" customHeight="1">
      <x:c r="A64" s="10" t="str">
        <x:v>FR-IND-002</x:v>
      </x:c>
      <x:c r="B64" s="10" t="str">
        <x:v>R1</x:v>
      </x:c>
      <x:c r="C64" s="10" t="str">
        <x:v>P0</x:v>
      </x:c>
      <x:c r="D64" s="10" t="str">
        <x:v>WP03</x:v>
      </x:c>
      <x:c r="E64" s="10" t="str">
        <x:v>Supported measurement types</x:v>
      </x:c>
      <x:c r="F64" s="10" t="str">
        <x:v>Measurement lead</x:v>
      </x:c>
      <x:c r="G64" s="12" t="str">
        <x:v>In progress</x:v>
      </x:c>
      <x:c r="H64" s="12" t="str"/>
      <x:c r="I64" s="10" t="str">
        <x:v>Selecting a measurement type constrains allowed inputs and operators. Counts accept integral eligible quantities; percentages use compatible quantities and a multiplier of 100; rates declare their multiplier; ordinal labels retain ordered codes. Imported composite scores in R1 require external method metadata.</x:v>
      </x:c>
      <x:c r="J64" s="10" t="str">
        <x:v>A bounded percentage rejects values outside zero to 100 unless the approved measure explicitly permits a different interpretation. Native weighted composition is R2; ordinal labels cannot be summed.</x:v>
      </x:c>
      <x:c r="K64" s="10" t="str">
        <x:v>Enter an ordinal code into an additive aggregate and confirm incompatibility; import a reviewed external score and retain its stated calculation source.</x:v>
      </x:c>
      <x:c r="L64" s="10" t="str">
        <x:v>TC-IND-002-01 / TC-IND-002-02</x:v>
      </x:c>
      <x:c r="M64" s="12" t="str">
        <x:v>apps/api/impact_api/measurement.py; qualification/test_work_center.py; docs/RELEASE-0.7.md</x:v>
      </x:c>
      <x:c r="N64" s="10" t="str">
        <x:f>IF(G64="Done",IF(AND(LEN(H64)&gt;0,LEN(M64)&gt;0),"Complete","Evidence required"),"Open")</x:f>
        <x:v>Open</x:v>
      </x:c>
      <x:c r="O64"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64" s="17" t="str">
        <x:v>PARTIAL</x:v>
      </x:c>
    </x:row>
    <x:row r="65" ht="64" customHeight="1">
      <x:c r="A65" s="10" t="str">
        <x:v>FR-IND-003</x:v>
      </x:c>
      <x:c r="B65" s="10" t="str">
        <x:v>R1</x:v>
      </x:c>
      <x:c r="C65" s="10" t="str">
        <x:v>P0</x:v>
      </x:c>
      <x:c r="D65" s="10" t="str">
        <x:v>WP03</x:v>
      </x:c>
      <x:c r="E65" s="10" t="str">
        <x:v>Baselines and targets</x:v>
      </x:c>
      <x:c r="F65" s="10" t="str">
        <x:v>Measurement lead</x:v>
      </x:c>
      <x:c r="G65" s="12" t="str">
        <x:v>Not started</x:v>
      </x:c>
      <x:c r="H65" s="12" t="str"/>
      <x:c r="I65" s="10" t="str">
        <x:v>Targets and baselines identify measurement date or period, target kind, value, unit, direction and version. The user chooses higher, lower, within range or milestone interpretation. Progress uses the declared formula and displays original or revised target selection.</x:v>
      </x:c>
      <x:c r="J65" s="10" t="str">
        <x:v>Do not cap overachievement. Undefined target ratios show undefined; a zero target uses milestone or reviewed difference logic rather than dividing by zero.</x:v>
      </x:c>
      <x:c r="K65" s="10" t="str">
        <x:v>With an actual of 120 and higher target 100 display 120 percent attainment; with lower target 10 and actual 8 show achieved and the defined deviation.</x:v>
      </x:c>
      <x:c r="L65" s="10" t="str">
        <x:v>TC-IND-003-01 / TC-IND-003-02</x:v>
      </x:c>
      <x:c r="M65" s="12" t="str">
        <x:v>No accepted implementation evidence mapped.</x:v>
      </x:c>
      <x:c r="N65" s="10" t="str">
        <x:f>IF(G65="Done",IF(AND(LEN(H65)&gt;0,LEN(M65)&gt;0),"Complete","Evidence required"),"Open")</x:f>
        <x:v>Open</x:v>
      </x:c>
      <x:c r="O65" s="17" t="str">
        <x:v>No complete implementation and acceptance evidence mapped. Retain the original acceptance criteria; this requirement remains open.</x:v>
      </x:c>
      <x:c r="P65" s="17" t="str">
        <x:v>PENDING</x:v>
      </x:c>
    </x:row>
    <x:row r="66" ht="64" customHeight="1">
      <x:c r="A66" s="10" t="str">
        <x:v>FR-IND-004</x:v>
      </x:c>
      <x:c r="B66" s="10" t="str">
        <x:v>R1</x:v>
      </x:c>
      <x:c r="C66" s="10" t="str">
        <x:v>P0</x:v>
      </x:c>
      <x:c r="D66" s="10" t="str">
        <x:v>WP03</x:v>
      </x:c>
      <x:c r="E66" s="10" t="str">
        <x:v>Target amendments</x:v>
      </x:c>
      <x:c r="F66" s="10" t="str">
        <x:v>Measurement lead</x:v>
      </x:c>
      <x:c r="G66" s="12" t="str">
        <x:v>Not started</x:v>
      </x:c>
      <x:c r="H66" s="12" t="str"/>
      <x:c r="I66" s="10" t="str">
        <x:v>Target amendment creates a proposed version with reason, effective date and affected periods. The review compares original, currently effective and proposed values. Approval retains all earlier versions and identifies any explicit restatement request.</x:v>
      </x:c>
      <x:c r="J66" s="10" t="str">
        <x:v>A new target never retrospectively changes a frozen report. A target effective after a locked quarter applies only prospectively unless a separately approved restatement chooses another comparison.</x:v>
      </x:c>
      <x:c r="K66" s="10" t="str">
        <x:v>Change a quarter target from 1000 to 800 after lock; the original report remains against 1000 and a restated comparison is distinctly labelled.</x:v>
      </x:c>
      <x:c r="L66" s="10" t="str">
        <x:v>TC-IND-004-01 / TC-IND-004-02</x:v>
      </x:c>
      <x:c r="M66" s="12" t="str">
        <x:v>No accepted implementation evidence mapped.</x:v>
      </x:c>
      <x:c r="N66" s="10" t="str">
        <x:f>IF(G66="Done",IF(AND(LEN(H66)&gt;0,LEN(M66)&gt;0),"Complete","Evidence required"),"Open")</x:f>
        <x:v>Open</x:v>
      </x:c>
      <x:c r="O66" s="17" t="str">
        <x:v>No complete implementation and acceptance evidence mapped. Retain the original acceptance criteria; this requirement remains open.</x:v>
      </x:c>
      <x:c r="P66" s="17" t="str">
        <x:v>PENDING</x:v>
      </x:c>
    </x:row>
    <x:row r="67" ht="64" customHeight="1">
      <x:c r="A67" s="10" t="str">
        <x:v>FR-IND-005</x:v>
      </x:c>
      <x:c r="B67" s="10" t="str">
        <x:v>R1</x:v>
      </x:c>
      <x:c r="C67" s="10" t="str">
        <x:v>P0</x:v>
      </x:c>
      <x:c r="D67" s="10" t="str">
        <x:v>WP03</x:v>
      </x:c>
      <x:c r="E67" s="10" t="str">
        <x:v>Reporting periods</x:v>
      </x:c>
      <x:c r="F67" s="10" t="str">
        <x:v>Measurement lead</x:v>
      </x:c>
      <x:c r="G67" s="12" t="str">
        <x:v>In progress</x:v>
      </x:c>
      <x:c r="H67" s="12" t="str"/>
      <x:c r="I67" s="10" t="str">
        <x:v>The calendar assigns observations using the chosen event date and reporting zone, with inclusive start and exclusive end. Receipt time determines timeliness, not period membership, unless the measurement contract explicitly uses receipt time.</x:v>
      </x:c>
      <x:c r="J67" s="10" t="str">
        <x:v>Overlapping analytical windows may reuse observations but cannot be summed as disjoint official periods. Late entry is flagged and locked periods route to restatement review.</x:v>
      </x:c>
      <x:c r="K67" s="10" t="str">
        <x:v>An event exactly at midnight on the new quarter boundary belongs only to the new quarter, even when uploaded two days later.</x:v>
      </x:c>
      <x:c r="L67" s="10" t="str">
        <x:v>TC-IND-005-01 / TC-IND-005-02</x:v>
      </x:c>
      <x:c r="M67" s="12" t="str">
        <x:v>apps/api/impact_api/measurement.py; qualification/test_work_center.py; docs/RELEASE-0.7.md</x:v>
      </x:c>
      <x:c r="N67" s="10" t="str">
        <x:f>IF(G67="Done",IF(AND(LEN(H67)&gt;0,LEN(M67)&gt;0),"Complete","Evidence required"),"Open")</x:f>
        <x:v>Open</x:v>
      </x:c>
      <x:c r="O67"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67" s="17" t="str">
        <x:v>PARTIAL</x:v>
      </x:c>
    </x:row>
    <x:row r="68" ht="64" customHeight="1">
      <x:c r="A68" s="10" t="str">
        <x:v>FR-IND-006</x:v>
      </x:c>
      <x:c r="B68" s="10" t="str">
        <x:v>R1</x:v>
      </x:c>
      <x:c r="C68" s="10" t="str">
        <x:v>P0</x:v>
      </x:c>
      <x:c r="D68" s="10" t="str">
        <x:v>WP03</x:v>
      </x:c>
      <x:c r="E68" s="10" t="str">
        <x:v>Disaggregation dimensions</x:v>
      </x:c>
      <x:c r="F68" s="10" t="str">
        <x:v>Measurement lead</x:v>
      </x:c>
      <x:c r="G68" s="12" t="str">
        <x:v>Not started</x:v>
      </x:c>
      <x:c r="H68" s="12" t="str"/>
      <x:c r="I68" s="10" t="str">
        <x:v>Dimension setup defines codes, labels, applicability, exclusivity and exhaustiveness. Missing, unknown and declined are explicit codes where appropriate. The submission stores dimension version and codes; a changed category scheme uses a reviewed crosswalk.</x:v>
      </x:c>
      <x:c r="J68" s="10" t="str">
        <x:v>Multiselect categories can count an entity several times across categories, so category sum is labelled nonadditive. Do not force overlapping categories to reconcile to unique reach.</x:v>
      </x:c>
      <x:c r="K68" s="10" t="str">
        <x:v>One participant selects two service types; both categories count the event as defined and the unique participant total remains one.</x:v>
      </x:c>
      <x:c r="L68" s="10" t="str">
        <x:v>TC-IND-006-01 / TC-IND-006-02</x:v>
      </x:c>
      <x:c r="M68" s="12" t="str">
        <x:v>No accepted implementation evidence mapped.</x:v>
      </x:c>
      <x:c r="N68" s="10" t="str">
        <x:f>IF(G68="Done",IF(AND(LEN(H68)&gt;0,LEN(M68)&gt;0),"Complete","Evidence required"),"Open")</x:f>
        <x:v>Open</x:v>
      </x:c>
      <x:c r="O68" s="17" t="str">
        <x:v>No complete implementation and acceptance evidence mapped. Retain the original acceptance criteria; this requirement remains open.</x:v>
      </x:c>
      <x:c r="P68" s="17" t="str">
        <x:v>PENDING</x:v>
      </x:c>
    </x:row>
    <x:row r="69" ht="64" customHeight="1">
      <x:c r="A69" s="10" t="str">
        <x:v>FR-IND-007</x:v>
      </x:c>
      <x:c r="B69" s="10" t="str">
        <x:v>R1</x:v>
      </x:c>
      <x:c r="C69" s="10" t="str">
        <x:v>P0</x:v>
      </x:c>
      <x:c r="D69" s="10" t="str">
        <x:v>WP03</x:v>
      </x:c>
      <x:c r="E69" s="10" t="str">
        <x:v>Missing and exceptional values</x:v>
      </x:c>
      <x:c r="F69" s="10" t="str">
        <x:v>Measurement lead</x:v>
      </x:c>
      <x:c r="G69" s="12" t="str">
        <x:v>In progress</x:v>
      </x:c>
      <x:c r="H69" s="12" t="str"/>
      <x:c r="I69" s="10" t="str">
        <x:v>Entry and import expose value state separately from numeric value, workflow status and disclosure status. Views use the matrix in section 4.2. Users must choose a reason for not collected or not applicable; eligibility rules govern denominator removal.</x:v>
      </x:c>
      <x:c r="J69" s="10" t="str">
        <x:v>A blank cell does not become zero. Suppression removes numeric payload from the disclosed result, while pending approval stays excluded from official totals.</x:v>
      </x:c>
      <x:c r="K69" s="10" t="str">
        <x:v>Export zero, missing, not applicable, invalid and pending rows; each has a distinct machine code and matching human label.</x:v>
      </x:c>
      <x:c r="L69" s="10" t="str">
        <x:v>TC-IND-007-01 / TC-IND-007-02</x:v>
      </x:c>
      <x:c r="M69" s="12" t="str">
        <x:v>apps/api/impact_api/measurement.py; qualification/test_work_center.py; docs/RELEASE-0.7.md</x:v>
      </x:c>
      <x:c r="N69" s="10" t="str">
        <x:f>IF(G69="Done",IF(AND(LEN(H69)&gt;0,LEN(M69)&gt;0),"Complete","Evidence required"),"Open")</x:f>
        <x:v>Open</x:v>
      </x:c>
      <x:c r="O69"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69" s="17" t="str">
        <x:v>PARTIAL</x:v>
      </x:c>
    </x:row>
    <x:row r="70" ht="64" customHeight="1">
      <x:c r="A70" s="10" t="str">
        <x:v>FR-IND-008</x:v>
      </x:c>
      <x:c r="B70" s="10" t="str">
        <x:v>R1</x:v>
      </x:c>
      <x:c r="C70" s="10" t="str">
        <x:v>P0</x:v>
      </x:c>
      <x:c r="D70" s="10" t="str">
        <x:v>WP03</x:v>
      </x:c>
      <x:c r="E70" s="10" t="str">
        <x:v>Definition versioning</x:v>
      </x:c>
      <x:c r="F70" s="10" t="str">
        <x:v>Measurement lead</x:v>
      </x:c>
      <x:c r="G70" s="12" t="str">
        <x:v>In progress</x:v>
      </x:c>
      <x:c r="H70" s="12" t="str"/>
      <x:c r="I70" s="10" t="str">
        <x:v>A material definition edit creates a child version and a comparison report identifying unit, population, source, method, dimensions and aggregation changes. The reviewer marks comparability as compatible, transformed by approved rule or broken.</x:v>
      </x:c>
      <x:c r="J70" s="10" t="str">
        <x:v>No continuous trend line or portfolio pool across broken versions without explicit qualified treatment. Cosmetic label corrections may retain semantic identity but remain audited.</x:v>
      </x:c>
      <x:c r="K70" s="10" t="str">
        <x:v>Change households to people; the application blocks a combined total until a justified conversion or separate series is selected.</x:v>
      </x:c>
      <x:c r="L70" s="10" t="str">
        <x:v>TC-IND-008-01 / TC-IND-008-02</x:v>
      </x:c>
      <x:c r="M70" s="12" t="str">
        <x:v>apps/api/impact_api/measurement.py; qualification/test_work_center.py; docs/RELEASE-0.7.md</x:v>
      </x:c>
      <x:c r="N70" s="10" t="str">
        <x:f>IF(G70="Done",IF(AND(LEN(H70)&gt;0,LEN(M70)&gt;0),"Complete","Evidence required"),"Open")</x:f>
        <x:v>Open</x:v>
      </x:c>
      <x:c r="O70"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70" s="17" t="str">
        <x:v>PARTIAL</x:v>
      </x:c>
    </x:row>
    <x:row r="71" ht="64" customHeight="1">
      <x:c r="A71" s="10" t="str">
        <x:v>FR-IND-009</x:v>
      </x:c>
      <x:c r="B71" s="10" t="str">
        <x:v>R1</x:v>
      </x:c>
      <x:c r="C71" s="10" t="str">
        <x:v>P1</x:v>
      </x:c>
      <x:c r="D71" s="10" t="str">
        <x:v>WP03</x:v>
      </x:c>
      <x:c r="E71" s="10" t="str">
        <x:v>Indicator library reuse</x:v>
      </x:c>
      <x:c r="F71" s="10" t="str">
        <x:v>Measurement lead</x:v>
      </x:c>
      <x:c r="G71" s="12" t="str">
        <x:v>In progress</x:v>
      </x:c>
      <x:c r="H71" s="12" t="str"/>
      <x:c r="I71" s="10" t="str">
        <x:v>Instantiating a library indicator pins the parent definition version and records local applicability, collection roles and permitted overrides. Adoption of a new library version previews comparability and reporting impact for each instance.</x:v>
      </x:c>
      <x:c r="J71" s="10" t="str">
        <x:v>Local changes to locked semantic fields create a distinct reviewed definition rather than pretending to retain exact standard equivalence.</x:v>
      </x:c>
      <x:c r="K71" s="10" t="str">
        <x:v>Two projects pin version 1; only one adopts version 2 with a changed denominator, and the portfolio flags the mixed comparison.</x:v>
      </x:c>
      <x:c r="L71" s="10" t="str">
        <x:v>TC-IND-009-01 / TC-IND-009-02</x:v>
      </x:c>
      <x:c r="M71" s="12" t="str">
        <x:v>apps/api/impact_api/measurement.py; qualification/test_work_center.py; docs/RELEASE-0.7.md</x:v>
      </x:c>
      <x:c r="N71" s="10" t="str">
        <x:f>IF(G71="Done",IF(AND(LEN(H71)&gt;0,LEN(M71)&gt;0),"Complete","Evidence required"),"Open")</x:f>
        <x:v>Open</x:v>
      </x:c>
      <x:c r="O71"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71" s="17" t="str">
        <x:v>PARTIAL</x:v>
      </x:c>
    </x:row>
    <x:row r="72" ht="64" customHeight="1">
      <x:c r="A72" s="10" t="str">
        <x:v>FR-IND-010</x:v>
      </x:c>
      <x:c r="B72" s="10" t="str">
        <x:v>R1</x:v>
      </x:c>
      <x:c r="C72" s="10" t="str">
        <x:v>P0</x:v>
      </x:c>
      <x:c r="D72" s="10" t="str">
        <x:v>WP03</x:v>
      </x:c>
      <x:c r="E72" s="10" t="str">
        <x:v>Manual and calculated results</x:v>
      </x:c>
      <x:c r="F72" s="10" t="str">
        <x:v>Measurement lead</x:v>
      </x:c>
      <x:c r="G72" s="12" t="str">
        <x:v>In progress</x:v>
      </x:c>
      <x:c r="H72" s="12" t="str"/>
      <x:c r="I72" s="10" t="str">
        <x:v>Actual mode is entered, imported, calculated or aggregated. Changing mode requires a new approved measurement version or amendment. A manual override records computed value, proposed replacement, period, reason and independent approval; views show both with the official selection.</x:v>
      </x:c>
      <x:c r="J72" s="10" t="str">
        <x:v>Import and API clients cannot overwrite a calculated result field. Removing an override restores the approved calculation through another attributable decision.</x:v>
      </x:c>
      <x:c r="K72" s="10" t="str">
        <x:v>Computed value 94 is overridden to 90 after review; the report records the override and explanation while retaining the calculation of 94.</x:v>
      </x:c>
      <x:c r="L72" s="10" t="str">
        <x:v>TC-IND-010-01 / TC-IND-010-02</x:v>
      </x:c>
      <x:c r="M72" s="12" t="str">
        <x:v>apps/api/impact_api/measurement.py; qualification/test_work_center.py; docs/RELEASE-0.7.md</x:v>
      </x:c>
      <x:c r="N72" s="10" t="str">
        <x:f>IF(G72="Done",IF(AND(LEN(H72)&gt;0,LEN(M72)&gt;0),"Complete","Evidence required"),"Open")</x:f>
        <x:v>Open</x:v>
      </x:c>
      <x:c r="O72"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72" s="17" t="str">
        <x:v>PARTIAL</x:v>
      </x:c>
    </x:row>
    <x:row r="73" ht="64" customHeight="1">
      <x:c r="A73" s="10" t="str">
        <x:v>FR-IND-011</x:v>
      </x:c>
      <x:c r="B73" s="10" t="str">
        <x:v>R1</x:v>
      </x:c>
      <x:c r="C73" s="10" t="str">
        <x:v>P0</x:v>
      </x:c>
      <x:c r="D73" s="10" t="str">
        <x:v>WP03</x:v>
      </x:c>
      <x:c r="E73" s="10" t="str">
        <x:v>Evidence requirements</x:v>
      </x:c>
      <x:c r="F73" s="10" t="str">
        <x:v>Measurement lead</x:v>
      </x:c>
      <x:c r="G73" s="12" t="str">
        <x:v>Not started</x:v>
      </x:c>
      <x:c r="H73" s="12" t="str"/>
      <x:c r="I73" s="10" t="str">
        <x:v>An evidence rule specifies permitted types, minimum count, source qualification and verification needed for approval. Submission checks attachment receipt and scan state; approval checks provenance and current availability. External evidence has last checked status and version reference.</x:v>
      </x:c>
      <x:c r="J73" s="10" t="str">
        <x:v>A dead URL or quarantined file does not satisfy a mandatory rule. Only a policy permitted evidence exception may proceed, with independent decision and visible caveat.</x:v>
      </x:c>
      <x:c r="K73" s="10" t="str">
        <x:v>Submit achievement with one required survey file still quarantined; source receipt succeeds but approval stays blocked until the evidence is safe and verified.</x:v>
      </x:c>
      <x:c r="L73" s="10" t="str">
        <x:v>TC-IND-011-01 / TC-IND-011-02</x:v>
      </x:c>
      <x:c r="M73" s="12" t="str">
        <x:v>No accepted implementation evidence mapped.</x:v>
      </x:c>
      <x:c r="N73" s="10" t="str">
        <x:f>IF(G73="Done",IF(AND(LEN(H73)&gt;0,LEN(M73)&gt;0),"Complete","Evidence required"),"Open")</x:f>
        <x:v>Open</x:v>
      </x:c>
      <x:c r="O73" s="17" t="str">
        <x:v>No complete implementation and acceptance evidence mapped. Retain the original acceptance criteria; this requirement remains open.</x:v>
      </x:c>
      <x:c r="P73" s="17" t="str">
        <x:v>PENDING</x:v>
      </x:c>
    </x:row>
    <x:row r="74" ht="51" customHeight="1">
      <x:c r="A74" s="10" t="str">
        <x:v>FR-IND-012</x:v>
      </x:c>
      <x:c r="B74" s="10" t="str">
        <x:v>R1</x:v>
      </x:c>
      <x:c r="C74" s="10" t="str">
        <x:v>P0</x:v>
      </x:c>
      <x:c r="D74" s="10" t="str">
        <x:v>WP03</x:v>
      </x:c>
      <x:c r="E74" s="10" t="str">
        <x:v>Responsibility and collection schedule</x:v>
      </x:c>
      <x:c r="F74" s="10" t="str">
        <x:v>Measurement lead</x:v>
      </x:c>
      <x:c r="G74" s="12" t="str">
        <x:v>In progress</x:v>
      </x:c>
      <x:c r="H74" s="12" t="str"/>
      <x:c r="I74" s="10" t="str">
        <x:v>An indicator schedule instantiates obligations for the active date range and assigns a collector, independent reviewer, due time and escalation owner. Assignment change previews open work and future obligations separately.</x:v>
      </x:c>
      <x:c r="J74" s="10" t="str">
        <x:v>Departure creates reassignment work; it never silently sends tasks to a revoked account or marks obligations complete. Historic owners remain attributed.</x:v>
      </x:c>
      <x:c r="K74" s="10" t="str">
        <x:v>Suspend the collector one day before due; the manager sees an unassigned obligation and can appoint an eligible replacement.</x:v>
      </x:c>
      <x:c r="L74" s="10" t="str">
        <x:v>TC-IND-012-01 / TC-IND-012-02</x:v>
      </x:c>
      <x:c r="M74" s="12" t="str">
        <x:v>apps/api/impact_api/measurement.py; qualification/test_work_center.py; docs/RELEASE-0.7.md</x:v>
      </x:c>
      <x:c r="N74" s="10" t="str">
        <x:f>IF(G74="Done",IF(AND(LEN(H74)&gt;0,LEN(M74)&gt;0),"Complete","Evidence required"),"Open")</x:f>
        <x:v>Open</x:v>
      </x:c>
      <x:c r="O74"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74" s="17" t="str">
        <x:v>PARTIAL</x:v>
      </x:c>
    </x:row>
    <x:row r="75" ht="64" customHeight="1">
      <x:c r="A75" s="10" t="str">
        <x:v>FR-IND-013</x:v>
      </x:c>
      <x:c r="B75" s="10" t="str">
        <x:v>R1</x:v>
      </x:c>
      <x:c r="C75" s="10" t="str">
        <x:v>P1</x:v>
      </x:c>
      <x:c r="D75" s="10" t="str">
        <x:v>WP03</x:v>
      </x:c>
      <x:c r="E75" s="10" t="str">
        <x:v>Status and thresholds</x:v>
      </x:c>
      <x:c r="F75" s="10" t="str">
        <x:v>Measurement lead</x:v>
      </x:c>
      <x:c r="G75" s="12" t="str">
        <x:v>Not started</x:v>
      </x:c>
      <x:c r="H75" s="12" t="str"/>
      <x:c r="I75" s="10" t="str">
        <x:v>Status rules declare direction, thresholds, tolerance, target reference and minimum freshness and coverage. Evaluate data adequacy first; stale or partial state remains visible even when a numeric threshold is achieved. Qualitative status requires a recorded reviewer assessment.</x:v>
      </x:c>
      <x:c r="J75" s="10" t="str">
        <x:v>Do not colour missing results green. Boundary equality follows the published rule, and an unauthorised viewer receives only permitted status context.</x:v>
      </x:c>
      <x:c r="K75" s="10" t="str">
        <x:v>A lower-is-better measure at 8 against target 10 is achieved, but a missed refresh also displays stale and cannot trigger an unqualified success alert.</x:v>
      </x:c>
      <x:c r="L75" s="10" t="str">
        <x:v>TC-IND-013-01 / TC-IND-013-02</x:v>
      </x:c>
      <x:c r="M75" s="12" t="str">
        <x:v>No accepted implementation evidence mapped.</x:v>
      </x:c>
      <x:c r="N75" s="10" t="str">
        <x:f>IF(G75="Done",IF(AND(LEN(H75)&gt;0,LEN(M75)&gt;0),"Complete","Evidence required"),"Open")</x:f>
        <x:v>Open</x:v>
      </x:c>
      <x:c r="O75" s="17" t="str">
        <x:v>No complete implementation and acceptance evidence mapped. Retain the original acceptance criteria; this requirement remains open.</x:v>
      </x:c>
      <x:c r="P75" s="17" t="str">
        <x:v>PENDING</x:v>
      </x:c>
    </x:row>
    <x:row r="76" ht="64" customHeight="1">
      <x:c r="A76" s="10" t="str">
        <x:v>FR-IND-014</x:v>
      </x:c>
      <x:c r="B76" s="10" t="str">
        <x:v>R1</x:v>
      </x:c>
      <x:c r="C76" s="10" t="str">
        <x:v>P0</x:v>
      </x:c>
      <x:c r="D76" s="10" t="str">
        <x:v>WP03</x:v>
      </x:c>
      <x:c r="E76" s="10" t="str">
        <x:v>Retirement and replacement</x:v>
      </x:c>
      <x:c r="F76" s="10" t="str">
        <x:v>Measurement lead</x:v>
      </x:c>
      <x:c r="G76" s="12" t="str">
        <x:v>Not started</x:v>
      </x:c>
      <x:c r="H76" s="12" t="str"/>
      <x:c r="I76" s="10" t="str">
        <x:v>Retirement proposes an effective date, replacement and continuity statement. Preview identifies future obligations, calculations, dashboard bindings and report templates. Approval stops new obligations after the date while preserving historical result lookup.</x:v>
      </x:c>
      <x:c r="J76" s="10" t="str">
        <x:v>A used definition cannot be hard deleted through retirement. Dependent future formulas must be migrated or explicitly left unavailable with an accountable remediation item.</x:v>
      </x:c>
      <x:c r="K76" s="10" t="str">
        <x:v>Retire an indicator feeding a portfolio total; next period calculation blocks until its replacement rule is reviewed, while last year's report remains intact.</x:v>
      </x:c>
      <x:c r="L76" s="10" t="str">
        <x:v>TC-IND-014-01 / TC-IND-014-02</x:v>
      </x:c>
      <x:c r="M76" s="12" t="str">
        <x:v>No accepted implementation evidence mapped.</x:v>
      </x:c>
      <x:c r="N76" s="10" t="str">
        <x:f>IF(G76="Done",IF(AND(LEN(H76)&gt;0,LEN(M76)&gt;0),"Complete","Evidence required"),"Open")</x:f>
        <x:v>Open</x:v>
      </x:c>
      <x:c r="O76" s="17" t="str">
        <x:v>No complete implementation and acceptance evidence mapped. Retain the original acceptance criteria; this requirement remains open.</x:v>
      </x:c>
      <x:c r="P76" s="17" t="str">
        <x:v>PENDING</x:v>
      </x:c>
    </x:row>
    <x:row r="77" ht="64" customHeight="1">
      <x:c r="A77" s="10" t="str">
        <x:v>FR-IND-015</x:v>
      </x:c>
      <x:c r="B77" s="10" t="str">
        <x:v>R1</x:v>
      </x:c>
      <x:c r="C77" s="10" t="str">
        <x:v>P1</x:v>
      </x:c>
      <x:c r="D77" s="10" t="str">
        <x:v>WP03</x:v>
      </x:c>
      <x:c r="E77" s="10" t="str">
        <x:v>Reference sheets and dictionary export</x:v>
      </x:c>
      <x:c r="F77" s="10" t="str">
        <x:v>Measurement lead</x:v>
      </x:c>
      <x:c r="G77" s="12" t="str">
        <x:v>Not started</x:v>
      </x:c>
      <x:c r="H77" s="12" t="str"/>
      <x:c r="I77" s="10" t="str">
        <x:v>Reference sheet export selects indicator versions and produces human readable definitions plus a machine readable dictionary. Include units, eligibility, dimensions, time semantic, formula, source, roles, missingness rules and version references.</x:v>
      </x:c>
      <x:c r="J77" s="10" t="str">
        <x:v>Restricted definitions or source names are redacted according to export scope and marked withheld. Display rounding must not replace calculation precision metadata.</x:v>
      </x:c>
      <x:c r="K77" s="10" t="str">
        <x:v>An evaluator receives a ratio sheet and can identify numerator population, denominator, multiplier and period without consulting the application's private settings.</x:v>
      </x:c>
      <x:c r="L77" s="10" t="str">
        <x:v>TC-IND-015-01 / TC-IND-015-02</x:v>
      </x:c>
      <x:c r="M77" s="12" t="str">
        <x:v>No accepted implementation evidence mapped.</x:v>
      </x:c>
      <x:c r="N77" s="10" t="str">
        <x:f>IF(G77="Done",IF(AND(LEN(H77)&gt;0,LEN(M77)&gt;0),"Complete","Evidence required"),"Open")</x:f>
        <x:v>Open</x:v>
      </x:c>
      <x:c r="O77" s="17" t="str">
        <x:v>No complete implementation and acceptance evidence mapped. Retain the original acceptance criteria; this requirement remains open.</x:v>
      </x:c>
      <x:c r="P77" s="17" t="str">
        <x:v>PENDING</x:v>
      </x:c>
    </x:row>
    <x:row r="78" ht="64" customHeight="1">
      <x:c r="A78" s="10" t="str">
        <x:v>FR-CAL-001</x:v>
      </x:c>
      <x:c r="B78" s="10" t="str">
        <x:v>R1</x:v>
      </x:c>
      <x:c r="C78" s="10" t="str">
        <x:v>P0</x:v>
      </x:c>
      <x:c r="D78" s="10" t="str">
        <x:v>WP03</x:v>
      </x:c>
      <x:c r="E78" s="10" t="str">
        <x:v>Deterministic calculation</x:v>
      </x:c>
      <x:c r="F78" s="10" t="str">
        <x:v>Measurement lead</x:v>
      </x:c>
      <x:c r="G78" s="12" t="str">
        <x:v>In progress</x:v>
      </x:c>
      <x:c r="H78" s="12" t="str"/>
      <x:c r="I78" s="10" t="str">
        <x:v>A calculation run selects approved rule and source versions, creates an input manifest and evaluates the deterministic dependency graph. The result stores value state, precision, filters, coverage and execution identity. Explanations resolve each contributing result to its original source.</x:v>
      </x:c>
      <x:c r="J78" s="10" t="str">
        <x:v>An AI message cannot supply the authoritative value. A failed run leaves the prior result labelled stale and exposes failure rather than overwriting it with zero.</x:v>
      </x:c>
      <x:c r="K78" s="10" t="str">
        <x:v>Recompute a frozen ratio from exported inputs and the recorded formula; the raw decimal and displayed rounded output match exactly.</x:v>
      </x:c>
      <x:c r="L78" s="10" t="str">
        <x:v>TC-CAL-001-01 / TC-CAL-001-02</x:v>
      </x:c>
      <x:c r="M78" s="12" t="str">
        <x:v>apps/api/impact_api/domain.py; apps/api/impact_api/service.py; qualification/test_measurement.py</x:v>
      </x:c>
      <x:c r="N78" s="10" t="str">
        <x:f>IF(G78="Done",IF(AND(LEN(H78)&gt;0,LEN(M78)&gt;0),"Complete","Evidence required"),"Open")</x:f>
        <x:v>Open</x:v>
      </x:c>
      <x:c r="O78" s="17" t="str">
        <x:v>Decimal SUM and pooled ratios, revision-bound lineage, explicit contributor coverage and stale-result flags are implemented. Hierarchy, stock, overlap, weighting, dimensions and production workload qualification are not implemented.</x:v>
      </x:c>
      <x:c r="P78" s="17" t="str">
        <x:v>PARTIAL</x:v>
      </x:c>
    </x:row>
    <x:row r="79" ht="64" customHeight="1">
      <x:c r="A79" s="10" t="str">
        <x:v>FR-CAL-002</x:v>
      </x:c>
      <x:c r="B79" s="10" t="str">
        <x:v>R1</x:v>
      </x:c>
      <x:c r="C79" s="10" t="str">
        <x:v>P0</x:v>
      </x:c>
      <x:c r="D79" s="10" t="str">
        <x:v>WP03</x:v>
      </x:c>
      <x:c r="E79" s="10" t="str">
        <x:v>Type and unit compatibility</x:v>
      </x:c>
      <x:c r="F79" s="10" t="str">
        <x:v>Measurement lead</x:v>
      </x:c>
      <x:c r="G79" s="12" t="str">
        <x:v>In progress</x:v>
      </x:c>
      <x:c r="H79" s="12" t="str"/>
      <x:c r="I79" s="10" t="str">
        <x:v>Before execution, type checking compares measurement types, units, populations, period semantics, definitions and dimensions. A conversion references an approved version, direction and precision. Preview shows original and converted inputs.</x:v>
      </x:c>
      <x:c r="J79" s="10" t="str">
        <x:v>A numerical unit conversion cannot convert households into people without an approved population method and adequate source information. Similar labels never establish compatibility.</x:v>
      </x:c>
      <x:c r="K79" s="10" t="str">
        <x:v>Combine 1 hectare and 1 acre using an approved conversion; reject a people plus household total where no justified conversion exists.</x:v>
      </x:c>
      <x:c r="L79" s="10" t="str">
        <x:v>TC-CAL-002-01 / TC-CAL-002-02</x:v>
      </x:c>
      <x:c r="M79" s="12" t="str">
        <x:v>apps/api/impact_api/domain.py; apps/api/impact_api/service.py; qualification/test_measurement.py</x:v>
      </x:c>
      <x:c r="N79" s="10" t="str">
        <x:f>IF(G79="Done",IF(AND(LEN(H79)&gt;0,LEN(M79)&gt;0),"Complete","Evidence required"),"Open")</x:f>
        <x:v>Open</x:v>
      </x:c>
      <x:c r="O79" s="17" t="str">
        <x:v>Decimal SUM and pooled ratios, revision-bound lineage, explicit contributor coverage and stale-result flags are implemented. Hierarchy, stock, overlap, weighting, dimensions and production workload qualification are not implemented.</x:v>
      </x:c>
      <x:c r="P79" s="17" t="str">
        <x:v>PARTIAL</x:v>
      </x:c>
    </x:row>
    <x:row r="80" ht="64" customHeight="1">
      <x:c r="A80" s="10" t="str">
        <x:v>FR-CAL-003</x:v>
      </x:c>
      <x:c r="B80" s="10" t="str">
        <x:v>R1</x:v>
      </x:c>
      <x:c r="C80" s="10" t="str">
        <x:v>P0</x:v>
      </x:c>
      <x:c r="D80" s="10" t="str">
        <x:v>WP03</x:v>
      </x:c>
      <x:c r="E80" s="10" t="str">
        <x:v>Ratios rates and percentages</x:v>
      </x:c>
      <x:c r="F80" s="10" t="str">
        <x:v>Measurement lead</x:v>
      </x:c>
      <x:c r="G80" s="12" t="str">
        <x:v>In progress</x:v>
      </x:c>
      <x:c r="H80" s="12" t="str"/>
      <x:c r="I80" s="10" t="str">
        <x:v>Ratio rules retain eligible numerator and denominator quantities, apply the multiplier after pooling and disclose the weighting basis. Component records lacking the necessary quantities cannot contribute to a pooled ratio as if their percentages were sufficient.</x:v>
      </x:c>
      <x:c r="J80" s="10" t="str">
        <x:v>Zero pooled denominator gives UNDEFINED. An explicitly requested unweighted mean is a different labelled statistic and is not substituted for a pooled percentage.</x:v>
      </x:c>
      <x:c r="K80" s="10" t="str">
        <x:v>Pool 50 of 100 and 1 of 10: produce 51 of 110 and display 46.36 percent under two decimal rounding, never 30 percent.</x:v>
      </x:c>
      <x:c r="L80" s="10" t="str">
        <x:v>TC-CAL-003-01 / TC-CAL-003-02</x:v>
      </x:c>
      <x:c r="M80" s="12" t="str">
        <x:v>apps/api/impact_api/domain.py; apps/api/impact_api/service.py; qualification/test_measurement.py</x:v>
      </x:c>
      <x:c r="N80" s="10" t="str">
        <x:f>IF(G80="Done",IF(AND(LEN(H80)&gt;0,LEN(M80)&gt;0),"Complete","Evidence required"),"Open")</x:f>
        <x:v>Open</x:v>
      </x:c>
      <x:c r="O80" s="17" t="str">
        <x:v>Decimal SUM and pooled ratios, revision-bound lineage, explicit contributor coverage and stale-result flags are implemented. Hierarchy, stock, overlap, weighting, dimensions and production workload qualification are not implemented.</x:v>
      </x:c>
      <x:c r="P80" s="17" t="str">
        <x:v>PARTIAL</x:v>
      </x:c>
    </x:row>
    <x:row r="81" ht="64" customHeight="1">
      <x:c r="A81" s="10" t="str">
        <x:v>FR-CAL-004</x:v>
      </x:c>
      <x:c r="B81" s="10" t="str">
        <x:v>R1</x:v>
      </x:c>
      <x:c r="C81" s="10" t="str">
        <x:v>P0</x:v>
      </x:c>
      <x:c r="D81" s="10" t="str">
        <x:v>WP03</x:v>
      </x:c>
      <x:c r="E81" s="10" t="str">
        <x:v>Population overlap</x:v>
      </x:c>
      <x:c r="F81" s="10" t="str">
        <x:v>Measurement lead</x:v>
      </x:c>
      <x:c r="G81" s="12" t="str">
        <x:v>Not started</x:v>
      </x:c>
      <x:c r="H81" s="12" t="str"/>
      <x:c r="I81" s="10" t="str">
        <x:v>Unique reach declares entity type, population, time window and approved identity matching scope. Compute a union over permitted stable pseudonyms and record matched overlap. Aggregate-only inputs produce gross reach with overlap unknown unless a valid external deduplication method exists.</x:v>
      </x:c>
      <x:c r="J81" s="10" t="str">
        <x:v>No cross project or tenant matching merely because names are similar. Fuzzy candidate resolution requires reviewed evidence and permission before changing unique counts.</x:v>
      </x:c>
      <x:c r="K81" s="10" t="str">
        <x:v>Two approved sets of 100 with 20 shared authorised identities produce 180; the same aggregate-only inputs produce gross 200 with unknown overlap.</x:v>
      </x:c>
      <x:c r="L81" s="10" t="str">
        <x:v>TC-CAL-004-01 / TC-CAL-004-02</x:v>
      </x:c>
      <x:c r="M81" s="12" t="str">
        <x:v>No accepted implementation evidence mapped.</x:v>
      </x:c>
      <x:c r="N81" s="10" t="str">
        <x:f>IF(G81="Done",IF(AND(LEN(H81)&gt;0,LEN(M81)&gt;0),"Complete","Evidence required"),"Open")</x:f>
        <x:v>Open</x:v>
      </x:c>
      <x:c r="O81" s="17" t="str">
        <x:v>No complete implementation and acceptance evidence mapped. Retain the original acceptance criteria; this requirement remains open.</x:v>
      </x:c>
      <x:c r="P81" s="17" t="str">
        <x:v>PENDING</x:v>
      </x:c>
    </x:row>
    <x:row r="82" ht="64" customHeight="1">
      <x:c r="A82" s="10" t="str">
        <x:v>FR-CAL-005</x:v>
      </x:c>
      <x:c r="B82" s="10" t="str">
        <x:v>R1</x:v>
      </x:c>
      <x:c r="C82" s="10" t="str">
        <x:v>P0</x:v>
      </x:c>
      <x:c r="D82" s="10" t="str">
        <x:v>WP03</x:v>
      </x:c>
      <x:c r="E82" s="10" t="str">
        <x:v>Time aggregation semantics</x:v>
      </x:c>
      <x:c r="F82" s="10" t="str">
        <x:v>Measurement lead</x:v>
      </x:c>
      <x:c r="G82" s="12" t="str">
        <x:v>In progress</x:v>
      </x:c>
      <x:c r="H82" s="12" t="str"/>
      <x:c r="I82" s="10" t="str">
        <x:v>Time semantic selects flow sum, latest eligible stock, event count or approved cumulative difference. For snapshots, specify maximum permissible age and tie resolution. Cumulative declines require a correction or reset event with defined treatment.</x:v>
      </x:c>
      <x:c r="J82" s="10" t="str">
        <x:v>Never sum monthly cumulative totals by default. A missing starting cumulative value prevents an exact period increment unless the approved method supplies a justified baseline.</x:v>
      </x:c>
      <x:c r="K82" s="10" t="str">
        <x:v>For 10, 15 and 20 cumulative positions report end value 20; increments are 10, 5 and 5 only when a zero starting baseline is established.</x:v>
      </x:c>
      <x:c r="L82" s="10" t="str">
        <x:v>TC-CAL-005-01 / TC-CAL-005-02</x:v>
      </x:c>
      <x:c r="M82" s="12" t="str">
        <x:v>apps/api/impact_api/domain.py; apps/api/impact_api/service.py; qualification/test_measurement.py</x:v>
      </x:c>
      <x:c r="N82" s="10" t="str">
        <x:f>IF(G82="Done",IF(AND(LEN(H82)&gt;0,LEN(M82)&gt;0),"Complete","Evidence required"),"Open")</x:f>
        <x:v>Open</x:v>
      </x:c>
      <x:c r="O82" s="17" t="str">
        <x:v>Decimal SUM and pooled ratios, revision-bound lineage, explicit contributor coverage and stale-result flags are implemented. Hierarchy, stock, overlap, weighting, dimensions and production workload qualification are not implemented.</x:v>
      </x:c>
      <x:c r="P82" s="17" t="str">
        <x:v>PARTIAL</x:v>
      </x:c>
    </x:row>
    <x:row r="83" ht="77" customHeight="1">
      <x:c r="A83" s="10" t="str">
        <x:v>FR-CAL-006</x:v>
      </x:c>
      <x:c r="B83" s="10" t="str">
        <x:v>R1</x:v>
      </x:c>
      <x:c r="C83" s="10" t="str">
        <x:v>P0</x:v>
      </x:c>
      <x:c r="D83" s="10" t="str">
        <x:v>WP03</x:v>
      </x:c>
      <x:c r="E83" s="10" t="str">
        <x:v>Hierarchical aggregation</x:v>
      </x:c>
      <x:c r="F83" s="10" t="str">
        <x:v>Measurement lead</x:v>
      </x:c>
      <x:c r="G83" s="12" t="str">
        <x:v>Not started</x:v>
      </x:c>
      <x:c r="H83" s="12" t="str"/>
      <x:c r="I83" s="10" t="str">
        <x:v>Every aggregation edge identifies contribution, combination rule and attribution scope. Validation detects cycles and repeated source identities along multiple paths. Parent evaluation deduplicates eligible contributions where the contract defines a unique union, or blocks ambiguous additive duplication.</x:v>
      </x:c>
      <x:c r="J83" s="10" t="str">
        <x:v>A repeated path cannot be resolved by silently halving a value. Weighted allocations require explicit weights and reconciliation. At least ten reporting levels are qualified.</x:v>
      </x:c>
      <x:c r="K83" s="10" t="str">
        <x:v>A source contributes 7 through two intermediate totals; a unique parent includes 7 once and a newly added reverse edge is rejected as cyclic.</x:v>
      </x:c>
      <x:c r="L83" s="10" t="str">
        <x:v>TC-CAL-006-01 / TC-CAL-006-02</x:v>
      </x:c>
      <x:c r="M83" s="12" t="str">
        <x:v>No accepted implementation evidence mapped.</x:v>
      </x:c>
      <x:c r="N83" s="10" t="str">
        <x:f>IF(G83="Done",IF(AND(LEN(H83)&gt;0,LEN(M83)&gt;0),"Complete","Evidence required"),"Open")</x:f>
        <x:v>Open</x:v>
      </x:c>
      <x:c r="O83" s="17" t="str">
        <x:v>No complete implementation and acceptance evidence mapped. Retain the original acceptance criteria; this requirement remains open.</x:v>
      </x:c>
      <x:c r="P83" s="17" t="str">
        <x:v>PENDING</x:v>
      </x:c>
    </x:row>
    <x:row r="84" ht="64" customHeight="1">
      <x:c r="A84" s="10" t="str">
        <x:v>FR-CAL-007</x:v>
      </x:c>
      <x:c r="B84" s="10" t="str">
        <x:v>R1</x:v>
      </x:c>
      <x:c r="C84" s="10" t="str">
        <x:v>P0</x:v>
      </x:c>
      <x:c r="D84" s="10" t="str">
        <x:v>WP03</x:v>
      </x:c>
      <x:c r="E84" s="10" t="str">
        <x:v>Dimension alignment</x:v>
      </x:c>
      <x:c r="F84" s="10" t="str">
        <x:v>Measurement lead</x:v>
      </x:c>
      <x:c r="G84" s="12" t="str">
        <x:v>Not started</x:v>
      </x:c>
      <x:c r="H84" s="12" t="str"/>
      <x:c r="I84" s="10" t="str">
        <x:v>A category crosswalk records source and target versions, mapping type and information loss. Exact mapping, many to one pooling and approved proportional allocation are distinct. Preview reports unmapped and suppressed contributions.</x:v>
      </x:c>
      <x:c r="J84" s="10" t="str">
        <x:v>Do not split a broad age band into narrower exact bands without underlying ages or a declared estimation method. Unknown does not silently map to another category.</x:v>
      </x:c>
      <x:c r="K84" s="10" t="str">
        <x:v>Attempt to convert ages 0 to 17 into 0 to 14 from one aggregate; exact transformation is blocked and the unresolved coverage remains visible.</x:v>
      </x:c>
      <x:c r="L84" s="10" t="str">
        <x:v>TC-CAL-007-01 / TC-CAL-007-02</x:v>
      </x:c>
      <x:c r="M84" s="12" t="str">
        <x:v>No accepted implementation evidence mapped.</x:v>
      </x:c>
      <x:c r="N84" s="10" t="str">
        <x:f>IF(G84="Done",IF(AND(LEN(H84)&gt;0,LEN(M84)&gt;0),"Complete","Evidence required"),"Open")</x:f>
        <x:v>Open</x:v>
      </x:c>
      <x:c r="O84" s="17" t="str">
        <x:v>No complete implementation and acceptance evidence mapped. Retain the original acceptance criteria; this requirement remains open.</x:v>
      </x:c>
      <x:c r="P84" s="17" t="str">
        <x:v>PENDING</x:v>
      </x:c>
    </x:row>
    <x:row r="85" ht="64" customHeight="1">
      <x:c r="A85" s="10" t="str">
        <x:v>FR-CAL-008</x:v>
      </x:c>
      <x:c r="B85" s="10" t="str">
        <x:v>R1</x:v>
      </x:c>
      <x:c r="C85" s="10" t="str">
        <x:v>P0</x:v>
      </x:c>
      <x:c r="D85" s="10" t="str">
        <x:v>WP03</x:v>
      </x:c>
      <x:c r="E85" s="10" t="str">
        <x:v>Missingness and coverage</x:v>
      </x:c>
      <x:c r="F85" s="10" t="str">
        <x:v>Measurement lead</x:v>
      </x:c>
      <x:c r="G85" s="12" t="str">
        <x:v>In progress</x:v>
      </x:c>
      <x:c r="H85" s="12" t="str"/>
      <x:c r="I85" s="10" t="str">
        <x:v>The obligation snapshot determines the expected contributor set for the period. Results count received, valid and approved contributors separately. Official sums use approved eligible values and attach partial status when mandatory contributors are absent.</x:v>
      </x:c>
      <x:c r="J85" s="10" t="str">
        <x:v>A partner retired today remains expected in a prior period where its obligation was active. Not applicable removes an obligation only through approved eligibility evidence.</x:v>
      </x:c>
      <x:c r="K85" s="10" t="str">
        <x:v>Five expected partners, three approved, one pending and one missing yield 60 percent approval coverage and distinct pending and missing counts.</x:v>
      </x:c>
      <x:c r="L85" s="10" t="str">
        <x:v>TC-CAL-008-01 / TC-CAL-008-02</x:v>
      </x:c>
      <x:c r="M85" s="12" t="str">
        <x:v>apps/api/impact_api/domain.py; apps/api/impact_api/service.py; qualification/test_measurement.py</x:v>
      </x:c>
      <x:c r="N85" s="10" t="str">
        <x:f>IF(G85="Done",IF(AND(LEN(H85)&gt;0,LEN(M85)&gt;0),"Complete","Evidence required"),"Open")</x:f>
        <x:v>Open</x:v>
      </x:c>
      <x:c r="O85" s="17" t="str">
        <x:v>Decimal SUM and pooled ratios, revision-bound lineage, explicit contributor coverage and stale-result flags are implemented. Hierarchy, stock, overlap, weighting, dimensions and production workload qualification are not implemented.</x:v>
      </x:c>
      <x:c r="P85" s="17" t="str">
        <x:v>PARTIAL</x:v>
      </x:c>
    </x:row>
    <x:row r="86" ht="64" customHeight="1">
      <x:c r="A86" s="10" t="str">
        <x:v>FR-CAL-009</x:v>
      </x:c>
      <x:c r="B86" s="10" t="str">
        <x:v>R1</x:v>
      </x:c>
      <x:c r="C86" s="10" t="str">
        <x:v>P0</x:v>
      </x:c>
      <x:c r="D86" s="10" t="str">
        <x:v>WP03</x:v>
      </x:c>
      <x:c r="E86" s="10" t="str">
        <x:v>Precision and rounding</x:v>
      </x:c>
      <x:c r="F86" s="10" t="str">
        <x:v>Measurement lead</x:v>
      </x:c>
      <x:c r="G86" s="12" t="str">
        <x:v>In progress</x:v>
      </x:c>
      <x:c r="H86" s="12" t="str"/>
      <x:c r="I86" s="10" t="str">
        <x:v>Rules declare input scale, calculation precision, rounding mode and display decimals. Intermediate arithmetic retains sufficient precision for the qualified maximum workload. Round only at the specified output boundary; export contains a raw decimal string and display metadata where applicable.</x:v>
      </x:c>
      <x:c r="J86" s="10" t="str">
        <x:v>Do not use display rounded values as new source inputs. Large identifiers are never converted to numbers, and counts beyond qualified numeric range produce an explicit limit error.</x:v>
      </x:c>
      <x:c r="K86" s="10" t="str">
        <x:v>Sum three values 0.335 before rounding to two decimals: 1.005 becomes 1.01 with half up; document why rounded components would sum differently.</x:v>
      </x:c>
      <x:c r="L86" s="10" t="str">
        <x:v>TC-CAL-009-01 / TC-CAL-009-02</x:v>
      </x:c>
      <x:c r="M86" s="12" t="str">
        <x:v>apps/api/impact_api/domain.py; apps/api/impact_api/service.py; qualification/test_measurement.py</x:v>
      </x:c>
      <x:c r="N86" s="10" t="str">
        <x:f>IF(G86="Done",IF(AND(LEN(H86)&gt;0,LEN(M86)&gt;0),"Complete","Evidence required"),"Open")</x:f>
        <x:v>Open</x:v>
      </x:c>
      <x:c r="O86" s="17" t="str">
        <x:v>Decimal SUM and pooled ratios, revision-bound lineage, explicit contributor coverage and stale-result flags are implemented. Hierarchy, stock, overlap, weighting, dimensions and production workload qualification are not implemented.</x:v>
      </x:c>
      <x:c r="P86" s="17" t="str">
        <x:v>PARTIAL</x:v>
      </x:c>
    </x:row>
    <x:row r="87" ht="64" customHeight="1">
      <x:c r="A87" s="10" t="str">
        <x:v>FR-CAL-010</x:v>
      </x:c>
      <x:c r="B87" s="10" t="str">
        <x:v>R1</x:v>
      </x:c>
      <x:c r="C87" s="10" t="str">
        <x:v>P0</x:v>
      </x:c>
      <x:c r="D87" s="10" t="str">
        <x:v>WP03</x:v>
      </x:c>
      <x:c r="E87" s="10" t="str">
        <x:v>Zero denominators and invalid inputs</x:v>
      </x:c>
      <x:c r="F87" s="10" t="str">
        <x:v>Measurement lead</x:v>
      </x:c>
      <x:c r="G87" s="12" t="str">
        <x:v>In progress</x:v>
      </x:c>
      <x:c r="H87" s="12" t="str"/>
      <x:c r="I87" s="10" t="str">
        <x:v>Validation rejects nonfinite inputs, impossible dates and incompatible sign conventions before calculation. A ratio with zero denominator returns UNDEFINED and a reason. Negative adjustments require an approved adjustment measure or correction contract.</x:v>
      </x:c>
      <x:c r="J87" s="10" t="str">
        <x:v>An eligible count cannot become negative merely because a spreadsheet contains a refund-like value. Percentages outside bounds require explicit valid semantics, not automatic clipping.</x:v>
      </x:c>
      <x:c r="K87" s="10" t="str">
        <x:v>Submit negative two participants and divide 5 by 0; the first is invalid and the second undefined, with neither displayed as a successful zero.</x:v>
      </x:c>
      <x:c r="L87" s="10" t="str">
        <x:v>TC-CAL-010-01 / TC-CAL-010-02</x:v>
      </x:c>
      <x:c r="M87" s="12" t="str">
        <x:v>apps/api/impact_api/domain.py; apps/api/impact_api/service.py; qualification/test_measurement.py</x:v>
      </x:c>
      <x:c r="N87" s="10" t="str">
        <x:f>IF(G87="Done",IF(AND(LEN(H87)&gt;0,LEN(M87)&gt;0),"Complete","Evidence required"),"Open")</x:f>
        <x:v>Open</x:v>
      </x:c>
      <x:c r="O87" s="17" t="str">
        <x:v>Decimal SUM and pooled ratios, revision-bound lineage, explicit contributor coverage and stale-result flags are implemented. Hierarchy, stock, overlap, weighting, dimensions and production workload qualification are not implemented.</x:v>
      </x:c>
      <x:c r="P87" s="17" t="str">
        <x:v>PARTIAL</x:v>
      </x:c>
    </x:row>
    <x:row r="88" ht="64" customHeight="1">
      <x:c r="A88" s="10" t="str">
        <x:v>FR-CAL-011</x:v>
      </x:c>
      <x:c r="B88" s="10" t="str">
        <x:v>R1</x:v>
      </x:c>
      <x:c r="C88" s="10" t="str">
        <x:v>P0</x:v>
      </x:c>
      <x:c r="D88" s="10" t="str">
        <x:v>WP03</x:v>
      </x:c>
      <x:c r="E88" s="10" t="str">
        <x:v>Corrections and recalculation</x:v>
      </x:c>
      <x:c r="F88" s="10" t="str">
        <x:v>Measurement lead</x:v>
      </x:c>
      <x:c r="G88" s="12" t="str">
        <x:v>In progress</x:v>
      </x:c>
      <x:c r="H88" s="12" t="str"/>
      <x:c r="I88" s="10" t="str">
        <x:v>An approved source correction identifies downstream definitions, result periods, dashboards and unpublished reports. Recalculation creates new result versions and updates live bindings after completion. Published snapshots remain bound to their original manifest.</x:v>
      </x:c>
      <x:c r="J88" s="10" t="str">
        <x:v>A failed downstream run exposes stale status and does not partially present a mixed official snapshot. Restatement is a separate approved operation; retry preserves one intended new result per input version.</x:v>
      </x:c>
      <x:c r="K88" s="10" t="str">
        <x:v>Correct one imported numerator and verify current ratio updates while the published quarterly PDF remains the original version until restated.</x:v>
      </x:c>
      <x:c r="L88" s="10" t="str">
        <x:v>TC-CAL-011-01 / TC-CAL-011-02</x:v>
      </x:c>
      <x:c r="M88" s="12" t="str">
        <x:v>apps/api/impact_api/work.py; qualification/test_work_center.py; docs/RELEASE-0.7.md</x:v>
      </x:c>
      <x:c r="N88" s="10" t="str">
        <x:f>IF(G88="Done",IF(AND(LEN(H88)&gt;0,LEN(M88)&gt;0),"Complete","Evidence required"),"Open")</x:f>
        <x:v>Open</x:v>
      </x:c>
      <x:c r="O88"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88" s="17" t="str">
        <x:v>PARTIAL</x:v>
      </x:c>
    </x:row>
    <x:row r="89" ht="64" customHeight="1">
      <x:c r="A89" s="10" t="str">
        <x:v>FR-CAL-012</x:v>
      </x:c>
      <x:c r="B89" s="10" t="str">
        <x:v>R1</x:v>
      </x:c>
      <x:c r="C89" s="10" t="str">
        <x:v>P0</x:v>
      </x:c>
      <x:c r="D89" s="10" t="str">
        <x:v>WP03</x:v>
      </x:c>
      <x:c r="E89" s="10" t="str">
        <x:v>Formula authoring and validation</x:v>
      </x:c>
      <x:c r="F89" s="10" t="str">
        <x:v>Measurement lead</x:v>
      </x:c>
      <x:c r="G89" s="12" t="str">
        <x:v>Not started</x:v>
      </x:c>
      <x:c r="H89" s="12" t="str"/>
      <x:c r="I89" s="10" t="str">
        <x:v>Formula authoring uses typed references and a bounded function catalogue: arithmetic, approved filters, count, sum, min, max, ratio and eligible distinct count in R1. Preview validates permissions, dependency cycles, units and sample outputs before review.</x:v>
      </x:c>
      <x:c r="J89" s="10" t="str">
        <x:v>No arbitrary scripts, network access, filesystem references or dynamically broadened queries. Division and missingness follow the calculation contract; unsupported functions fail at validation.</x:v>
      </x:c>
      <x:c r="K89" s="10" t="str">
        <x:v>Enter a formula referencing an inaccessible field, a circular indicator and an external URL call; each is rejected before activation.</x:v>
      </x:c>
      <x:c r="L89" s="10" t="str">
        <x:v>TC-CAL-012-01 / TC-CAL-012-02</x:v>
      </x:c>
      <x:c r="M89" s="12" t="str">
        <x:v>No accepted implementation evidence mapped.</x:v>
      </x:c>
      <x:c r="N89" s="10" t="str">
        <x:f>IF(G89="Done",IF(AND(LEN(H89)&gt;0,LEN(M89)&gt;0),"Complete","Evidence required"),"Open")</x:f>
        <x:v>Open</x:v>
      </x:c>
      <x:c r="O89" s="17" t="str">
        <x:v>No complete implementation and acceptance evidence mapped. Retain the original acceptance criteria; this requirement remains open.</x:v>
      </x:c>
      <x:c r="P89" s="17" t="str">
        <x:v>PENDING</x:v>
      </x:c>
    </x:row>
    <x:row r="90" ht="64" customHeight="1">
      <x:c r="A90" s="10" t="str">
        <x:v>FR-CAL-013</x:v>
      </x:c>
      <x:c r="B90" s="10" t="str">
        <x:v>R2</x:v>
      </x:c>
      <x:c r="C90" s="10" t="str">
        <x:v>P1</x:v>
      </x:c>
      <x:c r="D90" s="10" t="str">
        <x:v>WP03</x:v>
      </x:c>
      <x:c r="E90" s="10" t="str">
        <x:v>Weighted and composite indicators</x:v>
      </x:c>
      <x:c r="F90" s="10" t="str">
        <x:v>Measurement lead</x:v>
      </x:c>
      <x:c r="G90" s="12" t="str">
        <x:v>Not started</x:v>
      </x:c>
      <x:c r="H90" s="12" t="str"/>
      <x:c r="I90" s="10" t="str">
        <x:v>Composite setup specifies components, normalisation, weight scale, missing component policy and interpretation. Preview shows contribution of each component and sensitivity to proposed weights. Approval pins the complete configuration and source versions.</x:v>
      </x:c>
      <x:c r="J90" s="10" t="str">
        <x:v>Weights sum to one for a normalised weighted mean. Missing required components block or return an explicitly incomplete score; renormalisation is permitted only when the approved rule declares it.</x:v>
      </x:c>
      <x:c r="K90" s="10" t="str">
        <x:v>Scores 60 and 80 with weights 0.4 and 0.6 produce 72; changing weights creates a new version and leaves the old score reproducible.</x:v>
      </x:c>
      <x:c r="L90" s="10" t="str">
        <x:v>TC-CAL-013-01 / TC-CAL-013-02</x:v>
      </x:c>
      <x:c r="M90" s="12" t="str">
        <x:v>No accepted implementation evidence mapped.</x:v>
      </x:c>
      <x:c r="N90" s="10" t="str">
        <x:f>IF(G90="Done",IF(AND(LEN(H90)&gt;0,LEN(M90)&gt;0),"Complete","Evidence required"),"Open")</x:f>
        <x:v>Open</x:v>
      </x:c>
      <x:c r="O90" s="17" t="str">
        <x:v>No complete implementation and acceptance evidence mapped. Retain the original acceptance criteria; this requirement remains open.</x:v>
      </x:c>
      <x:c r="P90" s="17" t="str">
        <x:v>PENDING</x:v>
      </x:c>
    </x:row>
    <x:row r="91" ht="64" customHeight="1">
      <x:c r="A91" s="10" t="str">
        <x:v>FR-CAL-014</x:v>
      </x:c>
      <x:c r="B91" s="10" t="str">
        <x:v>R1</x:v>
      </x:c>
      <x:c r="C91" s="10" t="str">
        <x:v>P0</x:v>
      </x:c>
      <x:c r="D91" s="10" t="str">
        <x:v>WP03</x:v>
      </x:c>
      <x:c r="E91" s="10" t="str">
        <x:v>Cross portfolio attribution</x:v>
      </x:c>
      <x:c r="F91" s="10" t="str">
        <x:v>Measurement lead</x:v>
      </x:c>
      <x:c r="G91" s="12" t="str">
        <x:v>Not started</x:v>
      </x:c>
      <x:c r="H91" s="12" t="str"/>
      <x:c r="I91" s="10" t="str">
        <x:v>Portfolio membership is a view relation. Organisation-wide counting uses the unique underlying project or result identity. An allocation view applies separately approved attribution shares with a declared basis and remainder policy.</x:v>
      </x:c>
      <x:c r="J91" s="10" t="str">
        <x:v>Funding share does not imply causal impact ownership. Shares that exceed the source total are rejected unless the view is explicitly nonadditive and labelled.</x:v>
      </x:c>
      <x:c r="K91" s="10" t="str">
        <x:v>Project P belongs to health and education portfolios; each may show P, while the organisation unique project count stays one.</x:v>
      </x:c>
      <x:c r="L91" s="10" t="str">
        <x:v>TC-CAL-014-01 / TC-CAL-014-02</x:v>
      </x:c>
      <x:c r="M91" s="12" t="str">
        <x:v>No accepted implementation evidence mapped.</x:v>
      </x:c>
      <x:c r="N91" s="10" t="str">
        <x:f>IF(G91="Done",IF(AND(LEN(H91)&gt;0,LEN(M91)&gt;0),"Complete","Evidence required"),"Open")</x:f>
        <x:v>Open</x:v>
      </x:c>
      <x:c r="O91" s="17" t="str">
        <x:v>No complete implementation and acceptance evidence mapped. Retain the original acceptance criteria; this requirement remains open.</x:v>
      </x:c>
      <x:c r="P91" s="17" t="str">
        <x:v>PENDING</x:v>
      </x:c>
    </x:row>
    <x:row r="92" ht="51" customHeight="1">
      <x:c r="A92" s="10" t="str">
        <x:v>FR-CAL-015</x:v>
      </x:c>
      <x:c r="B92" s="10" t="str">
        <x:v>R1</x:v>
      </x:c>
      <x:c r="C92" s="10" t="str">
        <x:v>P0</x:v>
      </x:c>
      <x:c r="D92" s="10" t="str">
        <x:v>WP03</x:v>
      </x:c>
      <x:c r="E92" s="10" t="str">
        <x:v>Reconciliation and explainability</x:v>
      </x:c>
      <x:c r="F92" s="10" t="str">
        <x:v>Measurement lead</x:v>
      </x:c>
      <x:c r="G92" s="12" t="str">
        <x:v>In progress</x:v>
      </x:c>
      <x:c r="H92" s="12" t="str"/>
      <x:c r="I92" s="10" t="str">
        <x:v>The explanation view shows rule version, source set, included and excluded counts, adjustments, coverage and approval. Comparing runs classifies differences into source, rule, period, target, permission or disclosure changes.</x:v>
      </x:c>
      <x:c r="J92" s="10" t="str">
        <x:v>A viewer cannot use reconciliation to inspect restricted excluded records; show permitted aggregates or withheld references. Numerical differences must reconcile to stated causes before report approval.</x:v>
      </x:c>
      <x:c r="K92" s="10" t="str">
        <x:v>Change one source value and one filter, compare runs and identify the separate effect of each rather than reporting one unexplained total difference.</x:v>
      </x:c>
      <x:c r="L92" s="10" t="str">
        <x:v>TC-CAL-015-01 / TC-CAL-015-02</x:v>
      </x:c>
      <x:c r="M92" s="12" t="str">
        <x:v>apps/api/impact_api/domain.py; apps/api/impact_api/service.py; qualification/test_measurement.py</x:v>
      </x:c>
      <x:c r="N92" s="10" t="str">
        <x:f>IF(G92="Done",IF(AND(LEN(H92)&gt;0,LEN(M92)&gt;0),"Complete","Evidence required"),"Open")</x:f>
        <x:v>Open</x:v>
      </x:c>
      <x:c r="O92" s="17" t="str">
        <x:v>Decimal SUM and pooled ratios, revision-bound lineage, explicit contributor coverage and stale-result flags are implemented. Hierarchy, stock, overlap, weighting, dimensions and production workload qualification are not implemented.</x:v>
      </x:c>
      <x:c r="P92" s="17" t="str">
        <x:v>PARTIAL</x:v>
      </x:c>
    </x:row>
    <x:row r="93" ht="64" customHeight="1">
      <x:c r="A93" s="10" t="str">
        <x:v>FR-CAL-016</x:v>
      </x:c>
      <x:c r="B93" s="10" t="str">
        <x:v>R2</x:v>
      </x:c>
      <x:c r="C93" s="10" t="str">
        <x:v>P1</x:v>
      </x:c>
      <x:c r="D93" s="10" t="str">
        <x:v>WP03</x:v>
      </x:c>
      <x:c r="E93" s="10" t="str">
        <x:v>Statistical interpretation</x:v>
      </x:c>
      <x:c r="F93" s="10" t="str">
        <x:v>Measurement lead</x:v>
      </x:c>
      <x:c r="G93" s="12" t="str">
        <x:v>Not started</x:v>
      </x:c>
      <x:c r="H93" s="12" t="str"/>
      <x:c r="I93" s="10" t="str">
        <x:v>A statistical output selects method, sample basis, weights, uncertainty and eligible observations. The result package contains calculation metadata and limitations. Pooling requires sufficient compatible raw values or valid sufficient statistics for the chosen method.</x:v>
      </x:c>
      <x:c r="J93" s="10" t="str">
        <x:v>A mean of medians is labelled as that statistic, never a pooled median. Sample estimates are not population counts without a reviewed expansion method.</x:v>
      </x:c>
      <x:c r="K93" s="10" t="str">
        <x:v>Groups with raw values 1, 2, 100 and 3, 4 combine to median 3; subgroup medians alone cannot reproduce that claim reliably.</x:v>
      </x:c>
      <x:c r="L93" s="10" t="str">
        <x:v>TC-CAL-016-01 / TC-CAL-016-02</x:v>
      </x:c>
      <x:c r="M93" s="12" t="str">
        <x:v>No accepted implementation evidence mapped.</x:v>
      </x:c>
      <x:c r="N93" s="10" t="str">
        <x:f>IF(G93="Done",IF(AND(LEN(H93)&gt;0,LEN(M93)&gt;0),"Complete","Evidence required"),"Open")</x:f>
        <x:v>Open</x:v>
      </x:c>
      <x:c r="O93" s="17" t="str">
        <x:v>No complete implementation and acceptance evidence mapped. Retain the original acceptance criteria; this requirement remains open.</x:v>
      </x:c>
      <x:c r="P93" s="17" t="str">
        <x:v>PENDING</x:v>
      </x:c>
    </x:row>
    <x:row r="94" ht="64" customHeight="1">
      <x:c r="A94" s="10" t="str">
        <x:v>FR-FRM-001</x:v>
      </x:c>
      <x:c r="B94" s="10" t="str">
        <x:v>R1</x:v>
      </x:c>
      <x:c r="C94" s="10" t="str">
        <x:v>P0</x:v>
      </x:c>
      <x:c r="D94" s="10" t="str">
        <x:v>WP04</x:v>
      </x:c>
      <x:c r="E94" s="10" t="str">
        <x:v>Form builder</x:v>
      </x:c>
      <x:c r="F94" s="10" t="str">
        <x:v>Collection lead</x:v>
      </x:c>
      <x:c r="G94" s="12" t="str">
        <x:v>Not started</x:v>
      </x:c>
      <x:c r="H94" s="12" t="str"/>
      <x:c r="I94" s="10" t="str">
        <x:v>The builder assigns stable field IDs and selects type, label, help, classification and validation. Groups and repeat groups have explicit child schemas. Preview supports desktop and mobile and displays the effective form version. Submitting for review locks the schema and starts the approval workflow.</x:v>
      </x:c>
      <x:c r="J94" s="10" t="str">
        <x:v>Qualify 200 questions and 100 repeat entries; the declared limit applies to repeat instances per submission and nesting is limited to two levels in R1. Unsupported combinations are rejected before publishing.</x:v>
      </x:c>
      <x:c r="K94" s="10" t="str">
        <x:v>Build a household form with three members, an optional photo and a calculated age; all child responses retain their parent and stable field codes.</x:v>
      </x:c>
      <x:c r="L94" s="10" t="str">
        <x:v>TC-FRM-001-01 / TC-FRM-001-02</x:v>
      </x:c>
      <x:c r="M94" s="12" t="str">
        <x:v>No accepted implementation evidence mapped.</x:v>
      </x:c>
      <x:c r="N94" s="10" t="str">
        <x:f>IF(G94="Done",IF(AND(LEN(H94)&gt;0,LEN(M94)&gt;0),"Complete","Evidence required"),"Open")</x:f>
        <x:v>Open</x:v>
      </x:c>
      <x:c r="O94" s="17" t="str">
        <x:v>No complete implementation and acceptance evidence mapped. Retain the original acceptance criteria; this requirement remains open.</x:v>
      </x:c>
      <x:c r="P94" s="17" t="str">
        <x:v>PENDING</x:v>
      </x:c>
    </x:row>
    <x:row r="95" ht="77" customHeight="1">
      <x:c r="A95" s="10" t="str">
        <x:v>FR-FRM-002</x:v>
      </x:c>
      <x:c r="B95" s="10" t="str">
        <x:v>R1</x:v>
      </x:c>
      <x:c r="C95" s="10" t="str">
        <x:v>P0</x:v>
      </x:c>
      <x:c r="D95" s="10" t="str">
        <x:v>WP04</x:v>
      </x:c>
      <x:c r="E95" s="10" t="str">
        <x:v>Conditional logic and validation</x:v>
      </x:c>
      <x:c r="F95" s="10" t="str">
        <x:v>Collection lead</x:v>
      </x:c>
      <x:c r="G95" s="12" t="str">
        <x:v>Not started</x:v>
      </x:c>
      <x:c r="H95" s="12" t="str"/>
      <x:c r="I95" s="10" t="str">
        <x:v>Relevance and required rules use typed field references and a bounded expression catalogue. Changing an upstream answer recalculates downstream state in dependency order. Default behaviour clears newly irrelevant values after a visible confirmation; explicitly retained hidden values are excluded from calculations unless the approved schema says otherwise.</x:v>
      </x:c>
      <x:c r="J95" s="10" t="str">
        <x:v>Server checks the same versioned rules. Reject cycles and references to inaccessible fields. A client cannot submit a hidden required answer to bypass relevance policy.</x:v>
      </x:c>
      <x:c r="K95" s="10" t="str">
        <x:v>Change pregnancy relevance from yes to no; dependent fields clear under the declared policy and a tampered payload containing disallowed answers is rejected.</x:v>
      </x:c>
      <x:c r="L95" s="10" t="str">
        <x:v>TC-FRM-002-01 / TC-FRM-002-02</x:v>
      </x:c>
      <x:c r="M95" s="12" t="str">
        <x:v>No accepted implementation evidence mapped.</x:v>
      </x:c>
      <x:c r="N95" s="10" t="str">
        <x:f>IF(G95="Done",IF(AND(LEN(H95)&gt;0,LEN(M95)&gt;0),"Complete","Evidence required"),"Open")</x:f>
        <x:v>Open</x:v>
      </x:c>
      <x:c r="O95" s="17" t="str">
        <x:v>No complete implementation and acceptance evidence mapped. Retain the original acceptance criteria; this requirement remains open.</x:v>
      </x:c>
      <x:c r="P95" s="17" t="str">
        <x:v>PENDING</x:v>
      </x:c>
    </x:row>
    <x:row r="96" ht="64" customHeight="1">
      <x:c r="A96" s="10" t="str">
        <x:v>FR-FRM-003</x:v>
      </x:c>
      <x:c r="B96" s="10" t="str">
        <x:v>R1</x:v>
      </x:c>
      <x:c r="C96" s="10" t="str">
        <x:v>P0</x:v>
      </x:c>
      <x:c r="D96" s="10" t="str">
        <x:v>WP04</x:v>
      </x:c>
      <x:c r="E96" s="10" t="str">
        <x:v>Form lifecycle and compatibility</x:v>
      </x:c>
      <x:c r="F96" s="10" t="str">
        <x:v>Collection lead</x:v>
      </x:c>
      <x:c r="G96" s="12" t="str">
        <x:v>Not started</x:v>
      </x:c>
      <x:c r="H96" s="12" t="str"/>
      <x:c r="I96" s="10" t="str">
        <x:v>A form moves through draft, isolated test, independent review and publication. A new published version declares compatibility with earlier versions and an acceptance cutoff. Submissions retain the exact form and translation version used at capture.</x:v>
      </x:c>
      <x:c r="J96" s="10" t="str">
        <x:v>Additive optional changes may accept older versions; changed mandatory or semantic rules quarantine older submissions for reviewed mapping. Revoked unsafe forms are rejected as live collection instruments.</x:v>
      </x:c>
      <x:c r="K96" s="10" t="str">
        <x:v>Publish a new mandatory question while an older package is offline; reconnect preserves the original submission and quarantines it rather than inventing the answer.</x:v>
      </x:c>
      <x:c r="L96" s="10" t="str">
        <x:v>TC-FRM-003-01 / TC-FRM-003-02</x:v>
      </x:c>
      <x:c r="M96" s="12" t="str">
        <x:v>No accepted implementation evidence mapped.</x:v>
      </x:c>
      <x:c r="N96" s="10" t="str">
        <x:f>IF(G96="Done",IF(AND(LEN(H96)&gt;0,LEN(M96)&gt;0),"Complete","Evidence required"),"Open")</x:f>
        <x:v>Open</x:v>
      </x:c>
      <x:c r="O96" s="17" t="str">
        <x:v>No complete implementation and acceptance evidence mapped. Retain the original acceptance criteria; this requirement remains open.</x:v>
      </x:c>
      <x:c r="P96" s="17" t="str">
        <x:v>PENDING</x:v>
      </x:c>
    </x:row>
    <x:row r="97" ht="64" customHeight="1">
      <x:c r="A97" s="10" t="str">
        <x:v>FR-FRM-004</x:v>
      </x:c>
      <x:c r="B97" s="10" t="str">
        <x:v>R1</x:v>
      </x:c>
      <x:c r="C97" s="10" t="str">
        <x:v>P1</x:v>
      </x:c>
      <x:c r="D97" s="10" t="str">
        <x:v>WP04</x:v>
      </x:c>
      <x:c r="E97" s="10" t="str">
        <x:v>Multilingual instruments</x:v>
      </x:c>
      <x:c r="F97" s="10" t="str">
        <x:v>Collection lead</x:v>
      </x:c>
      <x:c r="G97" s="12" t="str">
        <x:v>Not started</x:v>
      </x:c>
      <x:c r="H97" s="12" t="str"/>
      <x:c r="I97" s="10" t="str">
        <x:v>Each field and choice has a stable code and language specific labels. The translator sees missing and machine proposed translations. Review approves a language version separately; a released form records its approved language set.</x:v>
      </x:c>
      <x:c r="J97" s="10" t="str">
        <x:v>Fallback text is explicit and cannot silently change choice codes. Critical consent text requires approved translation in the selected collection language; otherwise collection in that language is blocked.</x:v>
      </x:c>
      <x:c r="K97" s="10" t="str">
        <x:v>Submit the same choice in English and Hindi; both map to one stable response code and retain the language presented to the respondent.</x:v>
      </x:c>
      <x:c r="L97" s="10" t="str">
        <x:v>TC-FRM-004-01 / TC-FRM-004-02</x:v>
      </x:c>
      <x:c r="M97" s="12" t="str">
        <x:v>No accepted implementation evidence mapped.</x:v>
      </x:c>
      <x:c r="N97" s="10" t="str">
        <x:f>IF(G97="Done",IF(AND(LEN(H97)&gt;0,LEN(M97)&gt;0),"Complete","Evidence required"),"Open")</x:f>
        <x:v>Open</x:v>
      </x:c>
      <x:c r="O97" s="17" t="str">
        <x:v>No complete implementation and acceptance evidence mapped. Retain the original acceptance criteria; this requirement remains open.</x:v>
      </x:c>
      <x:c r="P97" s="17" t="str">
        <x:v>PENDING</x:v>
      </x:c>
    </x:row>
    <x:row r="98" ht="64" customHeight="1">
      <x:c r="A98" s="10" t="str">
        <x:v>FR-FRM-005</x:v>
      </x:c>
      <x:c r="B98" s="10" t="str">
        <x:v>R1</x:v>
      </x:c>
      <x:c r="C98" s="10" t="str">
        <x:v>P0</x:v>
      </x:c>
      <x:c r="D98" s="10" t="str">
        <x:v>WP04</x:v>
      </x:c>
      <x:c r="E98" s="10" t="str">
        <x:v>Collection rounds and assignments</x:v>
      </x:c>
      <x:c r="F98" s="10" t="str">
        <x:v>Collection lead</x:v>
      </x:c>
      <x:c r="G98" s="12" t="str">
        <x:v>Not started</x:v>
      </x:c>
      <x:c r="H98" s="12" t="str"/>
      <x:c r="I98" s="10" t="str">
        <x:v>A supervisor defines a round, eligible frame, form version, dates and expected assignments. Task creation produces one stable assignment per sampled unit and visit. Reassignment changes assignee with history; sample replacement records original and substitute with reason.</x:v>
      </x:c>
      <x:c r="J98" s="10" t="str">
        <x:v>No automatic expansion from assigned sample to full registry. Replacement does not erase nonresponse or increase the intended denominator silently.</x:v>
      </x:c>
      <x:c r="K98" s="10" t="str">
        <x:v>Reassign a household visit from collector A to B; the old assignment cannot produce an extra eligible completed visit after B submits.</x:v>
      </x:c>
      <x:c r="L98" s="10" t="str">
        <x:v>TC-FRM-005-01 / TC-FRM-005-02</x:v>
      </x:c>
      <x:c r="M98" s="12" t="str">
        <x:v>No accepted implementation evidence mapped.</x:v>
      </x:c>
      <x:c r="N98" s="10" t="str">
        <x:f>IF(G98="Done",IF(AND(LEN(H98)&gt;0,LEN(M98)&gt;0),"Complete","Evidence required"),"Open")</x:f>
        <x:v>Open</x:v>
      </x:c>
      <x:c r="O98" s="17" t="str">
        <x:v>No complete implementation and acceptance evidence mapped. Retain the original acceptance criteria; this requirement remains open.</x:v>
      </x:c>
      <x:c r="P98" s="17" t="str">
        <x:v>PENDING</x:v>
      </x:c>
    </x:row>
    <x:row r="99" ht="64" customHeight="1">
      <x:c r="A99" s="10" t="str">
        <x:v>FR-FRM-006</x:v>
      </x:c>
      <x:c r="B99" s="10" t="str">
        <x:v>R1</x:v>
      </x:c>
      <x:c r="C99" s="10" t="str">
        <x:v>P0</x:v>
      </x:c>
      <x:c r="D99" s="10" t="str">
        <x:v>WP04</x:v>
      </x:c>
      <x:c r="E99" s="10" t="str">
        <x:v>Save resume and correction</x:v>
      </x:c>
      <x:c r="F99" s="10" t="str">
        <x:v>Collection lead</x:v>
      </x:c>
      <x:c r="G99" s="12" t="str">
        <x:v>Not started</x:v>
      </x:c>
      <x:c r="H99" s="12" t="str"/>
      <x:c r="I99" s="10" t="str">
        <x:v>The collector may save a local or server draft and sees which occurred. Resume restores the same submission identity and form version. Submit runs validation, confirms intended finality and returns a receipt; returned work starts a linked correction revision.</x:v>
      </x:c>
      <x:c r="J99" s="10" t="str">
        <x:v>Repeated taps reuse operation identity. Closing a browser with unsaved changes warns; a server timeout enters confirmation pending, not a new submission.</x:v>
      </x:c>
      <x:c r="K99" s="10" t="str">
        <x:v>Interrupt during final submit, reopen and retry; the receipt resolves to one submission and the local draft remains until server acceptance is confirmed.</x:v>
      </x:c>
      <x:c r="L99" s="10" t="str">
        <x:v>TC-FRM-006-01 / TC-FRM-006-02</x:v>
      </x:c>
      <x:c r="M99" s="12" t="str">
        <x:v>No accepted implementation evidence mapped.</x:v>
      </x:c>
      <x:c r="N99" s="10" t="str">
        <x:f>IF(G99="Done",IF(AND(LEN(H99)&gt;0,LEN(M99)&gt;0),"Complete","Evidence required"),"Open")</x:f>
        <x:v>Open</x:v>
      </x:c>
      <x:c r="O99" s="17" t="str">
        <x:v>No complete implementation and acceptance evidence mapped. Retain the original acceptance criteria; this requirement remains open.</x:v>
      </x:c>
      <x:c r="P99" s="17" t="str">
        <x:v>PENDING</x:v>
      </x:c>
    </x:row>
    <x:row r="100" ht="64" customHeight="1">
      <x:c r="A100" s="10" t="str">
        <x:v>FR-FRM-007</x:v>
      </x:c>
      <x:c r="B100" s="10" t="str">
        <x:v>R1</x:v>
      </x:c>
      <x:c r="C100" s="10" t="str">
        <x:v>P1</x:v>
      </x:c>
      <x:c r="D100" s="10" t="str">
        <x:v>WP04</x:v>
      </x:c>
      <x:c r="E100" s="10" t="str">
        <x:v>Media and location evidence</x:v>
      </x:c>
      <x:c r="F100" s="10" t="str">
        <x:v>Collection lead</x:v>
      </x:c>
      <x:c r="G100" s="12" t="str">
        <x:v>Not started</x:v>
      </x:c>
      <x:c r="H100" s="12" t="str"/>
      <x:c r="I100" s="10" t="str">
        <x:v>Media capture displays necessity, consent and size limits before recording. Each attachment has upload progress, safety state and evidence requirement. Optional GPS refusal records unavailable or declined; mandatory justified GPS follows an explicit exception path.</x:v>
      </x:c>
      <x:c r="J100" s="10" t="str">
        <x:v>Strip prohibited embedded metadata before approved disclosure while retaining permitted source provenance. Scanning incomplete or unsafe files prevents evidence completeness and approval.</x:v>
      </x:c>
      <x:c r="K100" s="10" t="str">
        <x:v>Upload a photo with embedded coordinates while location disclosure is prohibited; the external artifact contains no recoverable coordinate metadata.</x:v>
      </x:c>
      <x:c r="L100" s="10" t="str">
        <x:v>TC-FRM-007-01 / TC-FRM-007-02</x:v>
      </x:c>
      <x:c r="M100" s="12" t="str">
        <x:v>No accepted implementation evidence mapped.</x:v>
      </x:c>
      <x:c r="N100" s="10" t="str">
        <x:f>IF(G100="Done",IF(AND(LEN(H100)&gt;0,LEN(M100)&gt;0),"Complete","Evidence required"),"Open")</x:f>
        <x:v>Open</x:v>
      </x:c>
      <x:c r="O100" s="17" t="str">
        <x:v>No complete implementation and acceptance evidence mapped. Retain the original acceptance criteria; this requirement remains open.</x:v>
      </x:c>
      <x:c r="P100" s="17" t="str">
        <x:v>PENDING</x:v>
      </x:c>
    </x:row>
    <x:row r="101" ht="64" customHeight="1">
      <x:c r="A101" s="10" t="str">
        <x:v>FR-FRM-008</x:v>
      </x:c>
      <x:c r="B101" s="10" t="str">
        <x:v>R2</x:v>
      </x:c>
      <x:c r="C101" s="10" t="str">
        <x:v>P1</x:v>
      </x:c>
      <x:c r="D101" s="10" t="str">
        <x:v>WP04</x:v>
      </x:c>
      <x:c r="E101" s="10" t="str">
        <x:v>Respondent and public forms</x:v>
      </x:c>
      <x:c r="F101" s="10" t="str">
        <x:v>Collection lead</x:v>
      </x:c>
      <x:c r="G101" s="12" t="str">
        <x:v>Not started</x:v>
      </x:c>
      <x:c r="H101" s="12" t="str"/>
      <x:c r="I101" s="10" t="str">
        <x:v>Self completion uses a public form or a scoped single response token with notice, expiry and permitted resume behaviour. The form exposes no participant directory. Default token permits one final submission and optional authenticated or token bound draft resume until expiry.</x:v>
      </x:c>
      <x:c r="J101" s="10" t="str">
        <x:v>Apply accessible abuse controls and rate limits. Receipt confirms successful submission without returning other respondents' details. Token replay cannot create duplicate results.</x:v>
      </x:c>
      <x:c r="K101" s="10" t="str">
        <x:v>Submit once with a token and request a different response ID; replay is idempotent or unavailable and the other response is never shown.</x:v>
      </x:c>
      <x:c r="L101" s="10" t="str">
        <x:v>TC-FRM-008-01 / TC-FRM-008-02</x:v>
      </x:c>
      <x:c r="M101" s="12" t="str">
        <x:v>No accepted implementation evidence mapped.</x:v>
      </x:c>
      <x:c r="N101" s="10" t="str">
        <x:f>IF(G101="Done",IF(AND(LEN(H101)&gt;0,LEN(M101)&gt;0),"Complete","Evidence required"),"Open")</x:f>
        <x:v>Open</x:v>
      </x:c>
      <x:c r="O101" s="17" t="str">
        <x:v>No complete implementation and acceptance evidence mapped. Retain the original acceptance criteria; this requirement remains open.</x:v>
      </x:c>
      <x:c r="P101" s="17" t="str">
        <x:v>PENDING</x:v>
      </x:c>
    </x:row>
    <x:row r="102" ht="64" customHeight="1">
      <x:c r="A102" s="10" t="str">
        <x:v>FR-FRM-009</x:v>
      </x:c>
      <x:c r="B102" s="10" t="str">
        <x:v>R2</x:v>
      </x:c>
      <x:c r="C102" s="10" t="str">
        <x:v>P1</x:v>
      </x:c>
      <x:c r="D102" s="10" t="str">
        <x:v>WP04</x:v>
      </x:c>
      <x:c r="E102" s="10" t="str">
        <x:v>Longitudinal and repeat visits</x:v>
      </x:c>
      <x:c r="F102" s="10" t="str">
        <x:v>Collection lead</x:v>
      </x:c>
      <x:c r="G102" s="12" t="str">
        <x:v>Not started</x:v>
      </x:c>
      <x:c r="H102" s="12" t="str"/>
      <x:c r="I102" s="10" t="str">
        <x:v>Repeat visit templates declare entity scope, visit type, baseline reference, expected interval and observation window. Each visit is a separate event. Permitted prior responses may be shown with their date and source, never copied as current answers by default.</x:v>
      </x:c>
      <x:c r="J102" s="10" t="str">
        <x:v>Outside-window visits require a reason and an analysis eligibility decision. Missing follow up, withdrawal and death remain distinct from zero outcomes.</x:v>
      </x:c>
      <x:c r="K102" s="10" t="str">
        <x:v>Record a baseline and two follow ups for one person; the analysis selects the designated window without counting all three as different participants.</x:v>
      </x:c>
      <x:c r="L102" s="10" t="str">
        <x:v>TC-FRM-009-01 / TC-FRM-009-02</x:v>
      </x:c>
      <x:c r="M102" s="12" t="str">
        <x:v>No accepted implementation evidence mapped.</x:v>
      </x:c>
      <x:c r="N102" s="10" t="str">
        <x:f>IF(G102="Done",IF(AND(LEN(H102)&gt;0,LEN(M102)&gt;0),"Complete","Evidence required"),"Open")</x:f>
        <x:v>Open</x:v>
      </x:c>
      <x:c r="O102" s="17" t="str">
        <x:v>No complete implementation and acceptance evidence mapped. Retain the original acceptance criteria; this requirement remains open.</x:v>
      </x:c>
      <x:c r="P102" s="17" t="str">
        <x:v>PENDING</x:v>
      </x:c>
    </x:row>
    <x:row r="103" ht="64" customHeight="1">
      <x:c r="A103" s="10" t="str">
        <x:v>FR-FRM-010</x:v>
      </x:c>
      <x:c r="B103" s="10" t="str">
        <x:v>R1</x:v>
      </x:c>
      <x:c r="C103" s="10" t="str">
        <x:v>P1</x:v>
      </x:c>
      <x:c r="D103" s="10" t="str">
        <x:v>WP04</x:v>
      </x:c>
      <x:c r="E103" s="10" t="str">
        <x:v>Instrument testing and reuse</x:v>
      </x:c>
      <x:c r="F103" s="10" t="str">
        <x:v>Collection lead</x:v>
      </x:c>
      <x:c r="G103" s="12" t="str">
        <x:v>Not started</x:v>
      </x:c>
      <x:c r="H103" s="12" t="str"/>
      <x:c r="I103" s="10" t="str">
        <x:v>Form testing uses synthetic submissions, branch coverage, boundary answers, translations and device previews. Results identify unvisited logic branches and validation failures. Copying a question library pins the selected version and allows permitted local adaptation.</x:v>
      </x:c>
      <x:c r="J103" s="10" t="str">
        <x:v>No test submission may enter official datasets or trigger real respondent messages. Publish requires passing mandatory path checks and independent instrument review.</x:v>
      </x:c>
      <x:c r="K103" s="10" t="str">
        <x:v>Exercise two skip branches and one repeat boundary, publish the form and verify all synthetic responses remain outside production counts.</x:v>
      </x:c>
      <x:c r="L103" s="10" t="str">
        <x:v>TC-FRM-010-01 / TC-FRM-010-02</x:v>
      </x:c>
      <x:c r="M103" s="12" t="str">
        <x:v>No accepted implementation evidence mapped.</x:v>
      </x:c>
      <x:c r="N103" s="10" t="str">
        <x:f>IF(G103="Done",IF(AND(LEN(H103)&gt;0,LEN(M103)&gt;0),"Complete","Evidence required"),"Open")</x:f>
        <x:v>Open</x:v>
      </x:c>
      <x:c r="O103" s="17" t="str">
        <x:v>No complete implementation and acceptance evidence mapped. Retain the original acceptance criteria; this requirement remains open.</x:v>
      </x:c>
      <x:c r="P103" s="17" t="str">
        <x:v>PENDING</x:v>
      </x:c>
    </x:row>
    <x:row r="104" ht="64" customHeight="1">
      <x:c r="A104" s="10" t="str">
        <x:v>FR-OFF-001</x:v>
      </x:c>
      <x:c r="B104" s="10" t="str">
        <x:v>R1</x:v>
      </x:c>
      <x:c r="C104" s="10" t="str">
        <x:v>P0</x:v>
      </x:c>
      <x:c r="D104" s="10" t="str">
        <x:v>WP09</x:v>
      </x:c>
      <x:c r="E104" s="10" t="str">
        <x:v>Offline task packages</x:v>
      </x:c>
      <x:c r="F104" s="10" t="str">
        <x:v>Mobile lead</x:v>
      </x:c>
      <x:c r="G104" s="12" t="str">
        <x:v>Not started</x:v>
      </x:c>
      <x:c r="H104" s="12" t="str"/>
      <x:c r="I104" s="10" t="str">
        <x:v>An authenticated collector selects assigned work to package. Preview lists form versions, minimal reference fields, media size and expiry. The download binds actor, tenant, device workspace and policy version; successful local preparation is confirmed before field departure.</x:v>
      </x:c>
      <x:c r="J104" s="10" t="str">
        <x:v>No full project registry download by default. Package renewal needs online policy verification. Expired assignments are excluded even if still visible in an old task list.</x:v>
      </x:c>
      <x:c r="K104" s="10" t="str">
        <x:v>Download three assigned households and go offline; the collector can complete those forms but cannot browse a fourth unassigned household.</x:v>
      </x:c>
      <x:c r="L104" s="10" t="str">
        <x:v>TC-OFF-001-01 / TC-OFF-001-02</x:v>
      </x:c>
      <x:c r="M104" s="12" t="str">
        <x:v>No accepted implementation evidence mapped.</x:v>
      </x:c>
      <x:c r="N104" s="10" t="str">
        <x:f>IF(G104="Done",IF(AND(LEN(H104)&gt;0,LEN(M104)&gt;0),"Complete","Evidence required"),"Open")</x:f>
        <x:v>Open</x:v>
      </x:c>
      <x:c r="O104" s="17" t="str">
        <x:v>No complete implementation and acceptance evidence mapped. Retain the original acceptance criteria; this requirement remains open.</x:v>
      </x:c>
      <x:c r="P104" s="17" t="str">
        <x:v>PENDING</x:v>
      </x:c>
    </x:row>
    <x:row r="105" ht="64" customHeight="1">
      <x:c r="A105" s="10" t="str">
        <x:v>FR-OFF-002</x:v>
      </x:c>
      <x:c r="B105" s="10" t="str">
        <x:v>R1</x:v>
      </x:c>
      <x:c r="C105" s="10" t="str">
        <x:v>P0</x:v>
      </x:c>
      <x:c r="D105" s="10" t="str">
        <x:v>WP09</x:v>
      </x:c>
      <x:c r="E105" s="10" t="str">
        <x:v>Durable local capture</x:v>
      </x:c>
      <x:c r="F105" s="10" t="str">
        <x:v>Mobile lead</x:v>
      </x:c>
      <x:c r="G105" s="12" t="str">
        <x:v>Not started</x:v>
      </x:c>
      <x:c r="H105" s="12" t="str"/>
      <x:c r="I105" s="10" t="str">
        <x:v>Every local save returns a device receipt and safe status. The client persists drafts, stable IDs and attachment references within the qualified device profile. Restart recovery lists recovered work and any incomplete local writes; storage warnings appear before capture becomes unsafe.</x:v>
      </x:c>
      <x:c r="J105" s="10" t="str">
        <x:v>A local acknowledgement is not server durability. If secure durable storage cannot be qualified on a client, disable sensitive offline collection and show the supported alternative.</x:v>
      </x:c>
      <x:c r="K105" s="10" t="str">
        <x:v>Restart during an attachment save and confirm the saved answers survive, the incomplete file is flagged and no false server received status appears.</x:v>
      </x:c>
      <x:c r="L105" s="10" t="str">
        <x:v>TC-OFF-002-01 / TC-OFF-002-02</x:v>
      </x:c>
      <x:c r="M105" s="12" t="str">
        <x:v>No accepted implementation evidence mapped.</x:v>
      </x:c>
      <x:c r="N105" s="10" t="str">
        <x:f>IF(G105="Done",IF(AND(LEN(H105)&gt;0,LEN(M105)&gt;0),"Complete","Evidence required"),"Open")</x:f>
        <x:v>Open</x:v>
      </x:c>
      <x:c r="O105" s="17" t="str">
        <x:v>No complete implementation and acceptance evidence mapped. Retain the original acceptance criteria; this requirement remains open.</x:v>
      </x:c>
      <x:c r="P105" s="17" t="str">
        <x:v>PENDING</x:v>
      </x:c>
    </x:row>
    <x:row r="106" ht="64" customHeight="1">
      <x:c r="A106" s="10" t="str">
        <x:v>FR-OFF-003</x:v>
      </x:c>
      <x:c r="B106" s="10" t="str">
        <x:v>R1</x:v>
      </x:c>
      <x:c r="C106" s="10" t="str">
        <x:v>P0</x:v>
      </x:c>
      <x:c r="D106" s="10" t="str">
        <x:v>WP09</x:v>
      </x:c>
      <x:c r="E106" s="10" t="str">
        <x:v>Idempotent synchronisation</x:v>
      </x:c>
      <x:c r="F106" s="10" t="str">
        <x:v>Mobile lead</x:v>
      </x:c>
      <x:c r="G106" s="12" t="str">
        <x:v>Not started</x:v>
      </x:c>
      <x:c r="H106" s="12" t="str"/>
      <x:c r="I106" s="10" t="str">
        <x:v>Sync uploads the submission identity, base revision, form version, grant context and media manifest. The server responds per item with accepted, duplicate, conflict, quarantined or rejected. Media chunks resume independently; final completeness waits for required files and checks.</x:v>
      </x:c>
      <x:c r="J106" s="10" t="str">
        <x:v>Retain local receipt until server reconciliation completes. Repeat identical submissions resolve to the same server object even after ordinary interactive operation receipts expire.</x:v>
      </x:c>
      <x:c r="K106" s="10" t="str">
        <x:v>Interrupt the same batch five times; each intended submission has one identity and missing media remains visibly incomplete.</x:v>
      </x:c>
      <x:c r="L106" s="10" t="str">
        <x:v>TC-OFF-003-01 / TC-OFF-003-02</x:v>
      </x:c>
      <x:c r="M106" s="12" t="str">
        <x:v>No accepted implementation evidence mapped.</x:v>
      </x:c>
      <x:c r="N106" s="10" t="str">
        <x:f>IF(G106="Done",IF(AND(LEN(H106)&gt;0,LEN(M106)&gt;0),"Complete","Evidence required"),"Open")</x:f>
        <x:v>Open</x:v>
      </x:c>
      <x:c r="O106" s="17" t="str">
        <x:v>No complete implementation and acceptance evidence mapped. Retain the original acceptance criteria; this requirement remains open.</x:v>
      </x:c>
      <x:c r="P106" s="17" t="str">
        <x:v>PENDING</x:v>
      </x:c>
    </x:row>
    <x:row r="107" ht="64" customHeight="1">
      <x:c r="A107" s="10" t="str">
        <x:v>FR-OFF-004</x:v>
      </x:c>
      <x:c r="B107" s="10" t="str">
        <x:v>R1</x:v>
      </x:c>
      <x:c r="C107" s="10" t="str">
        <x:v>P0</x:v>
      </x:c>
      <x:c r="D107" s="10" t="str">
        <x:v>WP09</x:v>
      </x:c>
      <x:c r="E107" s="10" t="str">
        <x:v>Conflict handling</x:v>
      </x:c>
      <x:c r="F107" s="10" t="str">
        <x:v>Mobile lead</x:v>
      </x:c>
      <x:c r="G107" s="12" t="str">
        <x:v>Not started</x:v>
      </x:c>
      <x:c r="H107" s="12" t="str"/>
      <x:c r="I107" s="10" t="str">
        <x:v>On concurrent edits, the server preserves both candidate revisions and identifies the common base. An authorised resolver compares permitted fields, chooses values or creates a merged revision, supplies reason and resubmits through validation and approval.</x:v>
      </x:c>
      <x:c r="J107" s="10" t="str">
        <x:v>No automatic last device wins. Identity duplicates, reassigned tasks and obsolete forms use specific conflict categories; existing approved data is not overwritten.</x:v>
      </x:c>
      <x:c r="K107" s="10" t="str">
        <x:v>Two devices alter the same visit and one uses an obsolete form; both candidates remain visible to the resolver with their distinct versions.</x:v>
      </x:c>
      <x:c r="L107" s="10" t="str">
        <x:v>TC-OFF-004-01 / TC-OFF-004-02</x:v>
      </x:c>
      <x:c r="M107" s="12" t="str">
        <x:v>No accepted implementation evidence mapped.</x:v>
      </x:c>
      <x:c r="N107" s="10" t="str">
        <x:f>IF(G107="Done",IF(AND(LEN(H107)&gt;0,LEN(M107)&gt;0),"Complete","Evidence required"),"Open")</x:f>
        <x:v>Open</x:v>
      </x:c>
      <x:c r="O107" s="17" t="str">
        <x:v>No complete implementation and acceptance evidence mapped. Retain the original acceptance criteria; this requirement remains open.</x:v>
      </x:c>
      <x:c r="P107" s="17" t="str">
        <x:v>PENDING</x:v>
      </x:c>
    </x:row>
    <x:row r="108" ht="64" customHeight="1">
      <x:c r="A108" s="10" t="str">
        <x:v>FR-OFF-005</x:v>
      </x:c>
      <x:c r="B108" s="10" t="str">
        <x:v>R1</x:v>
      </x:c>
      <x:c r="C108" s="10" t="str">
        <x:v>P0</x:v>
      </x:c>
      <x:c r="D108" s="10" t="str">
        <x:v>WP09</x:v>
      </x:c>
      <x:c r="E108" s="10" t="str">
        <x:v>Device protection and expiry</x:v>
      </x:c>
      <x:c r="F108" s="10" t="str">
        <x:v>Mobile lead</x:v>
      </x:c>
      <x:c r="G108" s="12" t="str">
        <x:v>Not started</x:v>
      </x:c>
      <x:c r="H108" s="12" t="str"/>
      <x:c r="I108" s="10" t="str">
        <x:v>Offline unlock requires the qualified local authentication policy. Expiry prevents further protected viewing or capture under that grant; reconnect applies current revocation before accepting new work. Package removal and remote wipe requests report requested, confirmed or unknown outcomes.</x:v>
      </x:c>
      <x:c r="J108" s="10" t="str">
        <x:v>Client clock rollback must not extend the verified authority window. Expired or revoked uploads enter restricted quarantine only under an approved recovery policy; they never become approved data automatically.</x:v>
      </x:c>
      <x:c r="K108" s="10" t="str">
        <x:v>Revoke a disconnected collector, advance beyond the grant expiry and reconnect; viewing is blocked locally and uploads are rejected or explicitly quarantined.</x:v>
      </x:c>
      <x:c r="L108" s="10" t="str">
        <x:v>TC-OFF-005-01 / TC-OFF-005-02</x:v>
      </x:c>
      <x:c r="M108" s="12" t="str">
        <x:v>No accepted implementation evidence mapped.</x:v>
      </x:c>
      <x:c r="N108" s="10" t="str">
        <x:f>IF(G108="Done",IF(AND(LEN(H108)&gt;0,LEN(M108)&gt;0),"Complete","Evidence required"),"Open")</x:f>
        <x:v>Open</x:v>
      </x:c>
      <x:c r="O108" s="17" t="str">
        <x:v>No complete implementation and acceptance evidence mapped. Retain the original acceptance criteria; this requirement remains open.</x:v>
      </x:c>
      <x:c r="P108" s="17" t="str">
        <x:v>PENDING</x:v>
      </x:c>
    </x:row>
    <x:row r="109" ht="64" customHeight="1">
      <x:c r="A109" s="10" t="str">
        <x:v>FR-OFF-006</x:v>
      </x:c>
      <x:c r="B109" s="10" t="str">
        <x:v>R1</x:v>
      </x:c>
      <x:c r="C109" s="10" t="str">
        <x:v>P0</x:v>
      </x:c>
      <x:c r="D109" s="10" t="str">
        <x:v>WP09</x:v>
      </x:c>
      <x:c r="E109" s="10" t="str">
        <x:v>Shared device operation</x:v>
      </x:c>
      <x:c r="F109" s="10" t="str">
        <x:v>Mobile lead</x:v>
      </x:c>
      <x:c r="G109" s="12" t="str">
        <x:v>Not started</x:v>
      </x:c>
      <x:c r="H109" s="12" t="str"/>
      <x:c r="I109" s="10" t="str">
        <x:v>Each person uses a distinct protected local workspace. Switching accounts closes the previous workspace and displays its unsynchronised count without exposing content. Handover requires both eligible actors online or a separately qualified secure supervisor procedure.</x:v>
      </x:c>
      <x:c r="J109" s="10" t="str">
        <x:v>Never transfer author identity to the next collector. Logout may lock pending work for later recovery; deleting it requires an explicit loss warning and permitted confirmation.</x:v>
      </x:c>
      <x:c r="K109" s="10" t="str">
        <x:v>Collector B signs in after A leaves two unsynced forms; B sees neither answers nor participant names and A's authorship remains unchanged.</x:v>
      </x:c>
      <x:c r="L109" s="10" t="str">
        <x:v>TC-OFF-006-01 / TC-OFF-006-02</x:v>
      </x:c>
      <x:c r="M109" s="12" t="str">
        <x:v>No accepted implementation evidence mapped.</x:v>
      </x:c>
      <x:c r="N109" s="10" t="str">
        <x:f>IF(G109="Done",IF(AND(LEN(H109)&gt;0,LEN(M109)&gt;0),"Complete","Evidence required"),"Open")</x:f>
        <x:v>Open</x:v>
      </x:c>
      <x:c r="O109" s="17" t="str">
        <x:v>No complete implementation and acceptance evidence mapped. Retain the original acceptance criteria; this requirement remains open.</x:v>
      </x:c>
      <x:c r="P109" s="17" t="str">
        <x:v>PENDING</x:v>
      </x:c>
    </x:row>
    <x:row r="110" ht="64" customHeight="1">
      <x:c r="A110" s="10" t="str">
        <x:v>FR-OFF-007</x:v>
      </x:c>
      <x:c r="B110" s="10" t="str">
        <x:v>R1</x:v>
      </x:c>
      <x:c r="C110" s="10" t="str">
        <x:v>P1</x:v>
      </x:c>
      <x:c r="D110" s="10" t="str">
        <x:v>WP09</x:v>
      </x:c>
      <x:c r="E110" s="10" t="str">
        <x:v>Sync and quality supervisor view</x:v>
      </x:c>
      <x:c r="F110" s="10" t="str">
        <x:v>Mobile lead</x:v>
      </x:c>
      <x:c r="G110" s="12" t="str">
        <x:v>Not started</x:v>
      </x:c>
      <x:c r="H110" s="12" t="str"/>
      <x:c r="I110" s="10" t="str">
        <x:v>The supervisor view shows last contact, last reported pending count, package version, expiry, known failures and unresolved conflicts. Each value is timestamped. Supervisors can request follow up or reassignment without claiming knowledge of unseen offline activity.</x:v>
      </x:c>
      <x:c r="J110" s="10" t="str">
        <x:v>A disconnected device has unknown current progress. It is not recorded as zero completed or guaranteed wiped. Counts and locations remain within supervisor scope.</x:v>
      </x:c>
      <x:c r="K110" s="10" t="str">
        <x:v>Disconnect a device after it reported two pending forms; the view says two at last contact and unknown current state, not a live count.</x:v>
      </x:c>
      <x:c r="L110" s="10" t="str">
        <x:v>TC-OFF-007-01 / TC-OFF-007-02</x:v>
      </x:c>
      <x:c r="M110" s="12" t="str">
        <x:v>No accepted implementation evidence mapped.</x:v>
      </x:c>
      <x:c r="N110" s="10" t="str">
        <x:f>IF(G110="Done",IF(AND(LEN(H110)&gt;0,LEN(M110)&gt;0),"Complete","Evidence required"),"Open")</x:f>
        <x:v>Open</x:v>
      </x:c>
      <x:c r="O110" s="17" t="str">
        <x:v>No complete implementation and acceptance evidence mapped. Retain the original acceptance criteria; this requirement remains open.</x:v>
      </x:c>
      <x:c r="P110" s="17" t="str">
        <x:v>PENDING</x:v>
      </x:c>
    </x:row>
    <x:row r="111" ht="64" customHeight="1">
      <x:c r="A111" s="10" t="str">
        <x:v>FR-OFF-008</x:v>
      </x:c>
      <x:c r="B111" s="10" t="str">
        <x:v>R1</x:v>
      </x:c>
      <x:c r="C111" s="10" t="str">
        <x:v>P0</x:v>
      </x:c>
      <x:c r="D111" s="10" t="str">
        <x:v>WP09</x:v>
      </x:c>
      <x:c r="E111" s="10" t="str">
        <x:v>Constrained connectivity</x:v>
      </x:c>
      <x:c r="F111" s="10" t="str">
        <x:v>Mobile lead</x:v>
      </x:c>
      <x:c r="G111" s="12" t="str">
        <x:v>Not started</x:v>
      </x:c>
      <x:c r="H111" s="12" t="str"/>
      <x:c r="I111" s="10" t="str">
        <x:v>Before field departure, clients download approved languages, reference lists and form logic. Manual sync and text first upload are supported; media transfer may be deferred if policy permits. Large downloads require size disclosure and user control.</x:v>
      </x:c>
      <x:c r="J111" s="10" t="str">
        <x:v>Do not auto-download large media on constrained connections. Form logic that requires a live external lookup is labelled online only and cannot masquerade as offline capable.</x:v>
      </x:c>
      <x:c r="K111" s="10" t="str">
        <x:v>Complete a form under 1 Mbps and intermittent loss; answers persist and permitted delayed media upload does not create a false complete submission.</x:v>
      </x:c>
      <x:c r="L111" s="10" t="str">
        <x:v>TC-OFF-008-01 / TC-OFF-008-02</x:v>
      </x:c>
      <x:c r="M111" s="12" t="str">
        <x:v>No accepted implementation evidence mapped.</x:v>
      </x:c>
      <x:c r="N111" s="10" t="str">
        <x:f>IF(G111="Done",IF(AND(LEN(H111)&gt;0,LEN(M111)&gt;0),"Complete","Evidence required"),"Open")</x:f>
        <x:v>Open</x:v>
      </x:c>
      <x:c r="O111" s="17" t="str">
        <x:v>No complete implementation and acceptance evidence mapped. Retain the original acceptance criteria; this requirement remains open.</x:v>
      </x:c>
      <x:c r="P111" s="17" t="str">
        <x:v>PENDING</x:v>
      </x:c>
    </x:row>
    <x:row r="112" ht="64" customHeight="1">
      <x:c r="A112" s="10" t="str">
        <x:v>FR-DAT-001</x:v>
      </x:c>
      <x:c r="B112" s="10" t="str">
        <x:v>R1</x:v>
      </x:c>
      <x:c r="C112" s="10" t="str">
        <x:v>P0</x:v>
      </x:c>
      <x:c r="D112" s="10" t="str">
        <x:v>WP05</x:v>
      </x:c>
      <x:c r="E112" s="10" t="str">
        <x:v>File ingestion</x:v>
      </x:c>
      <x:c r="F112" s="10" t="str">
        <x:v>Data lead</x:v>
      </x:c>
      <x:c r="G112" s="12" t="str">
        <x:v>Not started</x:v>
      </x:c>
      <x:c r="H112" s="12" t="str"/>
      <x:c r="I112" s="10" t="str">
        <x:v>The import wizard chooses file, sheet, encoding, delimiter, header row, locale, date pattern and source key. It previews raw and interpreted values side by side before applying conversions. Identifiers default to text; formulas are imported as permitted values or rejected by declared mode.</x:v>
      </x:c>
      <x:c r="J112" s="10" t="str">
        <x:v>Ambiguous dates require an explicit pattern. Mixed types produce row errors; leading zeros and long IDs are preserved. File safety checks precede parsing.</x:v>
      </x:c>
      <x:c r="K112" s="10" t="str">
        <x:v>Import 00123, a 20 digit ID, 03/04/2026 and a quoted comma; show each exact interpretation before commit.</x:v>
      </x:c>
      <x:c r="L112" s="10" t="str">
        <x:v>TC-DAT-001-01 / TC-DAT-001-02</x:v>
      </x:c>
      <x:c r="M112" s="12" t="str">
        <x:v>No accepted implementation evidence mapped.</x:v>
      </x:c>
      <x:c r="N112" s="10" t="str">
        <x:f>IF(G112="Done",IF(AND(LEN(H112)&gt;0,LEN(M112)&gt;0),"Complete","Evidence required"),"Open")</x:f>
        <x:v>Open</x:v>
      </x:c>
      <x:c r="O112" s="17" t="str">
        <x:v>No complete implementation and acceptance evidence mapped. Retain the original acceptance criteria; this requirement remains open.</x:v>
      </x:c>
      <x:c r="P112" s="17" t="str">
        <x:v>PENDING</x:v>
      </x:c>
    </x:row>
    <x:row r="113" ht="64" customHeight="1">
      <x:c r="A113" s="10" t="str">
        <x:v>FR-DAT-002</x:v>
      </x:c>
      <x:c r="B113" s="10" t="str">
        <x:v>R1</x:v>
      </x:c>
      <x:c r="C113" s="10" t="str">
        <x:v>P0</x:v>
      </x:c>
      <x:c r="D113" s="10" t="str">
        <x:v>WP05</x:v>
      </x:c>
      <x:c r="E113" s="10" t="str">
        <x:v>Mapping and preview</x:v>
      </x:c>
      <x:c r="F113" s="10" t="str">
        <x:v>Data lead</x:v>
      </x:c>
      <x:c r="G113" s="12" t="str">
        <x:v>Not started</x:v>
      </x:c>
      <x:c r="H113" s="12" t="str"/>
      <x:c r="I113" s="10" t="str">
        <x:v>A mapping version binds source field identity to destination field, type, unit and transformation. Preview shows unmatched required fields, dropped columns, conversion errors and sample outcomes. AI suggestions remain unchecked proposals until individually accepted or edited.</x:v>
      </x:c>
      <x:c r="J113" s="10" t="str">
        <x:v>A renamed or type changed source column requires reviewed remapping; positional column order alone is never stable identity. Preview expires when source or mapping changes.</x:v>
      </x:c>
      <x:c r="K113" s="10" t="str">
        <x:v>Reorder columns and rename one numeric field; the system preserves known bindings and pauses the unknown mapping instead of shifting values.</x:v>
      </x:c>
      <x:c r="L113" s="10" t="str">
        <x:v>TC-DAT-002-01 / TC-DAT-002-02</x:v>
      </x:c>
      <x:c r="M113" s="12" t="str">
        <x:v>No accepted implementation evidence mapped.</x:v>
      </x:c>
      <x:c r="N113" s="10" t="str">
        <x:f>IF(G113="Done",IF(AND(LEN(H113)&gt;0,LEN(M113)&gt;0),"Complete","Evidence required"),"Open")</x:f>
        <x:v>Open</x:v>
      </x:c>
      <x:c r="O113" s="17" t="str">
        <x:v>No complete implementation and acceptance evidence mapped. Retain the original acceptance criteria; this requirement remains open.</x:v>
      </x:c>
      <x:c r="P113" s="17" t="str">
        <x:v>PENDING</x:v>
      </x:c>
    </x:row>
    <x:row r="114" ht="64" customHeight="1">
      <x:c r="A114" s="10" t="str">
        <x:v>FR-DAT-003</x:v>
      </x:c>
      <x:c r="B114" s="10" t="str">
        <x:v>R1</x:v>
      </x:c>
      <x:c r="C114" s="10" t="str">
        <x:v>P0</x:v>
      </x:c>
      <x:c r="D114" s="10" t="str">
        <x:v>WP05</x:v>
      </x:c>
      <x:c r="E114" s="10" t="str">
        <x:v>Import mode and identity</x:v>
      </x:c>
      <x:c r="F114" s="10" t="str">
        <x:v>Data lead</x:v>
      </x:c>
      <x:c r="G114" s="12" t="str">
        <x:v>Not started</x:v>
      </x:c>
      <x:c r="H114" s="12" t="str"/>
      <x:c r="I114" s="10" t="str">
        <x:v>The user selects append, keyed update or controlled replacement and identifies the source namespace and stable key. Preview computes inserts, revisions, unchanged duplicates and removals. Commit records original and resulting revision references for every effect.</x:v>
      </x:c>
      <x:c r="J114" s="10" t="str">
        <x:v>Append without reliable keys warns that deduplication cannot establish entity uniqueness. Replacement needs explicit scope and deletion impact approval; absence from a partial file never implies deletion.</x:v>
      </x:c>
      <x:c r="K114" s="10" t="str">
        <x:v>Load a keyed file twice, then revise one row; the second run has no new achievement and the third creates one correction revision.</x:v>
      </x:c>
      <x:c r="L114" s="10" t="str">
        <x:v>TC-DAT-003-01 / TC-DAT-003-02</x:v>
      </x:c>
      <x:c r="M114" s="12" t="str">
        <x:v>No accepted implementation evidence mapped.</x:v>
      </x:c>
      <x:c r="N114" s="10" t="str">
        <x:f>IF(G114="Done",IF(AND(LEN(H114)&gt;0,LEN(M114)&gt;0),"Complete","Evidence required"),"Open")</x:f>
        <x:v>Open</x:v>
      </x:c>
      <x:c r="O114" s="17" t="str">
        <x:v>No complete implementation and acceptance evidence mapped. Retain the original acceptance criteria; this requirement remains open.</x:v>
      </x:c>
      <x:c r="P114" s="17" t="str">
        <x:v>PENDING</x:v>
      </x:c>
    </x:row>
    <x:row r="115" ht="64" customHeight="1">
      <x:c r="A115" s="10" t="str">
        <x:v>FR-DAT-004</x:v>
      </x:c>
      <x:c r="B115" s="10" t="str">
        <x:v>R1</x:v>
      </x:c>
      <x:c r="C115" s="10" t="str">
        <x:v>P0</x:v>
      </x:c>
      <x:c r="D115" s="10" t="str">
        <x:v>WP05</x:v>
      </x:c>
      <x:c r="E115" s="10" t="str">
        <x:v>Validation and quarantine</x:v>
      </x:c>
      <x:c r="F115" s="10" t="str">
        <x:v>Data lead</x:v>
      </x:c>
      <x:c r="G115" s="12" t="str">
        <x:v>Not started</x:v>
      </x:c>
      <x:c r="H115" s="12" t="str"/>
      <x:c r="I115" s="10" t="str">
        <x:v>Validation classifies every input row as accepted insert, accepted update, unchanged duplicate, rejected, quarantined or unprocessed. Atomic mode commits no rows if any blocking row fails; partial mode commits eligible items and returns the exact manifest.</x:v>
      </x:c>
      <x:c r="J115" s="10" t="str">
        <x:v>Mode is selected before execution. Rejected rows carry safe field errors; raw input remains unchanged. Cancelled jobs identify committed rows and never claim full rollback.</x:v>
      </x:c>
      <x:c r="K115" s="10" t="str">
        <x:v>Load 100 rows with 90 valid, five duplicates and five invalid in partial mode; reconcile all 100 outcomes and retry only the corrected five.</x:v>
      </x:c>
      <x:c r="L115" s="10" t="str">
        <x:v>TC-DAT-004-01 / TC-DAT-004-02</x:v>
      </x:c>
      <x:c r="M115" s="12" t="str">
        <x:v>No accepted implementation evidence mapped.</x:v>
      </x:c>
      <x:c r="N115" s="10" t="str">
        <x:f>IF(G115="Done",IF(AND(LEN(H115)&gt;0,LEN(M115)&gt;0),"Complete","Evidence required"),"Open")</x:f>
        <x:v>Open</x:v>
      </x:c>
      <x:c r="O115" s="17" t="str">
        <x:v>No complete implementation and acceptance evidence mapped. Retain the original acceptance criteria; this requirement remains open.</x:v>
      </x:c>
      <x:c r="P115" s="17" t="str">
        <x:v>PENDING</x:v>
      </x:c>
    </x:row>
    <x:row r="116" ht="64" customHeight="1">
      <x:c r="A116" s="10" t="str">
        <x:v>FR-DAT-005</x:v>
      </x:c>
      <x:c r="B116" s="10" t="str">
        <x:v>R1</x:v>
      </x:c>
      <x:c r="C116" s="10" t="str">
        <x:v>P0</x:v>
      </x:c>
      <x:c r="D116" s="10" t="str">
        <x:v>WP05</x:v>
      </x:c>
      <x:c r="E116" s="10" t="str">
        <x:v>Immutable raw source</x:v>
      </x:c>
      <x:c r="F116" s="10" t="str">
        <x:v>Data lead</x:v>
      </x:c>
      <x:c r="G116" s="12" t="str">
        <x:v>Not started</x:v>
      </x:c>
      <x:c r="H116" s="12" t="str"/>
      <x:c r="I116" s="10" t="str">
        <x:v>Receipt records the source file integrity reference, receipt time, source owner and import settings. Raw values are retained under the chosen policy separately from derived values. Lineage resolves a result to source file, sheet or payload and row key.</x:v>
      </x:c>
      <x:c r="J116" s="10" t="str">
        <x:v>Raw storage is not an exemption from privacy deletion or retention. Restricted previews inherit source classification and access; original files are not broadly downloadable.</x:v>
      </x:c>
      <x:c r="K116" s="10" t="str">
        <x:v>Correct an interpreted date and trace the result back to the unchanged raw text and the mapping version that produced each interpretation.</x:v>
      </x:c>
      <x:c r="L116" s="10" t="str">
        <x:v>TC-DAT-005-01 / TC-DAT-005-02</x:v>
      </x:c>
      <x:c r="M116" s="12" t="str">
        <x:v>No accepted implementation evidence mapped.</x:v>
      </x:c>
      <x:c r="N116" s="10" t="str">
        <x:f>IF(G116="Done",IF(AND(LEN(H116)&gt;0,LEN(M116)&gt;0),"Complete","Evidence required"),"Open")</x:f>
        <x:v>Open</x:v>
      </x:c>
      <x:c r="O116" s="17" t="str">
        <x:v>No complete implementation and acceptance evidence mapped. Retain the original acceptance criteria; this requirement remains open.</x:v>
      </x:c>
      <x:c r="P116" s="17" t="str">
        <x:v>PENDING</x:v>
      </x:c>
    </x:row>
    <x:row r="117" ht="64" customHeight="1">
      <x:c r="A117" s="10" t="str">
        <x:v>FR-DAT-006</x:v>
      </x:c>
      <x:c r="B117" s="10" t="str">
        <x:v>R1</x:v>
      </x:c>
      <x:c r="C117" s="10" t="str">
        <x:v>P1</x:v>
      </x:c>
      <x:c r="D117" s="10" t="str">
        <x:v>WP05</x:v>
      </x:c>
      <x:c r="E117" s="10" t="str">
        <x:v>Governed transformations</x:v>
      </x:c>
      <x:c r="F117" s="10" t="str">
        <x:v>Data lead</x:v>
      </x:c>
      <x:c r="G117" s="12" t="str">
        <x:v>Not started</x:v>
      </x:c>
      <x:c r="H117" s="12" t="str"/>
      <x:c r="I117" s="10" t="str">
        <x:v>Transformation authoring supports bounded recode, derive, filter, join and reshape operations with typed schemas. Preview reports input and output counts, unmatched keys, duplicates and join cardinality. Publishing pins rule and source versions.</x:v>
      </x:c>
      <x:c r="J117" s="10" t="str">
        <x:v>R1 joins require declared one to one, one to many or many to one intent; many to many needs explicit reviewed justification. No unrestricted code execution through expressions.</x:v>
      </x:c>
      <x:c r="K117" s="10" t="str">
        <x:v>Join one participant to three visits; preview shows three output rows and distinct participant count one, preventing accidental unique reach inflation.</x:v>
      </x:c>
      <x:c r="L117" s="10" t="str">
        <x:v>TC-DAT-006-01 / TC-DAT-006-02</x:v>
      </x:c>
      <x:c r="M117" s="12" t="str">
        <x:v>No accepted implementation evidence mapped.</x:v>
      </x:c>
      <x:c r="N117" s="10" t="str">
        <x:f>IF(G117="Done",IF(AND(LEN(H117)&gt;0,LEN(M117)&gt;0),"Complete","Evidence required"),"Open")</x:f>
        <x:v>Open</x:v>
      </x:c>
      <x:c r="O117" s="17" t="str">
        <x:v>No complete implementation and acceptance evidence mapped. Retain the original acceptance criteria; this requirement remains open.</x:v>
      </x:c>
      <x:c r="P117" s="17" t="str">
        <x:v>PENDING</x:v>
      </x:c>
    </x:row>
    <x:row r="118" ht="64" customHeight="1">
      <x:c r="A118" s="10" t="str">
        <x:v>FR-DAT-007</x:v>
      </x:c>
      <x:c r="B118" s="10" t="str">
        <x:v>R1</x:v>
      </x:c>
      <x:c r="C118" s="10" t="str">
        <x:v>P0</x:v>
      </x:c>
      <x:c r="D118" s="10" t="str">
        <x:v>WP05</x:v>
      </x:c>
      <x:c r="E118" s="10" t="str">
        <x:v>Schema drift</x:v>
      </x:c>
      <x:c r="F118" s="10" t="str">
        <x:v>Data lead</x:v>
      </x:c>
      <x:c r="G118" s="12" t="str">
        <x:v>Not started</x:v>
      </x:c>
      <x:c r="H118" s="12" t="str"/>
      <x:c r="I118" s="10" t="str">
        <x:v>Recurring loads compare the incoming schema with the approved source contract. Added optional fields may be ignored with notice; missing required, renamed, type changed or unit changed fields pause affected processing for review.</x:v>
      </x:c>
      <x:c r="J118" s="10" t="str">
        <x:v>Do not treat incompatible text as zero or silently infer a new date locale. Unaffected validated data may proceed only when partial mode was approved.</x:v>
      </x:c>
      <x:c r="K118" s="10" t="str">
        <x:v>Change a numerator column from decimal to free text; dependent result freshness becomes failed or stale until a reviewed mapping resolves it.</x:v>
      </x:c>
      <x:c r="L118" s="10" t="str">
        <x:v>TC-DAT-007-01 / TC-DAT-007-02</x:v>
      </x:c>
      <x:c r="M118" s="12" t="str">
        <x:v>No accepted implementation evidence mapped.</x:v>
      </x:c>
      <x:c r="N118" s="10" t="str">
        <x:f>IF(G118="Done",IF(AND(LEN(H118)&gt;0,LEN(M118)&gt;0),"Complete","Evidence required"),"Open")</x:f>
        <x:v>Open</x:v>
      </x:c>
      <x:c r="O118" s="17" t="str">
        <x:v>No complete implementation and acceptance evidence mapped. Retain the original acceptance criteria; this requirement remains open.</x:v>
      </x:c>
      <x:c r="P118" s="17" t="str">
        <x:v>PENDING</x:v>
      </x:c>
    </x:row>
    <x:row r="119" ht="64" customHeight="1">
      <x:c r="A119" s="10" t="str">
        <x:v>FR-DAT-008</x:v>
      </x:c>
      <x:c r="B119" s="10" t="str">
        <x:v>R1</x:v>
      </x:c>
      <x:c r="C119" s="10" t="str">
        <x:v>P1</x:v>
      </x:c>
      <x:c r="D119" s="10" t="str">
        <x:v>WP05</x:v>
      </x:c>
      <x:c r="E119" s="10" t="str">
        <x:v>Data catalogue and lineage</x:v>
      </x:c>
      <x:c r="F119" s="10" t="str">
        <x:v>Data lead</x:v>
      </x:c>
      <x:c r="G119" s="12" t="str">
        <x:v>In progress</x:v>
      </x:c>
      <x:c r="H119" s="12" t="str"/>
      <x:c r="I119" s="10" t="str">
        <x:v>Catalogue results contain permitted name, owner, purpose, schema, coverage, classification, quality and freshness. Lineage traversal follows authorised source, transformation, result and report dependencies. A user can inspect impact before correction or retirement.</x:v>
      </x:c>
      <x:c r="J119" s="10" t="str">
        <x:v>Do not reveal hidden source names or counts through lineage edges. A permitted derivative may show a withheld source reference under its disclosure contract.</x:v>
      </x:c>
      <x:c r="K119" s="10" t="str">
        <x:v>Select a stale dataset and identify affected authorised reports without exposing a restricted programme that also consumes the source.</x:v>
      </x:c>
      <x:c r="L119" s="10" t="str">
        <x:v>TC-DAT-008-01 / TC-DAT-008-02</x:v>
      </x:c>
      <x:c r="M119" s="12" t="str">
        <x:v>apps/api/impact_api/domain.py; apps/api/impact_api/service.py; qualification/test_measurement.py</x:v>
      </x:c>
      <x:c r="N119" s="10" t="str">
        <x:f>IF(G119="Done",IF(AND(LEN(H119)&gt;0,LEN(M119)&gt;0),"Complete","Evidence required"),"Open")</x:f>
        <x:v>Open</x:v>
      </x:c>
      <x:c r="O119" s="17" t="str">
        <x:v>Decimal SUM and pooled ratios, revision-bound lineage, explicit contributor coverage and stale-result flags are implemented. Hierarchy, stock, overlap, weighting, dimensions and production workload qualification are not implemented.</x:v>
      </x:c>
      <x:c r="P119" s="17" t="str">
        <x:v>PARTIAL</x:v>
      </x:c>
    </x:row>
    <x:row r="120" ht="64" customHeight="1">
      <x:c r="A120" s="10" t="str">
        <x:v>FR-DAT-009</x:v>
      </x:c>
      <x:c r="B120" s="10" t="str">
        <x:v>R1</x:v>
      </x:c>
      <x:c r="C120" s="10" t="str">
        <x:v>P0</x:v>
      </x:c>
      <x:c r="D120" s="10" t="str">
        <x:v>WP05</x:v>
      </x:c>
      <x:c r="E120" s="10" t="str">
        <x:v>Data editing and amendments</x:v>
      </x:c>
      <x:c r="F120" s="10" t="str">
        <x:v>Data lead</x:v>
      </x:c>
      <x:c r="G120" s="12" t="str">
        <x:v>In progress</x:v>
      </x:c>
      <x:c r="H120" s="12" t="str"/>
      <x:c r="I120" s="10" t="str">
        <x:v>An amendment captures object revision, proposed values, reason and scope. Approved source changes retain earlier values where lawful and create a new revision requiring the relevant review. Bulk correction uses itemised preview and outcome receipts.</x:v>
      </x:c>
      <x:c r="J120" s="10" t="str">
        <x:v>A user cannot edit calculated actuals through dataset correction. Deletion or minimisation policy may retain only a permitted change marker instead of sensitive before and after values.</x:v>
      </x:c>
      <x:c r="K120" s="10" t="str">
        <x:v>Correct an approved unit from kilograms to tonnes and verify impacted indicators are recalculated under reviewed semantics, with old reports frozen.</x:v>
      </x:c>
      <x:c r="L120" s="10" t="str">
        <x:v>TC-DAT-009-01 / TC-DAT-009-02</x:v>
      </x:c>
      <x:c r="M120" s="12" t="str">
        <x:v>apps/api/impact_api/work.py; qualification/test_work_center.py; docs/RELEASE-0.7.md</x:v>
      </x:c>
      <x:c r="N120" s="10" t="str">
        <x:f>IF(G120="Done",IF(AND(LEN(H120)&gt;0,LEN(M120)&gt;0),"Complete","Evidence required"),"Open")</x:f>
        <x:v>Open</x:v>
      </x:c>
      <x:c r="O120"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20" s="17" t="str">
        <x:v>PARTIAL</x:v>
      </x:c>
    </x:row>
    <x:row r="121" ht="64" customHeight="1">
      <x:c r="A121" s="10" t="str">
        <x:v>FR-DAT-010</x:v>
      </x:c>
      <x:c r="B121" s="10" t="str">
        <x:v>R1</x:v>
      </x:c>
      <x:c r="C121" s="10" t="str">
        <x:v>P1</x:v>
      </x:c>
      <x:c r="D121" s="10" t="str">
        <x:v>WP05</x:v>
      </x:c>
      <x:c r="E121" s="10" t="str">
        <x:v>Refresh scheduling and freshness</x:v>
      </x:c>
      <x:c r="F121" s="10" t="str">
        <x:v>Data lead</x:v>
      </x:c>
      <x:c r="G121" s="12" t="str">
        <x:v>Not started</x:v>
      </x:c>
      <x:c r="H121" s="12" t="str"/>
      <x:c r="I121" s="10" t="str">
        <x:v>Each source records cadence, zone, next run, last received, last validated and last approved data times. Schedule changes preview affected runs. Dashboards display the relevant freshness stage rather than equating a successful fetch with usable data.</x:v>
      </x:c>
      <x:c r="J121" s="10" t="str">
        <x:v>Missed or failed refresh does not clear the last known result. It labels it stale and links to the authorised failure owner. Overlapping scheduled runs follow one declared checkpoint sequence.</x:v>
      </x:c>
      <x:c r="K121" s="10" t="str">
        <x:v>Fetch succeeds but validation fails; source health distinguishes the two and dependent dashboards do not show a fresh approved result.</x:v>
      </x:c>
      <x:c r="L121" s="10" t="str">
        <x:v>TC-DAT-010-01 / TC-DAT-010-02</x:v>
      </x:c>
      <x:c r="M121" s="12" t="str">
        <x:v>No accepted implementation evidence mapped.</x:v>
      </x:c>
      <x:c r="N121" s="10" t="str">
        <x:f>IF(G121="Done",IF(AND(LEN(H121)&gt;0,LEN(M121)&gt;0),"Complete","Evidence required"),"Open")</x:f>
        <x:v>Open</x:v>
      </x:c>
      <x:c r="O121" s="17" t="str">
        <x:v>No complete implementation and acceptance evidence mapped. Retain the original acceptance criteria; this requirement remains open.</x:v>
      </x:c>
      <x:c r="P121" s="17" t="str">
        <x:v>PENDING</x:v>
      </x:c>
    </x:row>
    <x:row r="122" ht="51" customHeight="1">
      <x:c r="A122" s="10" t="str">
        <x:v>FR-DAT-011</x:v>
      </x:c>
      <x:c r="B122" s="10" t="str">
        <x:v>R1</x:v>
      </x:c>
      <x:c r="C122" s="10" t="str">
        <x:v>P0</x:v>
      </x:c>
      <x:c r="D122" s="10" t="str">
        <x:v>WP05</x:v>
      </x:c>
      <x:c r="E122" s="10" t="str">
        <x:v>Data exports and portability</x:v>
      </x:c>
      <x:c r="F122" s="10" t="str">
        <x:v>Data lead</x:v>
      </x:c>
      <x:c r="G122" s="12" t="str">
        <x:v>Not started</x:v>
      </x:c>
      <x:c r="H122" s="12" t="str"/>
      <x:c r="I122" s="10" t="str">
        <x:v>Export selects authorised rows and fields, format and semantic metadata. Include stable IDs, type dictionary, code lists, units, time zone, source versions and value states. Large exports follow job and revocation controls.</x:v>
      </x:c>
      <x:c r="J122" s="10" t="str">
        <x:v>Neutralise spreadsheet formula-like text without silently changing its represented meaning; document the safe export encoding. No hidden unselected columns or private raw values in metadata.</x:v>
      </x:c>
      <x:c r="K122" s="10" t="str">
        <x:v>Export text beginning with an equals sign and a leading-zero ID; opening the file does not execute a formula and the ID remains text.</x:v>
      </x:c>
      <x:c r="L122" s="10" t="str">
        <x:v>TC-DAT-011-01 / TC-DAT-011-02</x:v>
      </x:c>
      <x:c r="M122" s="12" t="str">
        <x:v>No accepted implementation evidence mapped.</x:v>
      </x:c>
      <x:c r="N122" s="10" t="str">
        <x:f>IF(G122="Done",IF(AND(LEN(H122)&gt;0,LEN(M122)&gt;0),"Complete","Evidence required"),"Open")</x:f>
        <x:v>Open</x:v>
      </x:c>
      <x:c r="O122" s="17" t="str">
        <x:v>No complete implementation and acceptance evidence mapped. Retain the original acceptance criteria; this requirement remains open.</x:v>
      </x:c>
      <x:c r="P122" s="17" t="str">
        <x:v>PENDING</x:v>
      </x:c>
    </x:row>
    <x:row r="123" ht="64" customHeight="1">
      <x:c r="A123" s="10" t="str">
        <x:v>FR-DAT-012</x:v>
      </x:c>
      <x:c r="B123" s="10" t="str">
        <x:v>R1</x:v>
      </x:c>
      <x:c r="C123" s="10" t="str">
        <x:v>P0</x:v>
      </x:c>
      <x:c r="D123" s="10" t="str">
        <x:v>WP05</x:v>
      </x:c>
      <x:c r="E123" s="10" t="str">
        <x:v>Data retention and dependency review</x:v>
      </x:c>
      <x:c r="F123" s="10" t="str">
        <x:v>Data lead</x:v>
      </x:c>
      <x:c r="G123" s="12" t="str">
        <x:v>Not started</x:v>
      </x:c>
      <x:c r="H123" s="12" t="str"/>
      <x:c r="I123" s="10" t="str">
        <x:v>Dataset archival or deletion starts with dependency and retention review. The preview separates live inputs, retained snapshots, indexes, AI references and external disclosures. Execution produces an itemised restriction or deletion manifest with holds and retryable failures.</x:v>
      </x:c>
      <x:c r="J123" s="10" t="str">
        <x:v>Do not leave readable orphan artifacts. A lawful retained snapshot is explicitly restricted and labelled, while historical publication may be withdrawn if its continued exposure is no longer permitted.</x:v>
      </x:c>
      <x:c r="K123" s="10" t="str">
        <x:v>Delete an eligible source and verify search, AI and generated private exports cannot recover it; held evidence appears only in the authorised hold inventory.</x:v>
      </x:c>
      <x:c r="L123" s="10" t="str">
        <x:v>TC-DAT-012-01 / TC-DAT-012-02</x:v>
      </x:c>
      <x:c r="M123" s="12" t="str">
        <x:v>No accepted implementation evidence mapped.</x:v>
      </x:c>
      <x:c r="N123" s="10" t="str">
        <x:f>IF(G123="Done",IF(AND(LEN(H123)&gt;0,LEN(M123)&gt;0),"Complete","Evidence required"),"Open")</x:f>
        <x:v>Open</x:v>
      </x:c>
      <x:c r="O123" s="17" t="str">
        <x:v>No complete implementation and acceptance evidence mapped. Retain the original acceptance criteria; this requirement remains open.</x:v>
      </x:c>
      <x:c r="P123" s="17" t="str">
        <x:v>PENDING</x:v>
      </x:c>
    </x:row>
    <x:row r="124" ht="64" customHeight="1">
      <x:c r="A124" s="10" t="str">
        <x:v>FR-DQ-001</x:v>
      </x:c>
      <x:c r="B124" s="10" t="str">
        <x:v>R1</x:v>
      </x:c>
      <x:c r="C124" s="10" t="str">
        <x:v>P0</x:v>
      </x:c>
      <x:c r="D124" s="10" t="str">
        <x:v>WP05</x:v>
      </x:c>
      <x:c r="E124" s="10" t="str">
        <x:v>Quality rule catalogue</x:v>
      </x:c>
      <x:c r="F124" s="10" t="str">
        <x:v>Data lead</x:v>
      </x:c>
      <x:c r="G124" s="12" t="str">
        <x:v>Not started</x:v>
      </x:c>
      <x:c r="H124" s="12" t="str"/>
      <x:c r="I124" s="10" t="str">
        <x:v>The quality editor selects rule type, target fields, scope, severity, owner and effective version. Supported checks cover requiredness, uniqueness, range, references, dates, cross field logic and control totals. Preview reports failures against a permitted sample before activation.</x:v>
      </x:c>
      <x:c r="J124" s="10" t="str">
        <x:v>Rule updates apply prospectively unless a reviewed revalidation job is requested. A rule cannot read a field outside its authorised processing scope.</x:v>
      </x:c>
      <x:c r="K124" s="10" t="str">
        <x:v>Activate a visit date after birth date check and inspect the failing record's exact rule version and safe field message.</x:v>
      </x:c>
      <x:c r="L124" s="10" t="str">
        <x:v>TC-DQ-001-01 / TC-DQ-001-02</x:v>
      </x:c>
      <x:c r="M124" s="12" t="str">
        <x:v>No accepted implementation evidence mapped.</x:v>
      </x:c>
      <x:c r="N124" s="10" t="str">
        <x:f>IF(G124="Done",IF(AND(LEN(H124)&gt;0,LEN(M124)&gt;0),"Complete","Evidence required"),"Open")</x:f>
        <x:v>Open</x:v>
      </x:c>
      <x:c r="O124" s="17" t="str">
        <x:v>No complete implementation and acceptance evidence mapped. Retain the original acceptance criteria; this requirement remains open.</x:v>
      </x:c>
      <x:c r="P124" s="17" t="str">
        <x:v>PENDING</x:v>
      </x:c>
    </x:row>
    <x:row r="125" ht="64" customHeight="1">
      <x:c r="A125" s="10" t="str">
        <x:v>FR-DQ-002</x:v>
      </x:c>
      <x:c r="B125" s="10" t="str">
        <x:v>R1</x:v>
      </x:c>
      <x:c r="C125" s="10" t="str">
        <x:v>P0</x:v>
      </x:c>
      <x:c r="D125" s="10" t="str">
        <x:v>WP05</x:v>
      </x:c>
      <x:c r="E125" s="10" t="str">
        <x:v>Blocking and warning behaviour</x:v>
      </x:c>
      <x:c r="F125" s="10" t="str">
        <x:v>Data lead</x:v>
      </x:c>
      <x:c r="G125" s="12" t="str">
        <x:v>Not started</x:v>
      </x:c>
      <x:c r="H125" s="12" t="str"/>
      <x:c r="I125" s="10" t="str">
        <x:v>A blocking error prevents progression; a review warning requires explicit disposition; informational findings do not block. Exception requests include rule, affected revision, reason, authority and expiry. Revalidation, correction and exception are separate actions.</x:v>
      </x:c>
      <x:c r="J125" s="10" t="str">
        <x:v>Dismissing a notification never resolves the underlying issue. Security restrictions, impossible calculations and self approval are nonwaivable.</x:v>
      </x:c>
      <x:c r="K125" s="10" t="str">
        <x:v>Attempt approval with a blocking duplicate event; it stays blocked until corrected, while a permitted warning can proceed only with its recorded exception.</x:v>
      </x:c>
      <x:c r="L125" s="10" t="str">
        <x:v>TC-DQ-002-01 / TC-DQ-002-02</x:v>
      </x:c>
      <x:c r="M125" s="12" t="str">
        <x:v>No accepted implementation evidence mapped.</x:v>
      </x:c>
      <x:c r="N125" s="10" t="str">
        <x:f>IF(G125="Done",IF(AND(LEN(H125)&gt;0,LEN(M125)&gt;0),"Complete","Evidence required"),"Open")</x:f>
        <x:v>Open</x:v>
      </x:c>
      <x:c r="O125" s="17" t="str">
        <x:v>No complete implementation and acceptance evidence mapped. Retain the original acceptance criteria; this requirement remains open.</x:v>
      </x:c>
      <x:c r="P125" s="17" t="str">
        <x:v>PENDING</x:v>
      </x:c>
    </x:row>
    <x:row r="126" ht="64" customHeight="1">
      <x:c r="A126" s="10" t="str">
        <x:v>FR-DQ-003</x:v>
      </x:c>
      <x:c r="B126" s="10" t="str">
        <x:v>R1</x:v>
      </x:c>
      <x:c r="C126" s="10" t="str">
        <x:v>P0</x:v>
      </x:c>
      <x:c r="D126" s="10" t="str">
        <x:v>WP05</x:v>
      </x:c>
      <x:c r="E126" s="10" t="str">
        <x:v>Duplicate detection</x:v>
      </x:c>
      <x:c r="F126" s="10" t="str">
        <x:v>Data lead</x:v>
      </x:c>
      <x:c r="G126" s="12" t="str">
        <x:v>Not started</x:v>
      </x:c>
      <x:c r="H126" s="12" t="str"/>
      <x:c r="I126" s="10" t="str">
        <x:v>Exact duplicate detection uses declared business keys. Fuzzy matching generates candidate pairs with permitted evidence and match rationale. A reviewer chooses distinct, merge or further investigation; merge maps source identities to a canonical record and preserves provenance.</x:v>
      </x:c>
      <x:c r="J126" s="10" t="str">
        <x:v>Do not merge solely on a shared name. Unmerge or corrective split must restore affected relationships and recalculate counts; source confidentiality survives a merge.</x:v>
      </x:c>
      <x:c r="K126" s="10" t="str">
        <x:v>Two participants named Asha remain separate until reviewed evidence supports identity equivalence; a rejected match does not silently reappear as confirmed.</x:v>
      </x:c>
      <x:c r="L126" s="10" t="str">
        <x:v>TC-DQ-003-01 / TC-DQ-003-02</x:v>
      </x:c>
      <x:c r="M126" s="12" t="str">
        <x:v>No accepted implementation evidence mapped.</x:v>
      </x:c>
      <x:c r="N126" s="10" t="str">
        <x:f>IF(G126="Done",IF(AND(LEN(H126)&gt;0,LEN(M126)&gt;0),"Complete","Evidence required"),"Open")</x:f>
        <x:v>Open</x:v>
      </x:c>
      <x:c r="O126" s="17" t="str">
        <x:v>No complete implementation and acceptance evidence mapped. Retain the original acceptance criteria; this requirement remains open.</x:v>
      </x:c>
      <x:c r="P126" s="17" t="str">
        <x:v>PENDING</x:v>
      </x:c>
    </x:row>
    <x:row r="127" ht="64" customHeight="1">
      <x:c r="A127" s="10" t="str">
        <x:v>FR-DQ-004</x:v>
      </x:c>
      <x:c r="B127" s="10" t="str">
        <x:v>R1</x:v>
      </x:c>
      <x:c r="C127" s="10" t="str">
        <x:v>P0</x:v>
      </x:c>
      <x:c r="D127" s="10" t="str">
        <x:v>WP05</x:v>
      </x:c>
      <x:c r="E127" s="10" t="str">
        <x:v>Reconciliation checks</x:v>
      </x:c>
      <x:c r="F127" s="10" t="str">
        <x:v>Data lead</x:v>
      </x:c>
      <x:c r="G127" s="12" t="str">
        <x:v>Not started</x:v>
      </x:c>
      <x:c r="H127" s="12" t="str"/>
      <x:c r="I127" s="10" t="str">
        <x:v>Reconciliation rules declare the expected equation and category semantics. For exclusive exhaustive breakdowns, compare component sum to total at the stated precision. For overlapping categories, compare distinct entities or use a labelled nonadditive check.</x:v>
      </x:c>
      <x:c r="J127" s="10" t="str">
        <x:v>Suppressed values may be evaluated privately but never exposed in public reconciliation detail. Missing components make the check incomplete rather than automatically failed or passed.</x:v>
      </x:c>
      <x:c r="K127" s="10" t="str">
        <x:v>A total of ten with exclusive components six and four passes; two overlapping service categories six and seven are not incorrectly required to sum to ten.</x:v>
      </x:c>
      <x:c r="L127" s="10" t="str">
        <x:v>TC-DQ-004-01 / TC-DQ-004-02</x:v>
      </x:c>
      <x:c r="M127" s="12" t="str">
        <x:v>No accepted implementation evidence mapped.</x:v>
      </x:c>
      <x:c r="N127" s="10" t="str">
        <x:f>IF(G127="Done",IF(AND(LEN(H127)&gt;0,LEN(M127)&gt;0),"Complete","Evidence required"),"Open")</x:f>
        <x:v>Open</x:v>
      </x:c>
      <x:c r="O127" s="17" t="str">
        <x:v>No complete implementation and acceptance evidence mapped. Retain the original acceptance criteria; this requirement remains open.</x:v>
      </x:c>
      <x:c r="P127" s="17" t="str">
        <x:v>PENDING</x:v>
      </x:c>
    </x:row>
    <x:row r="128" ht="64" customHeight="1">
      <x:c r="A128" s="10" t="str">
        <x:v>FR-DQ-005</x:v>
      </x:c>
      <x:c r="B128" s="10" t="str">
        <x:v>R1</x:v>
      </x:c>
      <x:c r="C128" s="10" t="str">
        <x:v>P0</x:v>
      </x:c>
      <x:c r="D128" s="10" t="str">
        <x:v>WP05</x:v>
      </x:c>
      <x:c r="E128" s="10" t="str">
        <x:v>Quality issue workflow</x:v>
      </x:c>
      <x:c r="F128" s="10" t="str">
        <x:v>Data lead</x:v>
      </x:c>
      <x:c r="G128" s="12" t="str">
        <x:v>Not started</x:v>
      </x:c>
      <x:c r="H128" s="12" t="str"/>
      <x:c r="I128" s="10" t="str">
        <x:v>A quality issue binds the failing object revision, rule, severity, owner and due time. Correction opens a linked revision; revalidation confirms the new outcome. Closure records evidence, while an unresolved material issue remains attached to dependent results.</x:v>
      </x:c>
      <x:c r="J128" s="10" t="str">
        <x:v>Changing owner or marking a comment resolved cannot close the issue. A new recurrence links to prior history without erasing the earlier fix.</x:v>
      </x:c>
      <x:c r="K128" s="10" t="str">
        <x:v>Follow a malformed date from import rejection through correction and revalidation; the reporting delay and final accepted revision remain traceable.</x:v>
      </x:c>
      <x:c r="L128" s="10" t="str">
        <x:v>TC-DQ-005-01 / TC-DQ-005-02</x:v>
      </x:c>
      <x:c r="M128" s="12" t="str">
        <x:v>No accepted implementation evidence mapped.</x:v>
      </x:c>
      <x:c r="N128" s="10" t="str">
        <x:f>IF(G128="Done",IF(AND(LEN(H128)&gt;0,LEN(M128)&gt;0),"Complete","Evidence required"),"Open")</x:f>
        <x:v>Open</x:v>
      </x:c>
      <x:c r="O128" s="17" t="str">
        <x:v>No complete implementation and acceptance evidence mapped. Retain the original acceptance criteria; this requirement remains open.</x:v>
      </x:c>
      <x:c r="P128" s="17" t="str">
        <x:v>PENDING</x:v>
      </x:c>
    </x:row>
    <x:row r="129" ht="64" customHeight="1">
      <x:c r="A129" s="10" t="str">
        <x:v>FR-DQ-006</x:v>
      </x:c>
      <x:c r="B129" s="10" t="str">
        <x:v>R1</x:v>
      </x:c>
      <x:c r="C129" s="10" t="str">
        <x:v>P0</x:v>
      </x:c>
      <x:c r="D129" s="10" t="str">
        <x:v>WP05</x:v>
      </x:c>
      <x:c r="E129" s="10" t="str">
        <x:v>Completeness and timeliness</x:v>
      </x:c>
      <x:c r="F129" s="10" t="str">
        <x:v>Data lead</x:v>
      </x:c>
      <x:c r="G129" s="12" t="str">
        <x:v>In progress</x:v>
      </x:c>
      <x:c r="H129" s="12" t="str"/>
      <x:c r="I129" s="10" t="str">
        <x:v>The completeness view uses the period's obligation snapshot and distinguishes expected, received, valid, approved, late and excepted. Each percentage exposes numerator and denominator; lateness uses first valid receipt or approval according to the declared metric.</x:v>
      </x:c>
      <x:c r="J129" s="10" t="str">
        <x:v>Changing current partner membership cannot rewrite older obligation denominators. Cancelled obligations require approved effective dates and reason.</x:v>
      </x:c>
      <x:c r="K129" s="10" t="str">
        <x:v>Retire a partner in July and verify its missing June submission remains counted while no August obligation is created.</x:v>
      </x:c>
      <x:c r="L129" s="10" t="str">
        <x:v>TC-DQ-006-01 / TC-DQ-006-02</x:v>
      </x:c>
      <x:c r="M129" s="12" t="str">
        <x:v>apps/api/impact_api/measurement.py; qualification/test_work_center.py; docs/RELEASE-0.7.md</x:v>
      </x:c>
      <x:c r="N129" s="10" t="str">
        <x:f>IF(G129="Done",IF(AND(LEN(H129)&gt;0,LEN(M129)&gt;0),"Complete","Evidence required"),"Open")</x:f>
        <x:v>Open</x:v>
      </x:c>
      <x:c r="O129" s="17" t="str">
        <x:v>Manual FLOW measures, independently approved definitions/plans, reviewed obligation exceptions, eligible assignments, reference selection and programme readiness are implemented. Historical expected, required and excepted counts are preserved. Rich planning, reference administration, automated schedules and the other measurement profiles remain open.</x:v>
      </x:c>
      <x:c r="P129" s="17" t="str">
        <x:v>PARTIAL</x:v>
      </x:c>
    </x:row>
    <x:row r="130" ht="64" customHeight="1">
      <x:c r="A130" s="10" t="str">
        <x:v>FR-DQ-007</x:v>
      </x:c>
      <x:c r="B130" s="10" t="str">
        <x:v>R2</x:v>
      </x:c>
      <x:c r="C130" s="10" t="str">
        <x:v>P1</x:v>
      </x:c>
      <x:c r="D130" s="10" t="str">
        <x:v>WP05</x:v>
      </x:c>
      <x:c r="E130" s="10" t="str">
        <x:v>Anomaly assistance</x:v>
      </x:c>
      <x:c r="F130" s="10" t="str">
        <x:v>Data lead</x:v>
      </x:c>
      <x:c r="G130" s="12" t="str">
        <x:v>Not started</x:v>
      </x:c>
      <x:c r="H130" s="12" t="str"/>
      <x:c r="I130" s="10" t="str">
        <x:v>An anomaly run records method version, eligible data, comparison window and explanation. Findings enter suggested state with severity and owner. Review can confirm an issue, dismiss with reason or defer; feedback informs later evaluated model changes.</x:v>
      </x:c>
      <x:c r="J130" s="10" t="str">
        <x:v>A flag never modifies data or labels a person fraudulent. False positive and missed issue evidence is retained under minimised policy.</x:v>
      </x:c>
      <x:c r="K130" s="10" t="str">
        <x:v>A seasonal spike is flagged, reviewed as expected and retained unchanged; the dismissed suggestion remains distinct from a confirmed quality defect.</x:v>
      </x:c>
      <x:c r="L130" s="10" t="str">
        <x:v>TC-DQ-007-01 / TC-DQ-007-02</x:v>
      </x:c>
      <x:c r="M130" s="12" t="str">
        <x:v>No accepted implementation evidence mapped.</x:v>
      </x:c>
      <x:c r="N130" s="10" t="str">
        <x:f>IF(G130="Done",IF(AND(LEN(H130)&gt;0,LEN(M130)&gt;0),"Complete","Evidence required"),"Open")</x:f>
        <x:v>Open</x:v>
      </x:c>
      <x:c r="O130" s="17" t="str">
        <x:v>No complete implementation and acceptance evidence mapped. Retain the original acceptance criteria; this requirement remains open.</x:v>
      </x:c>
      <x:c r="P130" s="17" t="str">
        <x:v>PENDING</x:v>
      </x:c>
    </x:row>
    <x:row r="131" ht="64" customHeight="1">
      <x:c r="A131" s="10" t="str">
        <x:v>FR-DQ-008</x:v>
      </x:c>
      <x:c r="B131" s="10" t="str">
        <x:v>R1</x:v>
      </x:c>
      <x:c r="C131" s="10" t="str">
        <x:v>P0</x:v>
      </x:c>
      <x:c r="D131" s="10" t="str">
        <x:v>WP05</x:v>
      </x:c>
      <x:c r="E131" s="10" t="str">
        <x:v>Quality disclosure</x:v>
      </x:c>
      <x:c r="F131" s="10" t="str">
        <x:v>Data lead</x:v>
      </x:c>
      <x:c r="G131" s="12" t="str">
        <x:v>Not started</x:v>
      </x:c>
      <x:c r="H131" s="12" t="str"/>
      <x:c r="I131" s="10" t="str">
        <x:v>Every result carries required quality disclosures from its sources and approval exceptions. Dashboard styling, report templates and AI drafting must preserve material caveats. A disclosure may be shortened only through an approved equivalent wording template.</x:v>
      </x:c>
      <x:c r="J131" s="10" t="str">
        <x:v>Do not let authors hide partial coverage by removing a widget or exporting a bare number. Restricted detail may be withheld while the material limitation remains visible.</x:v>
      </x:c>
      <x:c r="K131" s="10" t="str">
        <x:v>Generate a report from three of five approved submissions; both chart and narrative export retain partial coverage and 60 percent approval completeness.</x:v>
      </x:c>
      <x:c r="L131" s="10" t="str">
        <x:v>TC-DQ-008-01 / TC-DQ-008-02</x:v>
      </x:c>
      <x:c r="M131" s="12" t="str">
        <x:v>No accepted implementation evidence mapped.</x:v>
      </x:c>
      <x:c r="N131" s="10" t="str">
        <x:f>IF(G131="Done",IF(AND(LEN(H131)&gt;0,LEN(M131)&gt;0),"Complete","Evidence required"),"Open")</x:f>
        <x:v>Open</x:v>
      </x:c>
      <x:c r="O131" s="17" t="str">
        <x:v>No complete implementation and acceptance evidence mapped. Retain the original acceptance criteria; this requirement remains open.</x:v>
      </x:c>
      <x:c r="P131" s="17" t="str">
        <x:v>PENDING</x:v>
      </x:c>
    </x:row>
    <x:row r="132" ht="64" customHeight="1">
      <x:c r="A132" s="10" t="str">
        <x:v>FR-PAR-001</x:v>
      </x:c>
      <x:c r="B132" s="10" t="str">
        <x:v>R1</x:v>
      </x:c>
      <x:c r="C132" s="10" t="str">
        <x:v>P1</x:v>
      </x:c>
      <x:c r="D132" s="10" t="str">
        <x:v>WP04</x:v>
      </x:c>
      <x:c r="E132" s="10" t="str">
        <x:v>Optional registries</x:v>
      </x:c>
      <x:c r="F132" s="10" t="str">
        <x:v>Collection lead</x:v>
      </x:c>
      <x:c r="G132" s="12" t="str">
        <x:v>Not started</x:v>
      </x:c>
      <x:c r="H132" s="12" t="str"/>
      <x:c r="I132" s="10" t="str">
        <x:v>Programme setup chooses aggregate-only or registry-enabled mode. Registry configuration selects entity types and necessary attributes. The system issues a programme pseudonym and supports participants, households, groups, institutions, facilities and sites without mandatory national identifiers.</x:v>
      </x:c>
      <x:c r="J132" s="10" t="str">
        <x:v>Switching to a registry requires privacy review and field configuration; aggregate-only setup cannot silently create empty personal records. Entity type and relationships are explicit.</x:v>
      </x:c>
      <x:c r="K132" s="10" t="str">
        <x:v>Create an aggregate-only education programme and a participant programme; only the latter exposes the configured registry workspace.</x:v>
      </x:c>
      <x:c r="L132" s="10" t="str">
        <x:v>TC-PAR-001-01 / TC-PAR-001-02</x:v>
      </x:c>
      <x:c r="M132" s="12" t="str">
        <x:v>No accepted implementation evidence mapped.</x:v>
      </x:c>
      <x:c r="N132" s="10" t="str">
        <x:f>IF(G132="Done",IF(AND(LEN(H132)&gt;0,LEN(M132)&gt;0),"Complete","Evidence required"),"Open")</x:f>
        <x:v>Open</x:v>
      </x:c>
      <x:c r="O132" s="17" t="str">
        <x:v>No complete implementation and acceptance evidence mapped. Retain the original acceptance criteria; this requirement remains open.</x:v>
      </x:c>
      <x:c r="P132" s="17" t="str">
        <x:v>PENDING</x:v>
      </x:c>
    </x:row>
    <x:row r="133" ht="64" customHeight="1">
      <x:c r="A133" s="10" t="str">
        <x:v>FR-PAR-002</x:v>
      </x:c>
      <x:c r="B133" s="10" t="str">
        <x:v>R1</x:v>
      </x:c>
      <x:c r="C133" s="10" t="str">
        <x:v>P0</x:v>
      </x:c>
      <x:c r="D133" s="10" t="str">
        <x:v>WP04</x:v>
      </x:c>
      <x:c r="E133" s="10" t="str">
        <x:v>Purpose limited identity</x:v>
      </x:c>
      <x:c r="F133" s="10" t="str">
        <x:v>Collection lead</x:v>
      </x:c>
      <x:c r="G133" s="12" t="str">
        <x:v>Not started</x:v>
      </x:c>
      <x:c r="H133" s="12" t="str"/>
      <x:c r="I133" s="10" t="str">
        <x:v>Direct identity fields use separate capabilities from analytical attributes. Pseudonyms are scoped to the approved programme or matching agreement. Longitudinal joins use those identifiers while hiding names from ordinary analysts.</x:v>
      </x:c>
      <x:c r="J133" s="10" t="str">
        <x:v>Cross project linkage requires a separately approved purpose, matching contract and authority to both scopes. A pseudonym is not a universal public identifier.</x:v>
      </x:c>
      <x:c r="K133" s="10" t="str">
        <x:v>An analyst joins two visits for one participant using a pseudonym but cannot resolve the person's name or participation in another programme.</x:v>
      </x:c>
      <x:c r="L133" s="10" t="str">
        <x:v>TC-PAR-002-01 / TC-PAR-002-02</x:v>
      </x:c>
      <x:c r="M133" s="12" t="str">
        <x:v>No accepted implementation evidence mapped.</x:v>
      </x:c>
      <x:c r="N133" s="10" t="str">
        <x:f>IF(G133="Done",IF(AND(LEN(H133)&gt;0,LEN(M133)&gt;0),"Complete","Evidence required"),"Open")</x:f>
        <x:v>Open</x:v>
      </x:c>
      <x:c r="O133" s="17" t="str">
        <x:v>No complete implementation and acceptance evidence mapped. Retain the original acceptance criteria; this requirement remains open.</x:v>
      </x:c>
      <x:c r="P133" s="17" t="str">
        <x:v>PENDING</x:v>
      </x:c>
    </x:row>
    <x:row r="134" ht="64" customHeight="1">
      <x:c r="A134" s="10" t="str">
        <x:v>FR-PAR-003</x:v>
      </x:c>
      <x:c r="B134" s="10" t="str">
        <x:v>R1</x:v>
      </x:c>
      <x:c r="C134" s="10" t="str">
        <x:v>P0</x:v>
      </x:c>
      <x:c r="D134" s="10" t="str">
        <x:v>WP04</x:v>
      </x:c>
      <x:c r="E134" s="10" t="str">
        <x:v>Notice consent and lawful handling</x:v>
      </x:c>
      <x:c r="F134" s="10" t="str">
        <x:v>Collection lead</x:v>
      </x:c>
      <x:c r="G134" s="12" t="str">
        <x:v>Not started</x:v>
      </x:c>
      <x:c r="H134" s="12" t="str"/>
      <x:c r="I134" s="10" t="str">
        <x:v>Collection presents the applicable notice and records version, language, purpose, handling basis, recorder and consent decision where relevant. Optional purposes such as photography are independently selected. Withdrawal updates only the affected permitted uses and triggers downstream review.</x:v>
      </x:c>
      <x:c r="J134" s="10" t="str">
        <x:v>Refusal of optional media must not block a service record unless policy justifies that dependency. Consent is not assumed to authorise research, model training or public disclosure.</x:v>
      </x:c>
      <x:c r="K134" s="10" t="str">
        <x:v>Withdraw public image permission while retaining lawful service monitoring; photo publication is blocked and eligible analytic observations remain governed by their own basis.</x:v>
      </x:c>
      <x:c r="L134" s="10" t="str">
        <x:v>TC-PAR-003-01 / TC-PAR-003-02</x:v>
      </x:c>
      <x:c r="M134" s="12" t="str">
        <x:v>No accepted implementation evidence mapped.</x:v>
      </x:c>
      <x:c r="N134" s="10" t="str">
        <x:f>IF(G134="Done",IF(AND(LEN(H134)&gt;0,LEN(M134)&gt;0),"Complete","Evidence required"),"Open")</x:f>
        <x:v>Open</x:v>
      </x:c>
      <x:c r="O134" s="17" t="str">
        <x:v>No complete implementation and acceptance evidence mapped. Retain the original acceptance criteria; this requirement remains open.</x:v>
      </x:c>
      <x:c r="P134" s="17" t="str">
        <x:v>PENDING</x:v>
      </x:c>
    </x:row>
    <x:row r="135" ht="51" customHeight="1">
      <x:c r="A135" s="10" t="str">
        <x:v>FR-PAR-004</x:v>
      </x:c>
      <x:c r="B135" s="10" t="str">
        <x:v>R1</x:v>
      </x:c>
      <x:c r="C135" s="10" t="str">
        <x:v>P1</x:v>
      </x:c>
      <x:c r="D135" s="10" t="str">
        <x:v>WP04</x:v>
      </x:c>
      <x:c r="E135" s="10" t="str">
        <x:v>Service and participation events</x:v>
      </x:c>
      <x:c r="F135" s="10" t="str">
        <x:v>Collection lead</x:v>
      </x:c>
      <x:c r="G135" s="12" t="str">
        <x:v>Not started</x:v>
      </x:c>
      <x:c r="H135" s="12" t="str"/>
      <x:c r="I135" s="10" t="str">
        <x:v>A service event captures stable event identity, subject, event type, date, provider or site and evidence. Corrections create revisions. Reporting selects event counts or distinct subjects according to the indicator definition.</x:v>
      </x:c>
      <x:c r="J135" s="10" t="str">
        <x:v>Repeated ingestion of the same event does not add another visit. Cancellation or reversal is explicit and cannot silently remove the original receipt.</x:v>
      </x:c>
      <x:c r="K135" s="10" t="str">
        <x:v>Record three distinct visits for one participant; service count is three and approved unique person count is one.</x:v>
      </x:c>
      <x:c r="L135" s="10" t="str">
        <x:v>TC-PAR-004-01 / TC-PAR-004-02</x:v>
      </x:c>
      <x:c r="M135" s="12" t="str">
        <x:v>No accepted implementation evidence mapped.</x:v>
      </x:c>
      <x:c r="N135" s="10" t="str">
        <x:f>IF(G135="Done",IF(AND(LEN(H135)&gt;0,LEN(M135)&gt;0),"Complete","Evidence required"),"Open")</x:f>
        <x:v>Open</x:v>
      </x:c>
      <x:c r="O135" s="17" t="str">
        <x:v>No complete implementation and acceptance evidence mapped. Retain the original acceptance criteria; this requirement remains open.</x:v>
      </x:c>
      <x:c r="P135" s="17" t="str">
        <x:v>PENDING</x:v>
      </x:c>
    </x:row>
    <x:row r="136" ht="51" customHeight="1">
      <x:c r="A136" s="10" t="str">
        <x:v>FR-PAR-005</x:v>
      </x:c>
      <x:c r="B136" s="10" t="str">
        <x:v>R2</x:v>
      </x:c>
      <x:c r="C136" s="10" t="str">
        <x:v>P1</x:v>
      </x:c>
      <x:c r="D136" s="10" t="str">
        <x:v>WP04</x:v>
      </x:c>
      <x:c r="E136" s="10" t="str">
        <x:v>Household and group membership</x:v>
      </x:c>
      <x:c r="F136" s="10" t="str">
        <x:v>Collection lead</x:v>
      </x:c>
      <x:c r="G136" s="12" t="str">
        <x:v>Not started</x:v>
      </x:c>
      <x:c r="H136" s="12" t="str"/>
      <x:c r="I136" s="10" t="str">
        <x:v>Household or group membership records entity pair, role, effective start and optional end. A change closes the old interval and opens a new one after overlap validation. Survey submissions pin the relevant relationship version.</x:v>
      </x:c>
      <x:c r="J136" s="10" t="str">
        <x:v>A guardian field has separate sensitivity and purpose controls. Current membership is not retrospectively applied to historic surveys.</x:v>
      </x:c>
      <x:c r="K136" s="10" t="str">
        <x:v>Move a person from household A to B on 1 June; May observations retain A and July observations resolve to B.</x:v>
      </x:c>
      <x:c r="L136" s="10" t="str">
        <x:v>TC-PAR-005-01 / TC-PAR-005-02</x:v>
      </x:c>
      <x:c r="M136" s="12" t="str">
        <x:v>No accepted implementation evidence mapped.</x:v>
      </x:c>
      <x:c r="N136" s="10" t="str">
        <x:f>IF(G136="Done",IF(AND(LEN(H136)&gt;0,LEN(M136)&gt;0),"Complete","Evidence required"),"Open")</x:f>
        <x:v>Open</x:v>
      </x:c>
      <x:c r="O136" s="17" t="str">
        <x:v>No complete implementation and acceptance evidence mapped. Retain the original acceptance criteria; this requirement remains open.</x:v>
      </x:c>
      <x:c r="P136" s="17" t="str">
        <x:v>PENDING</x:v>
      </x:c>
    </x:row>
    <x:row r="137" ht="64" customHeight="1">
      <x:c r="A137" s="10" t="str">
        <x:v>FR-PAR-006</x:v>
      </x:c>
      <x:c r="B137" s="10" t="str">
        <x:v>R2</x:v>
      </x:c>
      <x:c r="C137" s="10" t="str">
        <x:v>P1</x:v>
      </x:c>
      <x:c r="D137" s="10" t="str">
        <x:v>WP04</x:v>
      </x:c>
      <x:c r="E137" s="10" t="str">
        <x:v>Cohorts and follow up</x:v>
      </x:c>
      <x:c r="F137" s="10" t="str">
        <x:v>Collection lead</x:v>
      </x:c>
      <x:c r="G137" s="12" t="str">
        <x:v>Not started</x:v>
      </x:c>
      <x:c r="H137" s="12" t="str"/>
      <x:c r="I137" s="10" t="str">
        <x:v>Cohort creation pins eligibility rules, index date, observation windows and denominator policy. Follow up outcomes record completed, missing, withdrawn, ineligible, deceased or lost to follow up where appropriate. Analysis displays exclusions and their reasons.</x:v>
      </x:c>
      <x:c r="J137" s="10" t="str">
        <x:v>Denominator changes require an approved rule; missing follow up is not successful treatment. An outside-window observation is separately flagged and cannot silently substitute for the intended visit.</x:v>
      </x:c>
      <x:c r="K137" s="10" t="str">
        <x:v>Ten enrolled participants with two missing follow ups produce the declared denominator and explicit attrition, not eight automatically successful outcomes.</x:v>
      </x:c>
      <x:c r="L137" s="10" t="str">
        <x:v>TC-PAR-006-01 / TC-PAR-006-02</x:v>
      </x:c>
      <x:c r="M137" s="12" t="str">
        <x:v>No accepted implementation evidence mapped.</x:v>
      </x:c>
      <x:c r="N137" s="10" t="str">
        <x:f>IF(G137="Done",IF(AND(LEN(H137)&gt;0,LEN(M137)&gt;0),"Complete","Evidence required"),"Open")</x:f>
        <x:v>Open</x:v>
      </x:c>
      <x:c r="O137" s="17" t="str">
        <x:v>No complete implementation and acceptance evidence mapped. Retain the original acceptance criteria; this requirement remains open.</x:v>
      </x:c>
      <x:c r="P137" s="17" t="str">
        <x:v>PENDING</x:v>
      </x:c>
    </x:row>
    <x:row r="138" ht="64" customHeight="1">
      <x:c r="A138" s="10" t="str">
        <x:v>FR-PAR-007</x:v>
      </x:c>
      <x:c r="B138" s="10" t="str">
        <x:v>R1</x:v>
      </x:c>
      <x:c r="C138" s="10" t="str">
        <x:v>P0</x:v>
      </x:c>
      <x:c r="D138" s="10" t="str">
        <x:v>WP04</x:v>
      </x:c>
      <x:c r="E138" s="10" t="str">
        <x:v>Safeguarding and vulnerable people</x:v>
      </x:c>
      <x:c r="F138" s="10" t="str">
        <x:v>Collection lead</x:v>
      </x:c>
      <x:c r="G138" s="12" t="str">
        <x:v>Not started</x:v>
      </x:c>
      <x:c r="H138" s="12" t="str"/>
      <x:c r="I138" s="10" t="str">
        <x:v>Sensitive programme setup selects guardian and notice rules, safe contact channels, restricted fields and evidence policy. A safeguarding concern creates a restricted case with minimal reference in ordinary workspaces and routes only to designated staff.</x:v>
      </x:c>
      <x:c r="J138" s="10" t="str">
        <x:v>Do not put the concern narrative, precise location or child's identity in general notifications. Ordinary programme membership does not imply safeguarding access.</x:v>
      </x:c>
      <x:c r="K138" s="10" t="str">
        <x:v>An enumerator flags a concern; only the assigned safeguarding officer can open its content while the manager sees a restricted follow up status.</x:v>
      </x:c>
      <x:c r="L138" s="10" t="str">
        <x:v>TC-PAR-007-01 / TC-PAR-007-02</x:v>
      </x:c>
      <x:c r="M138" s="12" t="str">
        <x:v>No accepted implementation evidence mapped.</x:v>
      </x:c>
      <x:c r="N138" s="10" t="str">
        <x:f>IF(G138="Done",IF(AND(LEN(H138)&gt;0,LEN(M138)&gt;0),"Complete","Evidence required"),"Open")</x:f>
        <x:v>Open</x:v>
      </x:c>
      <x:c r="O138" s="17" t="str">
        <x:v>No complete implementation and acceptance evidence mapped. Retain the original acceptance criteria; this requirement remains open.</x:v>
      </x:c>
      <x:c r="P138" s="17" t="str">
        <x:v>PENDING</x:v>
      </x:c>
    </x:row>
    <x:row r="139" ht="64" customHeight="1">
      <x:c r="A139" s="10" t="str">
        <x:v>FR-PAR-008</x:v>
      </x:c>
      <x:c r="B139" s="10" t="str">
        <x:v>R1</x:v>
      </x:c>
      <x:c r="C139" s="10" t="str">
        <x:v>P0</x:v>
      </x:c>
      <x:c r="D139" s="10" t="str">
        <x:v>WP04</x:v>
      </x:c>
      <x:c r="E139" s="10" t="str">
        <x:v>Participant requests and corrections</x:v>
      </x:c>
      <x:c r="F139" s="10" t="str">
        <x:v>Collection lead</x:v>
      </x:c>
      <x:c r="G139" s="12" t="str">
        <x:v>Not started</x:v>
      </x:c>
      <x:c r="H139" s="12" t="str"/>
      <x:c r="I139" s="10" t="str">
        <x:v>A verified correction request identifies the subject through permitted evidence and opens a scoped case. The reviewer resolves wrong identity, attribute correction, restriction or merge and previews downstream effects before application.</x:v>
      </x:c>
      <x:c r="J139" s="10" t="str">
        <x:v>Do not expose household members' information during verification or response. Corrections preserve minimal attribution while deleting disallowed personal values where required.</x:v>
      </x:c>
      <x:c r="K139" s="10" t="str">
        <x:v>Correct a wrongly linked visit and recalculate both participants' histories without retaining the erroneous private association in ordinary views.</x:v>
      </x:c>
      <x:c r="L139" s="10" t="str">
        <x:v>TC-PAR-008-01 / TC-PAR-008-02</x:v>
      </x:c>
      <x:c r="M139" s="12" t="str">
        <x:v>No accepted implementation evidence mapped.</x:v>
      </x:c>
      <x:c r="N139" s="10" t="str">
        <x:f>IF(G139="Done",IF(AND(LEN(H139)&gt;0,LEN(M139)&gt;0),"Complete","Evidence required"),"Open")</x:f>
        <x:v>Open</x:v>
      </x:c>
      <x:c r="O139" s="17" t="str">
        <x:v>No complete implementation and acceptance evidence mapped. Retain the original acceptance criteria; this requirement remains open.</x:v>
      </x:c>
      <x:c r="P139" s="17" t="str">
        <x:v>PENDING</x:v>
      </x:c>
    </x:row>
    <x:row r="140" ht="64" customHeight="1">
      <x:c r="A140" s="10" t="str">
        <x:v>FR-EVD-001</x:v>
      </x:c>
      <x:c r="B140" s="10" t="str">
        <x:v>R1</x:v>
      </x:c>
      <x:c r="C140" s="10" t="str">
        <x:v>P0</x:v>
      </x:c>
      <x:c r="D140" s="10" t="str">
        <x:v>WP06</x:v>
      </x:c>
      <x:c r="E140" s="10" t="str">
        <x:v>Evidence repository</x:v>
      </x:c>
      <x:c r="F140" s="10" t="str">
        <x:v>Evidence lead</x:v>
      </x:c>
      <x:c r="G140" s="12" t="str">
        <x:v>Not started</x:v>
      </x:c>
      <x:c r="H140" s="12" t="str"/>
      <x:c r="I140" s="10" t="str">
        <x:v>Evidence upload collects type, source, date, owner, sensitivity and retention, then receives a safety status. Users link specific evidence versions to permitted results, findings and decisions. Repository search exposes only authorised metadata and content.</x:v>
      </x:c>
      <x:c r="J140" s="10" t="str">
        <x:v>A source URL remains an external reference with last checked status, not an archived guarantee. Replacing a file creates a new version; it never overwrites a published citation.</x:v>
      </x:c>
      <x:c r="K140" s="10" t="str">
        <x:v>Link version 1 of a survey to an achievement, upload version 2 and verify the earlier achievement still cites version 1.</x:v>
      </x:c>
      <x:c r="L140" s="10" t="str">
        <x:v>TC-EVD-001-01 / TC-EVD-001-02</x:v>
      </x:c>
      <x:c r="M140" s="12" t="str">
        <x:v>No accepted implementation evidence mapped.</x:v>
      </x:c>
      <x:c r="N140" s="10" t="str">
        <x:f>IF(G140="Done",IF(AND(LEN(H140)&gt;0,LEN(M140)&gt;0),"Complete","Evidence required"),"Open")</x:f>
        <x:v>Open</x:v>
      </x:c>
      <x:c r="O140" s="17" t="str">
        <x:v>No complete implementation and acceptance evidence mapped. Retain the original acceptance criteria; this requirement remains open.</x:v>
      </x:c>
      <x:c r="P140" s="17" t="str">
        <x:v>PENDING</x:v>
      </x:c>
    </x:row>
    <x:row r="141" ht="64" customHeight="1">
      <x:c r="A141" s="10" t="str">
        <x:v>FR-EVD-002</x:v>
      </x:c>
      <x:c r="B141" s="10" t="str">
        <x:v>R1</x:v>
      </x:c>
      <x:c r="C141" s="10" t="str">
        <x:v>P0</x:v>
      </x:c>
      <x:c r="D141" s="10" t="str">
        <x:v>WP06</x:v>
      </x:c>
      <x:c r="E141" s="10" t="str">
        <x:v>Evidence verification and provenance</x:v>
      </x:c>
      <x:c r="F141" s="10" t="str">
        <x:v>Evidence lead</x:v>
      </x:c>
      <x:c r="G141" s="12" t="str">
        <x:v>Not started</x:v>
      </x:c>
      <x:c r="H141" s="12" t="str"/>
      <x:c r="I141" s="10" t="str">
        <x:v>Verification records reviewer, method, source checks, limitations and verified or disputed status. The system displays integrity identity separately from authenticity. A dispute identifies every dependent claim and initiates review tasks.</x:v>
      </x:c>
      <x:c r="J141" s="10" t="str">
        <x:v>A passed malware scan or file hash cannot establish truth. Mandatory evidence with unresolved dispute blocks unqualified publication.</x:v>
      </x:c>
      <x:c r="K141" s="10" t="str">
        <x:v>Mark a previously verified attendance sheet disputed; affected unpublished claims require resolution while published reports enter correction review.</x:v>
      </x:c>
      <x:c r="L141" s="10" t="str">
        <x:v>TC-EVD-002-01 / TC-EVD-002-02</x:v>
      </x:c>
      <x:c r="M141" s="12" t="str">
        <x:v>No accepted implementation evidence mapped.</x:v>
      </x:c>
      <x:c r="N141" s="10" t="str">
        <x:f>IF(G141="Done",IF(AND(LEN(H141)&gt;0,LEN(M141)&gt;0),"Complete","Evidence required"),"Open")</x:f>
        <x:v>Open</x:v>
      </x:c>
      <x:c r="O141" s="17" t="str">
        <x:v>No complete implementation and acceptance evidence mapped. Retain the original acceptance criteria; this requirement remains open.</x:v>
      </x:c>
      <x:c r="P141" s="17" t="str">
        <x:v>PENDING</x:v>
      </x:c>
    </x:row>
    <x:row r="142" ht="64" customHeight="1">
      <x:c r="A142" s="10" t="str">
        <x:v>FR-EVD-003</x:v>
      </x:c>
      <x:c r="B142" s="10" t="str">
        <x:v>R1</x:v>
      </x:c>
      <x:c r="C142" s="10" t="str">
        <x:v>P1</x:v>
      </x:c>
      <x:c r="D142" s="10" t="str">
        <x:v>WP06</x:v>
      </x:c>
      <x:c r="E142" s="10" t="str">
        <x:v>Search and knowledge retrieval</x:v>
      </x:c>
      <x:c r="F142" s="10" t="str">
        <x:v>Evidence lead</x:v>
      </x:c>
      <x:c r="G142" s="12" t="str">
        <x:v>Not started</x:v>
      </x:c>
      <x:c r="H142" s="12" t="str"/>
      <x:c r="I142" s="10" t="str">
        <x:v>Search applies permission and purpose filters before result counts and snippets. Indexed text records source version and extraction status. Filters include source, type, date and permitted classification; unsupported content shows metadata only.</x:v>
      </x:c>
      <x:c r="J142" s="10" t="str">
        <x:v>Revocation and deletion remove access to index, snippets, suggested queries and AI retrieval. Unauthorised documents do not contribute visible counts or facets.</x:v>
      </x:c>
      <x:c r="K142" s="10" t="str">
        <x:v>Search a phrase present only in a restricted report; an unprivileged user receives no matching snippet, citation or revealing count.</x:v>
      </x:c>
      <x:c r="L142" s="10" t="str">
        <x:v>TC-EVD-003-01 / TC-EVD-003-02</x:v>
      </x:c>
      <x:c r="M142" s="12" t="str">
        <x:v>No accepted implementation evidence mapped.</x:v>
      </x:c>
      <x:c r="N142" s="10" t="str">
        <x:f>IF(G142="Done",IF(AND(LEN(H142)&gt;0,LEN(M142)&gt;0),"Complete","Evidence required"),"Open")</x:f>
        <x:v>Open</x:v>
      </x:c>
      <x:c r="O142" s="17" t="str">
        <x:v>No complete implementation and acceptance evidence mapped. Retain the original acceptance criteria; this requirement remains open.</x:v>
      </x:c>
      <x:c r="P142" s="17" t="str">
        <x:v>PENDING</x:v>
      </x:c>
    </x:row>
    <x:row r="143" ht="64" customHeight="1">
      <x:c r="A143" s="10" t="str">
        <x:v>FR-EVD-004</x:v>
      </x:c>
      <x:c r="B143" s="10" t="str">
        <x:v>R1</x:v>
      </x:c>
      <x:c r="C143" s="10" t="str">
        <x:v>P1</x:v>
      </x:c>
      <x:c r="D143" s="10" t="str">
        <x:v>WP06</x:v>
      </x:c>
      <x:c r="E143" s="10" t="str">
        <x:v>Document versioning and annotations</x:v>
      </x:c>
      <x:c r="F143" s="10" t="str">
        <x:v>Evidence lead</x:v>
      </x:c>
      <x:c r="G143" s="12" t="str">
        <x:v>Not started</x:v>
      </x:c>
      <x:c r="H143" s="12" t="str"/>
      <x:c r="I143" s="10" t="str">
        <x:v>Annotations reference a specific document version and a stable page, section, timestamp or excerpt anchor. A new version may offer reviewed anchor migration with ambiguity flags. Comment edits retain author and permitted history.</x:v>
      </x:c>
      <x:c r="J143" s="10" t="str">
        <x:v>If an anchor cannot be matched, mark it unresolved rather than attaching it to a similar passage. Published citations remain pinned to their original version.</x:v>
      </x:c>
      <x:c r="K143" s="10" t="str">
        <x:v>Replace a report where pages shift; the old published citation still resolves to the old page and a new annotation requires verified remapping.</x:v>
      </x:c>
      <x:c r="L143" s="10" t="str">
        <x:v>TC-EVD-004-01 / TC-EVD-004-02</x:v>
      </x:c>
      <x:c r="M143" s="12" t="str">
        <x:v>No accepted implementation evidence mapped.</x:v>
      </x:c>
      <x:c r="N143" s="10" t="str">
        <x:f>IF(G143="Done",IF(AND(LEN(H143)&gt;0,LEN(M143)&gt;0),"Complete","Evidence required"),"Open")</x:f>
        <x:v>Open</x:v>
      </x:c>
      <x:c r="O143" s="17" t="str">
        <x:v>No complete implementation and acceptance evidence mapped. Retain the original acceptance criteria; this requirement remains open.</x:v>
      </x:c>
      <x:c r="P143" s="17" t="str">
        <x:v>PENDING</x:v>
      </x:c>
    </x:row>
    <x:row r="144" ht="64" customHeight="1">
      <x:c r="A144" s="10" t="str">
        <x:v>FR-EVD-005</x:v>
      </x:c>
      <x:c r="B144" s="10" t="str">
        <x:v>R2</x:v>
      </x:c>
      <x:c r="C144" s="10" t="str">
        <x:v>P1</x:v>
      </x:c>
      <x:c r="D144" s="10" t="str">
        <x:v>WP06</x:v>
      </x:c>
      <x:c r="E144" s="10" t="str">
        <x:v>Qualitative coding</x:v>
      </x:c>
      <x:c r="F144" s="10" t="str">
        <x:v>Evidence lead</x:v>
      </x:c>
      <x:c r="G144" s="12" t="str">
        <x:v>Not started</x:v>
      </x:c>
      <x:c r="H144" s="12" t="str"/>
      <x:c r="I144" s="10" t="str">
        <x:v>A codebook defines stable codes, meanings, inclusion and exclusion examples and version. Each coder independently assigns excerpts and memos. Comparison shows disagreement and an adjudicator records the final interpretation while preserving individual decisions.</x:v>
      </x:c>
      <x:c r="J144" s="10" t="str">
        <x:v>Do not calculate agreement using unmatched units or claim consensus from overwriting a coder's work. Excerpts and themes inherit source restrictions.</x:v>
      </x:c>
      <x:c r="K144" s="10" t="str">
        <x:v>Two coders label the same transcript differently; both assignments remain and the adjudication records its rationale and codebook version.</x:v>
      </x:c>
      <x:c r="L144" s="10" t="str">
        <x:v>TC-EVD-005-01 / TC-EVD-005-02</x:v>
      </x:c>
      <x:c r="M144" s="12" t="str">
        <x:v>No accepted implementation evidence mapped.</x:v>
      </x:c>
      <x:c r="N144" s="10" t="str">
        <x:f>IF(G144="Done",IF(AND(LEN(H144)&gt;0,LEN(M144)&gt;0),"Complete","Evidence required"),"Open")</x:f>
        <x:v>Open</x:v>
      </x:c>
      <x:c r="O144" s="17" t="str">
        <x:v>No complete implementation and acceptance evidence mapped. Retain the original acceptance criteria; this requirement remains open.</x:v>
      </x:c>
      <x:c r="P144" s="17" t="str">
        <x:v>PENDING</x:v>
      </x:c>
    </x:row>
    <x:row r="145" ht="64" customHeight="1">
      <x:c r="A145" s="10" t="str">
        <x:v>FR-EVD-006</x:v>
      </x:c>
      <x:c r="B145" s="10" t="str">
        <x:v>R2</x:v>
      </x:c>
      <x:c r="C145" s="10" t="str">
        <x:v>P1</x:v>
      </x:c>
      <x:c r="D145" s="10" t="str">
        <x:v>WP06</x:v>
      </x:c>
      <x:c r="E145" s="10" t="str">
        <x:v>Transcription and translation</x:v>
      </x:c>
      <x:c r="F145" s="10" t="str">
        <x:v>Evidence lead</x:v>
      </x:c>
      <x:c r="G145" s="12" t="str">
        <x:v>Not started</x:v>
      </x:c>
      <x:c r="H145" s="12" t="str"/>
      <x:c r="I145" s="10" t="str">
        <x:v>A processing request selects recording, approved destination, language and permitted task. Generated transcript or translation is a new labelled artifact linked to original offsets. Users correct segments and retain original automated output according to policy.</x:v>
      </x:c>
      <x:c r="J145" s="10" t="str">
        <x:v>Uncertain speakers or timings are marked unknown, not invented. Sensitive recordings cannot fall back to an unapproved provider. Quotation use requires review of the original meaning.</x:v>
      </x:c>
      <x:c r="K145" s="10" t="str">
        <x:v>Correct a translated phrase at minute 03:12 and verify a report quotation resolves to the corrected segment and original recording.</x:v>
      </x:c>
      <x:c r="L145" s="10" t="str">
        <x:v>TC-EVD-006-01 / TC-EVD-006-02</x:v>
      </x:c>
      <x:c r="M145" s="12" t="str">
        <x:v>No accepted implementation evidence mapped.</x:v>
      </x:c>
      <x:c r="N145" s="10" t="str">
        <x:f>IF(G145="Done",IF(AND(LEN(H145)&gt;0,LEN(M145)&gt;0),"Complete","Evidence required"),"Open")</x:f>
        <x:v>Open</x:v>
      </x:c>
      <x:c r="O145" s="17" t="str">
        <x:v>No complete implementation and acceptance evidence mapped. Retain the original acceptance criteria; this requirement remains open.</x:v>
      </x:c>
      <x:c r="P145" s="17" t="str">
        <x:v>PENDING</x:v>
      </x:c>
    </x:row>
    <x:row r="146" ht="64" customHeight="1">
      <x:c r="A146" s="10" t="str">
        <x:v>FR-EVD-007</x:v>
      </x:c>
      <x:c r="B146" s="10" t="str">
        <x:v>R1</x:v>
      </x:c>
      <x:c r="C146" s="10" t="str">
        <x:v>P0</x:v>
      </x:c>
      <x:c r="D146" s="10" t="str">
        <x:v>WP06</x:v>
      </x:c>
      <x:c r="E146" s="10" t="str">
        <x:v>Quotations and disclosure</x:v>
      </x:c>
      <x:c r="F146" s="10" t="str">
        <x:v>Evidence lead</x:v>
      </x:c>
      <x:c r="G146" s="12" t="str">
        <x:v>Not started</x:v>
      </x:c>
      <x:c r="H146" s="12" t="str"/>
      <x:c r="I146" s="10" t="str">
        <x:v>External quotation or story preparation checks source permission, intended audience, consent scope and identifiers. Redaction produces a separate artifact, removes hidden text and metadata, and requires preview before disclosure approval.</x:v>
      </x:c>
      <x:c r="J146" s="10" t="str">
        <x:v>A black rectangle over text is not sufficient redaction. Source citations may be retained privately while public references omit identifying detail.</x:v>
      </x:c>
      <x:c r="K146" s="10" t="str">
        <x:v>Export a case story with an approved quote and verify copied text, metadata and embedded files cannot reveal the redacted participant identity.</x:v>
      </x:c>
      <x:c r="L146" s="10" t="str">
        <x:v>TC-EVD-007-01 / TC-EVD-007-02</x:v>
      </x:c>
      <x:c r="M146" s="12" t="str">
        <x:v>No accepted implementation evidence mapped.</x:v>
      </x:c>
      <x:c r="N146" s="10" t="str">
        <x:f>IF(G146="Done",IF(AND(LEN(H146)&gt;0,LEN(M146)&gt;0),"Complete","Evidence required"),"Open")</x:f>
        <x:v>Open</x:v>
      </x:c>
      <x:c r="O146" s="17" t="str">
        <x:v>No complete implementation and acceptance evidence mapped. Retain the original acceptance criteria; this requirement remains open.</x:v>
      </x:c>
      <x:c r="P146" s="17" t="str">
        <x:v>PENDING</x:v>
      </x:c>
    </x:row>
    <x:row r="147" ht="51" customHeight="1">
      <x:c r="A147" s="10" t="str">
        <x:v>FR-EVD-008</x:v>
      </x:c>
      <x:c r="B147" s="10" t="str">
        <x:v>R2</x:v>
      </x:c>
      <x:c r="C147" s="10" t="str">
        <x:v>P1</x:v>
      </x:c>
      <x:c r="D147" s="10" t="str">
        <x:v>WP06</x:v>
      </x:c>
      <x:c r="E147" s="10" t="str">
        <x:v>Findings and triangulation</x:v>
      </x:c>
      <x:c r="F147" s="10" t="str">
        <x:v>Evidence lead</x:v>
      </x:c>
      <x:c r="G147" s="12" t="str">
        <x:v>Not started</x:v>
      </x:c>
      <x:c r="H147" s="12" t="str"/>
      <x:c r="I147" s="10" t="str">
        <x:v>A finding records statement, method, supporting and contradictory evidence, confidence rationale, limitations and reviewer. Editing the interpretation creates a version and shows the changed evidence set.</x:v>
      </x:c>
      <x:c r="J147" s="10" t="str">
        <x:v>AI confidence is not a substitute for evidential judgement. A finding can remain contested; publication must preserve material contradictory evidence or disclose its limitation.</x:v>
      </x:c>
      <x:c r="K147" s="10" t="str">
        <x:v>Survey evidence improves while interviews describe harm; the reviewed finding retains both sources and distinguishes observation from interpretation.</x:v>
      </x:c>
      <x:c r="L147" s="10" t="str">
        <x:v>TC-EVD-008-01 / TC-EVD-008-02</x:v>
      </x:c>
      <x:c r="M147" s="12" t="str">
        <x:v>No accepted implementation evidence mapped.</x:v>
      </x:c>
      <x:c r="N147" s="10" t="str">
        <x:f>IF(G147="Done",IF(AND(LEN(H147)&gt;0,LEN(M147)&gt;0),"Complete","Evidence required"),"Open")</x:f>
        <x:v>Open</x:v>
      </x:c>
      <x:c r="O147" s="17" t="str">
        <x:v>No complete implementation and acceptance evidence mapped. Retain the original acceptance criteria; this requirement remains open.</x:v>
      </x:c>
      <x:c r="P147" s="17" t="str">
        <x:v>PENDING</x:v>
      </x:c>
    </x:row>
    <x:row r="148" ht="64" customHeight="1">
      <x:c r="A148" s="10" t="str">
        <x:v>FR-EVA-001</x:v>
      </x:c>
      <x:c r="B148" s="10" t="str">
        <x:v>R2</x:v>
      </x:c>
      <x:c r="C148" s="10" t="str">
        <x:v>P1</x:v>
      </x:c>
      <x:c r="D148" s="10" t="str">
        <x:v>WP06</x:v>
      </x:c>
      <x:c r="E148" s="10" t="str">
        <x:v>Evaluation registry</x:v>
      </x:c>
      <x:c r="F148" s="10" t="str">
        <x:v>Evidence lead</x:v>
      </x:c>
      <x:c r="G148" s="12" t="str">
        <x:v>Not started</x:v>
      </x:c>
      <x:c r="H148" s="12" t="str"/>
      <x:c r="I148" s="10" t="str">
        <x:v>Evaluation registration captures questions, study design, programme baseline, period, evaluator, independence, ethics requirements, budget and deliverables. Stage gates check required methodological and policy documents before field collection or publication.</x:v>
      </x:c>
      <x:c r="J148" s="10" t="str">
        <x:v>A study marked independent must identify its basis; self declaration is not automatically verified. Evaluation registration alone does not approve sensitive processing.</x:v>
      </x:c>
      <x:c r="K148" s="10" t="str">
        <x:v>Create baseline, midline and endline studies for one programme and verify each keeps its own method and observation period.</x:v>
      </x:c>
      <x:c r="L148" s="10" t="str">
        <x:v>TC-EVA-001-01 / TC-EVA-001-02</x:v>
      </x:c>
      <x:c r="M148" s="12" t="str">
        <x:v>No accepted implementation evidence mapped.</x:v>
      </x:c>
      <x:c r="N148" s="10" t="str">
        <x:f>IF(G148="Done",IF(AND(LEN(H148)&gt;0,LEN(M148)&gt;0),"Complete","Evidence required"),"Open")</x:f>
        <x:v>Open</x:v>
      </x:c>
      <x:c r="O148" s="17" t="str">
        <x:v>No complete implementation and acceptance evidence mapped. Retain the original acceptance criteria; this requirement remains open.</x:v>
      </x:c>
      <x:c r="P148" s="17" t="str">
        <x:v>PENDING</x:v>
      </x:c>
    </x:row>
    <x:row r="149" ht="51" customHeight="1">
      <x:c r="A149" s="10" t="str">
        <x:v>FR-EVA-002</x:v>
      </x:c>
      <x:c r="B149" s="10" t="str">
        <x:v>R2</x:v>
      </x:c>
      <x:c r="C149" s="10" t="str">
        <x:v>P1</x:v>
      </x:c>
      <x:c r="D149" s="10" t="str">
        <x:v>WP06</x:v>
      </x:c>
      <x:c r="E149" s="10" t="str">
        <x:v>Sampling and methodological metadata</x:v>
      </x:c>
      <x:c r="F149" s="10" t="str">
        <x:v>Evidence lead</x:v>
      </x:c>
      <x:c r="G149" s="12" t="str">
        <x:v>Not started</x:v>
      </x:c>
      <x:c r="H149" s="12" t="str"/>
      <x:c r="I149" s="10" t="str">
        <x:v>The methodology record versions sampling frame, eligibility, assignment, weights, nonresponse rules and analysis plan. Amendments identify when changes occurred relative to data inspection and require review.</x:v>
      </x:c>
      <x:c r="J149" s="10" t="str">
        <x:v>Population estimates require an explicit valid expansion method; a sample count cannot be relabelled as all beneficiaries. Missing weights block weighted output rather than defaulting to one silently.</x:v>
      </x:c>
      <x:c r="K149" s="10" t="str">
        <x:v>Export a stratified sample with weights and nonresponse metadata and reproduce the declared eligible denominator.</x:v>
      </x:c>
      <x:c r="L149" s="10" t="str">
        <x:v>TC-EVA-002-01 / TC-EVA-002-02</x:v>
      </x:c>
      <x:c r="M149" s="12" t="str">
        <x:v>No accepted implementation evidence mapped.</x:v>
      </x:c>
      <x:c r="N149" s="10" t="str">
        <x:f>IF(G149="Done",IF(AND(LEN(H149)&gt;0,LEN(M149)&gt;0),"Complete","Evidence required"),"Open")</x:f>
        <x:v>Open</x:v>
      </x:c>
      <x:c r="O149" s="17" t="str">
        <x:v>No complete implementation and acceptance evidence mapped. Retain the original acceptance criteria; this requirement remains open.</x:v>
      </x:c>
      <x:c r="P149" s="17" t="str">
        <x:v>PENDING</x:v>
      </x:c>
    </x:row>
    <x:row r="150" ht="64" customHeight="1">
      <x:c r="A150" s="10" t="str">
        <x:v>FR-EVA-003</x:v>
      </x:c>
      <x:c r="B150" s="10" t="str">
        <x:v>R2</x:v>
      </x:c>
      <x:c r="C150" s="10" t="str">
        <x:v>P1</x:v>
      </x:c>
      <x:c r="D150" s="10" t="str">
        <x:v>WP06</x:v>
      </x:c>
      <x:c r="E150" s="10" t="str">
        <x:v>Analysis packages</x:v>
      </x:c>
      <x:c r="F150" s="10" t="str">
        <x:v>Evidence lead</x:v>
      </x:c>
      <x:c r="G150" s="12" t="str">
        <x:v>Not started</x:v>
      </x:c>
      <x:c r="H150" s="12" t="str"/>
      <x:c r="I150" s="10" t="str">
        <x:v>An analyst creates a frozen extract with selected variables, filters, approved sources, dictionary and integrity manifest. Reviewed scripts and notebooks can be attached as evidence. Results reference the extract and method versions.</x:v>
      </x:c>
      <x:c r="J150" s="10" t="str">
        <x:v>Ordinary uploads do not execute code in the product. Analysis access and export require separate capabilities, and later live corrections do not alter the extract.</x:v>
      </x:c>
      <x:c r="K150" s="10" t="str">
        <x:v>Reproduce a submitted result using the pinned extract after live records change; the original analysis remains reconcilable.</x:v>
      </x:c>
      <x:c r="L150" s="10" t="str">
        <x:v>TC-EVA-003-01 / TC-EVA-003-02</x:v>
      </x:c>
      <x:c r="M150" s="12" t="str">
        <x:v>No accepted implementation evidence mapped.</x:v>
      </x:c>
      <x:c r="N150" s="10" t="str">
        <x:f>IF(G150="Done",IF(AND(LEN(H150)&gt;0,LEN(M150)&gt;0),"Complete","Evidence required"),"Open")</x:f>
        <x:v>Open</x:v>
      </x:c>
      <x:c r="O150" s="17" t="str">
        <x:v>No complete implementation and acceptance evidence mapped. Retain the original acceptance criteria; this requirement remains open.</x:v>
      </x:c>
      <x:c r="P150" s="17" t="str">
        <x:v>PENDING</x:v>
      </x:c>
    </x:row>
    <x:row r="151" ht="64" customHeight="1">
      <x:c r="A151" s="10" t="str">
        <x:v>FR-EVA-004</x:v>
      </x:c>
      <x:c r="B151" s="10" t="str">
        <x:v>R1</x:v>
      </x:c>
      <x:c r="C151" s="10" t="str">
        <x:v>P0</x:v>
      </x:c>
      <x:c r="D151" s="10" t="str">
        <x:v>WP06</x:v>
      </x:c>
      <x:c r="E151" s="10" t="str">
        <x:v>Causal claims and uncertainty</x:v>
      </x:c>
      <x:c r="F151" s="10" t="str">
        <x:v>Evidence lead</x:v>
      </x:c>
      <x:c r="G151" s="12" t="str">
        <x:v>Not started</x:v>
      </x:c>
      <x:c r="H151" s="12" t="str"/>
      <x:c r="I151" s="10" t="str">
        <x:v>Every finding or report claim selects observed change, association, contribution or causal claim. A causal claim requires an approved method reference and an independent reviewer judgement. AI drafting reads this claim classification and carries uncertainty.</x:v>
      </x:c>
      <x:c r="J151" s="10" t="str">
        <x:v>A trend or before-after difference alone cannot automatically populate a causal attribution statement. Unsupported language is flagged during report review.</x:v>
      </x:c>
      <x:c r="K151" s="10" t="str">
        <x:v>Ask why an outcome increased after launch; the response describes observed change and evidence limits unless a reviewed evaluation supports attribution.</x:v>
      </x:c>
      <x:c r="L151" s="10" t="str">
        <x:v>TC-EVA-004-01 / TC-EVA-004-02</x:v>
      </x:c>
      <x:c r="M151" s="12" t="str">
        <x:v>No accepted implementation evidence mapped.</x:v>
      </x:c>
      <x:c r="N151" s="10" t="str">
        <x:f>IF(G151="Done",IF(AND(LEN(H151)&gt;0,LEN(M151)&gt;0),"Complete","Evidence required"),"Open")</x:f>
        <x:v>Open</x:v>
      </x:c>
      <x:c r="O151" s="17" t="str">
        <x:v>No complete implementation and acceptance evidence mapped. Retain the original acceptance criteria; this requirement remains open.</x:v>
      </x:c>
      <x:c r="P151" s="17" t="str">
        <x:v>PENDING</x:v>
      </x:c>
    </x:row>
    <x:row r="152" ht="64" customHeight="1">
      <x:c r="A152" s="10" t="str">
        <x:v>FR-EVA-005</x:v>
      </x:c>
      <x:c r="B152" s="10" t="str">
        <x:v>R3</x:v>
      </x:c>
      <x:c r="C152" s="10" t="str">
        <x:v>P2</x:v>
      </x:c>
      <x:c r="D152" s="10" t="str">
        <x:v>WP06</x:v>
      </x:c>
      <x:c r="E152" s="10" t="str">
        <x:v>Outcome harvesting and contribution</x:v>
      </x:c>
      <x:c r="F152" s="10" t="str">
        <x:v>Evidence lead</x:v>
      </x:c>
      <x:c r="G152" s="12" t="str">
        <x:v>Not started</x:v>
      </x:c>
      <x:c r="H152" s="12" t="str"/>
      <x:c r="I152" s="10" t="str">
        <x:v>Outcome harvesting records observed change, significance, timing, actors, contribution hypothesis, independent substantiation and dissenting views. Review separates the observed outcome from each organisation's contribution claim.</x:v>
      </x:c>
      <x:c r="J152" s="10" t="str">
        <x:v>Multiple contributors may be recorded without forcing shares that total 100 percent. Unsubstantiated claims remain proposed and cannot be published as established causation.</x:v>
      </x:c>
      <x:c r="K152" s="10" t="str">
        <x:v>Two organisations claim contribution to one policy change; the approved narrative identifies both and the limits of attribution.</x:v>
      </x:c>
      <x:c r="L152" s="10" t="str">
        <x:v>TC-EVA-005-01 / TC-EVA-005-02</x:v>
      </x:c>
      <x:c r="M152" s="12" t="str">
        <x:v>No accepted implementation evidence mapped.</x:v>
      </x:c>
      <x:c r="N152" s="10" t="str">
        <x:f>IF(G152="Done",IF(AND(LEN(H152)&gt;0,LEN(M152)&gt;0),"Complete","Evidence required"),"Open")</x:f>
        <x:v>Open</x:v>
      </x:c>
      <x:c r="O152" s="17" t="str">
        <x:v>No complete implementation and acceptance evidence mapped. Retain the original acceptance criteria; this requirement remains open.</x:v>
      </x:c>
      <x:c r="P152" s="17" t="str">
        <x:v>PENDING</x:v>
      </x:c>
    </x:row>
    <x:row r="153" ht="64" customHeight="1">
      <x:c r="A153" s="10" t="str">
        <x:v>FR-EVA-006</x:v>
      </x:c>
      <x:c r="B153" s="10" t="str">
        <x:v>R2</x:v>
      </x:c>
      <x:c r="C153" s="10" t="str">
        <x:v>P1</x:v>
      </x:c>
      <x:c r="D153" s="10" t="str">
        <x:v>WP06</x:v>
      </x:c>
      <x:c r="E153" s="10" t="str">
        <x:v>Learning agenda</x:v>
      </x:c>
      <x:c r="F153" s="10" t="str">
        <x:v>Evidence lead</x:v>
      </x:c>
      <x:c r="G153" s="12" t="str">
        <x:v>Not started</x:v>
      </x:c>
      <x:c r="H153" s="12" t="str"/>
      <x:c r="I153" s="10" t="str">
        <x:v>A learning question links to strategic decisions, evidence gaps, planned inquiry, owner and review date. Evidence and conclusions are versioned. Closing records what was learned and remaining uncertainty; reopening preserves prior reasoning.</x:v>
      </x:c>
      <x:c r="J153" s="10" t="str">
        <x:v>A question answered in one context is not automatically applicable elsewhere. Restricted evidence is not copied into a broad learning summary without disclosure review.</x:v>
      </x:c>
      <x:c r="K153" s="10" t="str">
        <x:v>Link a programme redesign decision to a learning question, three sources and one unresolved assumption requiring a follow up study.</x:v>
      </x:c>
      <x:c r="L153" s="10" t="str">
        <x:v>TC-EVA-006-01 / TC-EVA-006-02</x:v>
      </x:c>
      <x:c r="M153" s="12" t="str">
        <x:v>No accepted implementation evidence mapped.</x:v>
      </x:c>
      <x:c r="N153" s="10" t="str">
        <x:f>IF(G153="Done",IF(AND(LEN(H153)&gt;0,LEN(M153)&gt;0),"Complete","Evidence required"),"Open")</x:f>
        <x:v>Open</x:v>
      </x:c>
      <x:c r="O153" s="17" t="str">
        <x:v>No complete implementation and acceptance evidence mapped. Retain the original acceptance criteria; this requirement remains open.</x:v>
      </x:c>
      <x:c r="P153" s="17" t="str">
        <x:v>PENDING</x:v>
      </x:c>
    </x:row>
    <x:row r="154" ht="64" customHeight="1">
      <x:c r="A154" s="10" t="str">
        <x:v>FR-EVA-007</x:v>
      </x:c>
      <x:c r="B154" s="10" t="str">
        <x:v>R2</x:v>
      </x:c>
      <x:c r="C154" s="10" t="str">
        <x:v>P1</x:v>
      </x:c>
      <x:c r="D154" s="10" t="str">
        <x:v>WP06</x:v>
      </x:c>
      <x:c r="E154" s="10" t="str">
        <x:v>Management responses and actions</x:v>
      </x:c>
      <x:c r="F154" s="10" t="str">
        <x:v>Evidence lead</x:v>
      </x:c>
      <x:c r="G154" s="12" t="str">
        <x:v>Not started</x:v>
      </x:c>
      <x:c r="H154" s="12" t="str"/>
      <x:c r="I154" s="10" t="str">
        <x:v>Each recommendation receives accept, partially accept or reject with reason. Accepted elements create actions with owners, due dates and required completion evidence. Review separates action completion from evidence of changed outcomes.</x:v>
      </x:c>
      <x:c r="J154" s="10" t="str">
        <x:v>Overdue actions escalate without automatic closure. A rejected recommendation remains visible with its accountable response.</x:v>
      </x:c>
      <x:c r="K154" s="10" t="str">
        <x:v>Accept a training recommendation, complete training evidence and leave outcome improvement pending until follow up measurements support it.</x:v>
      </x:c>
      <x:c r="L154" s="10" t="str">
        <x:v>TC-EVA-007-01 / TC-EVA-007-02</x:v>
      </x:c>
      <x:c r="M154" s="12" t="str">
        <x:v>No accepted implementation evidence mapped.</x:v>
      </x:c>
      <x:c r="N154" s="10" t="str">
        <x:f>IF(G154="Done",IF(AND(LEN(H154)&gt;0,LEN(M154)&gt;0),"Complete","Evidence required"),"Open")</x:f>
        <x:v>Open</x:v>
      </x:c>
      <x:c r="O154" s="17" t="str">
        <x:v>No complete implementation and acceptance evidence mapped. Retain the original acceptance criteria; this requirement remains open.</x:v>
      </x:c>
      <x:c r="P154" s="17" t="str">
        <x:v>PENDING</x:v>
      </x:c>
    </x:row>
    <x:row r="155" ht="51" customHeight="1">
      <x:c r="A155" s="10" t="str">
        <x:v>FR-EVA-008</x:v>
      </x:c>
      <x:c r="B155" s="10" t="str">
        <x:v>R3</x:v>
      </x:c>
      <x:c r="C155" s="10" t="str">
        <x:v>P2</x:v>
      </x:c>
      <x:c r="D155" s="10" t="str">
        <x:v>WP06</x:v>
      </x:c>
      <x:c r="E155" s="10" t="str">
        <x:v>Institutional learning library</x:v>
      </x:c>
      <x:c r="F155" s="10" t="str">
        <x:v>Evidence lead</x:v>
      </x:c>
      <x:c r="G155" s="12" t="str">
        <x:v>Not started</x:v>
      </x:c>
      <x:c r="H155" s="12" t="str"/>
      <x:c r="I155" s="10" t="str">
        <x:v>A curator publishes a lesson with source context, method, applicability, limitations, owner, review date and allowed reuse. New programmes reference the lesson and record adaptation assumptions.</x:v>
      </x:c>
      <x:c r="J155" s="10" t="str">
        <x:v>Cross tenant sharing requires approved licensing and disclosure. Reusing a lesson does not copy restricted interviews or imply identical effectiveness.</x:v>
      </x:c>
      <x:c r="K155" s="10" t="str">
        <x:v>Apply a rural implementation lesson in an urban programme and record the contextual differences while the underlying confidential transcripts remain inaccessible.</x:v>
      </x:c>
      <x:c r="L155" s="10" t="str">
        <x:v>TC-EVA-008-01 / TC-EVA-008-02</x:v>
      </x:c>
      <x:c r="M155" s="12" t="str">
        <x:v>No accepted implementation evidence mapped.</x:v>
      </x:c>
      <x:c r="N155" s="10" t="str">
        <x:f>IF(G155="Done",IF(AND(LEN(H155)&gt;0,LEN(M155)&gt;0),"Complete","Evidence required"),"Open")</x:f>
        <x:v>Open</x:v>
      </x:c>
      <x:c r="O155" s="17" t="str">
        <x:v>No complete implementation and acceptance evidence mapped. Retain the original acceptance criteria; this requirement remains open.</x:v>
      </x:c>
      <x:c r="P155" s="17" t="str">
        <x:v>PENDING</x:v>
      </x:c>
    </x:row>
    <x:row r="156" ht="64" customHeight="1">
      <x:c r="A156" s="10" t="str">
        <x:v>FR-WFL-001</x:v>
      </x:c>
      <x:c r="B156" s="10" t="str">
        <x:v>R1</x:v>
      </x:c>
      <x:c r="C156" s="10" t="str">
        <x:v>P0</x:v>
      </x:c>
      <x:c r="D156" s="10" t="str">
        <x:v>WP07</x:v>
      </x:c>
      <x:c r="E156" s="10" t="str">
        <x:v>Configurable approvals</x:v>
      </x:c>
      <x:c r="F156" s="10" t="str">
        <x:v>Workflow lead</x:v>
      </x:c>
      <x:c r="G156" s="12" t="str">
        <x:v>In progress</x:v>
      </x:c>
      <x:c r="H156" s="12" t="str"/>
      <x:c r="I156" s="10" t="str">
        <x:v>The workflow designer defines object type, sequential or parallel stages, reviewer eligibility, mandatory reviewers, quorum, thresholds and deadlines. Publishing pins a workflow version. New instances use it; running instances complete on their original version unless explicitly migrated.</x:v>
      </x:c>
      <x:c r="J156" s="10" t="str">
        <x:v>At least one independent reviewer remains required. Migration invalidates affected decisions and shows impact; a quorum cannot bypass a mandatory privacy or security review.</x:v>
      </x:c>
      <x:c r="K156" s="10" t="str">
        <x:v>Change a two-stage review while one candidate is underway; it retains its original route unless an authorised migration restarts the affected stages.</x:v>
      </x:c>
      <x:c r="L156" s="10" t="str">
        <x:v>TC-WFL-001-01 / TC-WFL-001-02</x:v>
      </x:c>
      <x:c r="M156" s="12" t="str">
        <x:v>apps/api/impact_api/work.py; qualification/test_work_center.py; docs/RELEASE-0.7.md</x:v>
      </x:c>
      <x:c r="N156" s="10" t="str">
        <x:f>IF(G156="Done",IF(AND(LEN(H156)&gt;0,LEN(M156)&gt;0),"Complete","Evidence required"),"Open")</x:f>
        <x:v>Open</x:v>
      </x:c>
      <x:c r="O156"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56" s="17" t="str">
        <x:v>PARTIAL</x:v>
      </x:c>
    </x:row>
    <x:row r="157" ht="51" customHeight="1">
      <x:c r="A157" s="10" t="str">
        <x:v>FR-WFL-002</x:v>
      </x:c>
      <x:c r="B157" s="10" t="str">
        <x:v>R1</x:v>
      </x:c>
      <x:c r="C157" s="10" t="str">
        <x:v>P0</x:v>
      </x:c>
      <x:c r="D157" s="10" t="str">
        <x:v>WP07</x:v>
      </x:c>
      <x:c r="E157" s="10" t="str">
        <x:v>Reviewer independence and authority</x:v>
      </x:c>
      <x:c r="F157" s="10" t="str">
        <x:v>Workflow lead</x:v>
      </x:c>
      <x:c r="G157" s="12" t="str">
        <x:v>In progress</x:v>
      </x:c>
      <x:c r="H157" s="12" t="str"/>
      <x:c r="I157" s="10" t="str">
        <x:v>The review screen loads the immutable candidate, change summary and evidence. Approve submits candidate revision and current reviewer identity. Commit rechecks membership, scope, independence, assurance and workflow stage.</x:v>
      </x:c>
      <x:c r="J157" s="10" t="str">
        <x:v>Stale candidate or changed evidence invalidates the decision attempt. Editing content as reviewer creates a new authored revision and removes eligibility for independent approval of that revision.</x:v>
      </x:c>
      <x:c r="K157" s="10" t="str">
        <x:v>Change a submission after the reviewer opens it; their old approve command fails and requires fresh review.</x:v>
      </x:c>
      <x:c r="L157" s="10" t="str">
        <x:v>TC-WFL-002-01 / TC-WFL-002-02</x:v>
      </x:c>
      <x:c r="M157" s="12" t="str">
        <x:v>apps/api/impact_api/work.py; qualification/test_work_center.py; docs/RELEASE-0.7.md</x:v>
      </x:c>
      <x:c r="N157" s="10" t="str">
        <x:f>IF(G157="Done",IF(AND(LEN(H157)&gt;0,LEN(M157)&gt;0),"Complete","Evidence required"),"Open")</x:f>
        <x:v>Open</x:v>
      </x:c>
      <x:c r="O157"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57" s="17" t="str">
        <x:v>PARTIAL</x:v>
      </x:c>
    </x:row>
    <x:row r="158" ht="64" customHeight="1">
      <x:c r="A158" s="10" t="str">
        <x:v>FR-WFL-003</x:v>
      </x:c>
      <x:c r="B158" s="10" t="str">
        <x:v>R1</x:v>
      </x:c>
      <x:c r="C158" s="10" t="str">
        <x:v>P0</x:v>
      </x:c>
      <x:c r="D158" s="10" t="str">
        <x:v>WP07</x:v>
      </x:c>
      <x:c r="E158" s="10" t="str">
        <x:v>Return reject and resubmit</x:v>
      </x:c>
      <x:c r="F158" s="10" t="str">
        <x:v>Workflow lead</x:v>
      </x:c>
      <x:c r="G158" s="12" t="str">
        <x:v>In progress</x:v>
      </x:c>
      <x:c r="H158" s="12" t="str"/>
      <x:c r="I158" s="10" t="str">
        <x:v>Return requires actionable comments tied to fields or issues. Reject requires policy permitted final disposition and reason. Resubmission creates a new candidate version with a comparison to the returned one and a fresh decision sequence.</x:v>
      </x:c>
      <x:c r="J158" s="10" t="str">
        <x:v>Previous approvals remain historical but do not satisfy the new candidate unless the workflow explicitly revalidates unchanged independent stages under a qualified rule.</x:v>
      </x:c>
      <x:c r="K158" s="10" t="str">
        <x:v>Complete two correction cycles and inspect distinct reasons, revisions, authors and decision times for each.</x:v>
      </x:c>
      <x:c r="L158" s="10" t="str">
        <x:v>TC-WFL-003-01 / TC-WFL-003-02</x:v>
      </x:c>
      <x:c r="M158" s="12" t="str">
        <x:v>apps/api/impact_api/work.py; qualification/test_work_center.py; docs/RELEASE-0.7.md</x:v>
      </x:c>
      <x:c r="N158" s="10" t="str">
        <x:f>IF(G158="Done",IF(AND(LEN(H158)&gt;0,LEN(M158)&gt;0),"Complete","Evidence required"),"Open")</x:f>
        <x:v>Open</x:v>
      </x:c>
      <x:c r="O158"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58" s="17" t="str">
        <x:v>PARTIAL</x:v>
      </x:c>
    </x:row>
    <x:row r="159" ht="51" customHeight="1">
      <x:c r="A159" s="10" t="str">
        <x:v>FR-WFL-004</x:v>
      </x:c>
      <x:c r="B159" s="10" t="str">
        <x:v>R1</x:v>
      </x:c>
      <x:c r="C159" s="10" t="str">
        <x:v>P1</x:v>
      </x:c>
      <x:c r="D159" s="10" t="str">
        <x:v>WP07</x:v>
      </x:c>
      <x:c r="E159" s="10" t="str">
        <x:v>Delegation escalation and absence</x:v>
      </x:c>
      <x:c r="F159" s="10" t="str">
        <x:v>Workflow lead</x:v>
      </x:c>
      <x:c r="G159" s="12" t="str">
        <x:v>In progress</x:v>
      </x:c>
      <x:c r="H159" s="12" t="str"/>
      <x:c r="I159" s="10" t="str">
        <x:v>Delegation specifies scope, start, end, delegate and reason. The system verifies eligibility and independence before routing work. Escalation goes to a named backup or manager when a deadline passes or reviewer departs.</x:v>
      </x:c>
      <x:c r="J159" s="10" t="str">
        <x:v>A delegate cannot approve the delegator's own authored change if independence is lost. No eligible replacement produces Blocked and a management task, never automatic approval.</x:v>
      </x:c>
      <x:c r="K159" s="10" t="str">
        <x:v>Remove the only assigned reviewer during close; an eligible backup is selected with attribution and the original reviewer receives no new protected task.</x:v>
      </x:c>
      <x:c r="L159" s="10" t="str">
        <x:v>TC-WFL-004-01 / TC-WFL-004-02</x:v>
      </x:c>
      <x:c r="M159" s="12" t="str">
        <x:v>apps/api/impact_api/work.py; qualification/test_work_center.py; docs/RELEASE-0.7.md</x:v>
      </x:c>
      <x:c r="N159" s="10" t="str">
        <x:f>IF(G159="Done",IF(AND(LEN(H159)&gt;0,LEN(M159)&gt;0),"Complete","Evidence required"),"Open")</x:f>
        <x:v>Open</x:v>
      </x:c>
      <x:c r="O159"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59" s="17" t="str">
        <x:v>PARTIAL</x:v>
      </x:c>
    </x:row>
    <x:row r="160" ht="64" customHeight="1">
      <x:c r="A160" s="10" t="str">
        <x:v>FR-WFL-005</x:v>
      </x:c>
      <x:c r="B160" s="10" t="str">
        <x:v>R1</x:v>
      </x:c>
      <x:c r="C160" s="10" t="str">
        <x:v>P1</x:v>
      </x:c>
      <x:c r="D160" s="10" t="str">
        <x:v>WP07</x:v>
      </x:c>
      <x:c r="E160" s="10" t="str">
        <x:v>Comments mentions and discussions</x:v>
      </x:c>
      <x:c r="F160" s="10" t="str">
        <x:v>Workflow lead</x:v>
      </x:c>
      <x:c r="G160" s="12" t="str">
        <x:v>Not started</x:v>
      </x:c>
      <x:c r="H160" s="12" t="str"/>
      <x:c r="I160" s="10" t="str">
        <x:v>Threads attach to an object version or field reference. Mention suggestions contain only eligible collaborators. A notification links to the object and uses minimal permitted text; opening rechecks access. Edits and removal retain permitted moderation history.</x:v>
      </x:c>
      <x:c r="J160" s="10" t="str">
        <x:v>Do not quote restricted fields into a broader thread. Resolving a thread does not resolve a quality issue or approve a record.</x:v>
      </x:c>
      <x:c r="K160" s="10" t="str">
        <x:v>Mention an external viewer in a restricted evidence discussion; the system prevents disclosure through both the mention list and outgoing notification.</x:v>
      </x:c>
      <x:c r="L160" s="10" t="str">
        <x:v>TC-WFL-005-01 / TC-WFL-005-02</x:v>
      </x:c>
      <x:c r="M160" s="12" t="str">
        <x:v>No accepted implementation evidence mapped.</x:v>
      </x:c>
      <x:c r="N160" s="10" t="str">
        <x:f>IF(G160="Done",IF(AND(LEN(H160)&gt;0,LEN(M160)&gt;0),"Complete","Evidence required"),"Open")</x:f>
        <x:v>Open</x:v>
      </x:c>
      <x:c r="O160" s="17" t="str">
        <x:v>No complete implementation and acceptance evidence mapped. Retain the original acceptance criteria; this requirement remains open.</x:v>
      </x:c>
      <x:c r="P160" s="17" t="str">
        <x:v>PENDING</x:v>
      </x:c>
    </x:row>
    <x:row r="161" ht="64" customHeight="1">
      <x:c r="A161" s="10" t="str">
        <x:v>FR-WFL-006</x:v>
      </x:c>
      <x:c r="B161" s="10" t="str">
        <x:v>R1</x:v>
      </x:c>
      <x:c r="C161" s="10" t="str">
        <x:v>P1</x:v>
      </x:c>
      <x:c r="D161" s="10" t="str">
        <x:v>WP07</x:v>
      </x:c>
      <x:c r="E161" s="10" t="str">
        <x:v>Task and notification centre</x:v>
      </x:c>
      <x:c r="F161" s="10" t="str">
        <x:v>Workflow lead</x:v>
      </x:c>
      <x:c r="G161" s="12" t="str">
        <x:v>In progress</x:v>
      </x:c>
      <x:c r="H161" s="12" t="str"/>
      <x:c r="I161" s="10" t="str">
        <x:v>The work centre consolidates assignments, returned work, due obligations and security notices. Users may choose permitted channels and digests; deadlines and escalations follow FD12. Every notification has an event identity and per recipient delivery status.</x:v>
      </x:c>
      <x:c r="J161" s="10" t="str">
        <x:v>Retries do not generate duplicate logical reminders. Mandatory security notices cannot be muted. Failed delivery flags contact remediation without revealing content to unverified alternatives.</x:v>
      </x:c>
      <x:c r="K161" s="10" t="str">
        <x:v>Retry one overdue reminder after provider timeout; one logical notice and traceable attempts remain, with no duplicate task creation.</x:v>
      </x:c>
      <x:c r="L161" s="10" t="str">
        <x:v>TC-WFL-006-01 / TC-WFL-006-02</x:v>
      </x:c>
      <x:c r="M161" s="12" t="str">
        <x:v>apps/api/impact_api/work.py; apps/web/src/WorkCenter.tsx; docs/RELEASE-0.7.md</x:v>
      </x:c>
      <x:c r="N161" s="10" t="str">
        <x:f>IF(G161="Done",IF(AND(LEN(H161)&gt;0,LEN(M161)&gt;0),"Complete","Evidence required"),"Open")</x:f>
        <x:v>Open</x:v>
      </x:c>
      <x:c r="O161" s="17" t="str">
        <x:v>A personal work centre implements deduplicated recalculation assignments and safe in-app notices with event identity, acknowledgement and exact-retry protection. Due obligations, returned work, preferences, digests, provider delivery attempts and escalations remain open.</x:v>
      </x:c>
      <x:c r="P161" s="17" t="str">
        <x:v>PARTIAL</x:v>
      </x:c>
    </x:row>
    <x:row r="162" ht="64" customHeight="1">
      <x:c r="A162" s="10" t="str">
        <x:v>FR-WFL-007</x:v>
      </x:c>
      <x:c r="B162" s="10" t="str">
        <x:v>R1</x:v>
      </x:c>
      <x:c r="C162" s="10" t="str">
        <x:v>P0</x:v>
      </x:c>
      <x:c r="D162" s="10" t="str">
        <x:v>WP07</x:v>
      </x:c>
      <x:c r="E162" s="10" t="str">
        <x:v>Period close and lock</x:v>
      </x:c>
      <x:c r="F162" s="10" t="str">
        <x:v>Workflow lead</x:v>
      </x:c>
      <x:c r="G162" s="12" t="str">
        <x:v>In progress</x:v>
      </x:c>
      <x:c r="H162" s="12" t="str"/>
      <x:c r="I162" s="10" t="str">
        <x:v>Close preview freezes the expected obligation set and lists approved values, missing work, quality blockers and proposed exclusions. An independent decision locks a snapshot only after all required checks pass and source revisions remain unchanged.</x:v>
      </x:c>
      <x:c r="J162" s="10" t="str">
        <x:v>If inputs change between preview and lock, require a new preview. Late data remains outside the snapshot; ordinary editing cannot alter locked results.</x:v>
      </x:c>
      <x:c r="K162" s="10" t="str">
        <x:v>Lock a quarter with three approved mandatory obligations, then receive a late optional record; the snapshot stays fixed and current views label the new data separately.</x:v>
      </x:c>
      <x:c r="L162" s="10" t="str">
        <x:v>TC-WFL-007-01 / TC-WFL-007-02</x:v>
      </x:c>
      <x:c r="M162" s="12" t="str">
        <x:v>apps/api/impact_api/period_governance.py; qualification/test_period_governance.py; docs/RELEASE-0.5.md</x:v>
      </x:c>
      <x:c r="N162" s="10" t="str">
        <x:f>IF(G162="Done",IF(AND(LEN(H162)&gt;0,LEN(M162)&gt;0),"Complete","Evidence required"),"Open")</x:f>
        <x:v>Open</x:v>
      </x:c>
      <x:c r="O162" s="17" t="str">
        <x:v>Programme-period close previews pin plans, sources and provisional results; independently reviewed exclusions remain visible but do not block required completion. Approval creates official results and an immutable versioned snapshot. Scoped, time-bounded restatement preserves and supersedes the original. Optional-late-source policy, distributed-artifact impact and multi-period downstream regeneration remain open.</x:v>
      </x:c>
      <x:c r="P162" s="17" t="str">
        <x:v>PARTIAL</x:v>
      </x:c>
    </x:row>
    <x:row r="163" ht="64" customHeight="1">
      <x:c r="A163" s="10" t="str">
        <x:v>FR-WFL-008</x:v>
      </x:c>
      <x:c r="B163" s="10" t="str">
        <x:v>R1</x:v>
      </x:c>
      <x:c r="C163" s="10" t="str">
        <x:v>P0</x:v>
      </x:c>
      <x:c r="D163" s="10" t="str">
        <x:v>WP07</x:v>
      </x:c>
      <x:c r="E163" s="10" t="str">
        <x:v>Reopen and restate</x:v>
      </x:c>
      <x:c r="F163" s="10" t="str">
        <x:v>Workflow lead</x:v>
      </x:c>
      <x:c r="G163" s="12" t="str">
        <x:v>In progress</x:v>
      </x:c>
      <x:c r="H163" s="12" t="str"/>
      <x:c r="I163" s="10" t="str">
        <x:v>Restatement starts from a locked snapshot and specifies correction reason, changed sources, affected totals and previously distributed artifacts. Review compares old and proposed new snapshots. Approval creates a new locked version and correction notices for eligible recipients.</x:v>
      </x:c>
      <x:c r="J163" s="10" t="str">
        <x:v>Original snapshot and report are not overwritten. Reopening for correction is scoped and time bounded; subsequent annual totals must identify which quarter version they use.</x:v>
      </x:c>
      <x:c r="K163" s="10" t="str">
        <x:v>Restate Q1 and regenerate year-to-date; old Q1 remains available as superseded and the annual package points to the new approved version.</x:v>
      </x:c>
      <x:c r="L163" s="10" t="str">
        <x:v>TC-WFL-008-01 / TC-WFL-008-02</x:v>
      </x:c>
      <x:c r="M163" s="12" t="str">
        <x:v>apps/api/impact_api/period_governance.py; qualification/test_period_governance.py; docs/RELEASE-0.5.md</x:v>
      </x:c>
      <x:c r="N163" s="10" t="str">
        <x:f>IF(G163="Done",IF(AND(LEN(H163)&gt;0,LEN(M163)&gt;0),"Complete","Evidence required"),"Open")</x:f>
        <x:v>Open</x:v>
      </x:c>
      <x:c r="O163" s="17" t="str">
        <x:v>Programme-period close previews pin plans, sources and provisional results; independently reviewed exclusions remain visible but do not block required completion. Approval creates official results and an immutable versioned snapshot. Scoped, time-bounded restatement preserves and supersedes the original. Optional-late-source policy, distributed-artifact impact and multi-period downstream regeneration remain open.</x:v>
      </x:c>
      <x:c r="P163" s="17" t="str">
        <x:v>PARTIAL</x:v>
      </x:c>
    </x:row>
    <x:row r="164" ht="64" customHeight="1">
      <x:c r="A164" s="10" t="str">
        <x:v>FR-WFL-009</x:v>
      </x:c>
      <x:c r="B164" s="10" t="str">
        <x:v>R2</x:v>
      </x:c>
      <x:c r="C164" s="10" t="str">
        <x:v>P1</x:v>
      </x:c>
      <x:c r="D164" s="10" t="str">
        <x:v>WP07</x:v>
      </x:c>
      <x:c r="E164" s="10" t="str">
        <x:v>Automation rules</x:v>
      </x:c>
      <x:c r="F164" s="10" t="str">
        <x:v>Workflow lead</x:v>
      </x:c>
      <x:c r="G164" s="12" t="str">
        <x:v>Not started</x:v>
      </x:c>
      <x:c r="H164" s="12" t="str"/>
      <x:c r="I164" s="10" t="str">
        <x:v>An automation rule declares event trigger, conditions, bounded action, owner, scope and retry policy. Preview runs against synthetic or permitted sample events. Executions record input event and action receipts, with loop depth and frequency limits.</x:v>
      </x:c>
      <x:c r="J164" s="10" t="str">
        <x:v>Automation cannot approve its own generated objects, publish without approval or expand permissions. Disable stops future actions and identifies already committed ones.</x:v>
      </x:c>
      <x:c r="K164" s="10" t="str">
        <x:v>Create an overdue reminder rule that triggers a task update; repeated events produce one task and cannot recursively create unlimited reminders.</x:v>
      </x:c>
      <x:c r="L164" s="10" t="str">
        <x:v>TC-WFL-009-01 / TC-WFL-009-02</x:v>
      </x:c>
      <x:c r="M164" s="12" t="str">
        <x:v>No accepted implementation evidence mapped.</x:v>
      </x:c>
      <x:c r="N164" s="10" t="str">
        <x:f>IF(G164="Done",IF(AND(LEN(H164)&gt;0,LEN(M164)&gt;0),"Complete","Evidence required"),"Open")</x:f>
        <x:v>Open</x:v>
      </x:c>
      <x:c r="O164" s="17" t="str">
        <x:v>No complete implementation and acceptance evidence mapped. Retain the original acceptance criteria; this requirement remains open.</x:v>
      </x:c>
      <x:c r="P164" s="17" t="str">
        <x:v>PENDING</x:v>
      </x:c>
    </x:row>
    <x:row r="165" ht="51" customHeight="1">
      <x:c r="A165" s="10" t="str">
        <x:v>FR-WFL-010</x:v>
      </x:c>
      <x:c r="B165" s="10" t="str">
        <x:v>R1</x:v>
      </x:c>
      <x:c r="C165" s="10" t="str">
        <x:v>P0</x:v>
      </x:c>
      <x:c r="D165" s="10" t="str">
        <x:v>WP07</x:v>
      </x:c>
      <x:c r="E165" s="10" t="str">
        <x:v>Decisions and signoff</x:v>
      </x:c>
      <x:c r="F165" s="10" t="str">
        <x:v>Workflow lead</x:v>
      </x:c>
      <x:c r="G165" s="12" t="str">
        <x:v>In progress</x:v>
      </x:c>
      <x:c r="H165" s="12" t="str"/>
      <x:c r="I165" s="10" t="str">
        <x:v>Signoff records real identity, acting capacity, current authority, candidate version, decision, time and evidence. The approval history is exportable within scope. Delegation and emergency context are included explicitly.</x:v>
      </x:c>
      <x:c r="J165" s="10" t="str">
        <x:v>The UI labels ordinary approval as an accountable product decision. Legally recognised electronic signature claims require a separately qualified integration and approved contract.</x:v>
      </x:c>
      <x:c r="K165" s="10" t="str">
        <x:v>Export the decisions for one report and identify the exact candidate approved by each reviewer without attributing a signature standard the product has not qualified.</x:v>
      </x:c>
      <x:c r="L165" s="10" t="str">
        <x:v>TC-WFL-010-01 / TC-WFL-010-02</x:v>
      </x:c>
      <x:c r="M165" s="12" t="str">
        <x:v>apps/api/impact_api/work.py; qualification/test_work_center.py; docs/RELEASE-0.7.md</x:v>
      </x:c>
      <x:c r="N165" s="10" t="str">
        <x:f>IF(G165="Done",IF(AND(LEN(H165)&gt;0,LEN(M165)&gt;0),"Complete","Evidence required"),"Open")</x:f>
        <x:v>Open</x:v>
      </x:c>
      <x:c r="O165" s="17" t="str">
        <x:v>Single-stage independent review and governed source/plan/assignment amendments are implemented. Affected provisional result revisions receive durable invalidations and personal recalculation work; current approved inputs produce a replacement revision while old lineage remains immutable. Cross-period aggregates, dashboards, reports, distributed artifacts, bulk amendments, configurable multistage policies and escalation remain open.</x:v>
      </x:c>
      <x:c r="P165" s="17" t="str">
        <x:v>PARTIAL</x:v>
      </x:c>
    </x:row>
    <x:row r="166" ht="64" customHeight="1">
      <x:c r="A166" s="10" t="str">
        <x:v>FR-ANA-001</x:v>
      </x:c>
      <x:c r="B166" s="10" t="str">
        <x:v>R1</x:v>
      </x:c>
      <x:c r="C166" s="10" t="str">
        <x:v>P1</x:v>
      </x:c>
      <x:c r="D166" s="10" t="str">
        <x:v>WP08</x:v>
      </x:c>
      <x:c r="E166" s="10" t="str">
        <x:v>Dashboard authoring</x:v>
      </x:c>
      <x:c r="F166" s="10" t="str">
        <x:v>Reporting lead</x:v>
      </x:c>
      <x:c r="G166" s="12" t="str">
        <x:v>Not started</x:v>
      </x:c>
      <x:c r="H166" s="12" t="str"/>
      <x:c r="I166" s="10" t="str">
        <x:v>Dashboard authoring selects permitted metric, table, trend, target, narrative and evidence widgets. Each widget declares binding, view mode, period, dimensions and disclosure context. Preview renders desktop, mobile and an accessible tabular alternative before publication.</x:v>
      </x:c>
      <x:c r="J166" s="10" t="str">
        <x:v>Changing layout cannot hide required quality context. Unsupported or revoked bindings show unavailable rather than a stale private value. A dashboard copy begins as a private draft.</x:v>
      </x:c>
      <x:c r="K166" s="10" t="str">
        <x:v>Build a ten-widget dashboard, open it at mobile width and verify each chart has a readable labelled equivalent with identical values.</x:v>
      </x:c>
      <x:c r="L166" s="10" t="str">
        <x:v>TC-ANA-001-01 / TC-ANA-001-02</x:v>
      </x:c>
      <x:c r="M166" s="12" t="str">
        <x:v>No accepted implementation evidence mapped.</x:v>
      </x:c>
      <x:c r="N166" s="10" t="str">
        <x:f>IF(G166="Done",IF(AND(LEN(H166)&gt;0,LEN(M166)&gt;0),"Complete","Evidence required"),"Open")</x:f>
        <x:v>Open</x:v>
      </x:c>
      <x:c r="O166" s="17" t="str">
        <x:v>No complete implementation and acceptance evidence mapped. Retain the original acceptance criteria; this requirement remains open.</x:v>
      </x:c>
      <x:c r="P166" s="17" t="str">
        <x:v>PENDING</x:v>
      </x:c>
    </x:row>
    <x:row r="167" ht="64" customHeight="1">
      <x:c r="A167" s="10" t="str">
        <x:v>FR-ANA-002</x:v>
      </x:c>
      <x:c r="B167" s="10" t="str">
        <x:v>R1</x:v>
      </x:c>
      <x:c r="C167" s="10" t="str">
        <x:v>P0</x:v>
      </x:c>
      <x:c r="D167" s="10" t="str">
        <x:v>WP08</x:v>
      </x:c>
      <x:c r="E167" s="10" t="str">
        <x:v>Filters and drill down</x:v>
      </x:c>
      <x:c r="F167" s="10" t="str">
        <x:v>Reporting lead</x:v>
      </x:c>
      <x:c r="G167" s="12" t="str">
        <x:v>Not started</x:v>
      </x:c>
      <x:c r="H167" s="12" t="str"/>
      <x:c r="I167" s="10" t="str">
        <x:v>Filters show their current values and affect only declared compatible widgets. Drill down follows permitted hierarchy levels and approved disclosure slices. Saved views pin definitions or display a reviewed migration notice when a binding changes.</x:v>
      </x:c>
      <x:c r="J167" s="10" t="str">
        <x:v>Filtering cannot reveal suppressed cells or hidden source counts. A filter that is not applicable to a widget is visibly identified rather than silently ignored.</x:v>
      </x:c>
      <x:c r="K167" s="10" t="str">
        <x:v>Select partner A and drill to programme data; a restricted participant level remains unavailable and the summary does not leak partner B through totals.</x:v>
      </x:c>
      <x:c r="L167" s="10" t="str">
        <x:v>TC-ANA-002-01 / TC-ANA-002-02</x:v>
      </x:c>
      <x:c r="M167" s="12" t="str">
        <x:v>No accepted implementation evidence mapped.</x:v>
      </x:c>
      <x:c r="N167" s="10" t="str">
        <x:f>IF(G167="Done",IF(AND(LEN(H167)&gt;0,LEN(M167)&gt;0),"Complete","Evidence required"),"Open")</x:f>
        <x:v>Open</x:v>
      </x:c>
      <x:c r="O167" s="17" t="str">
        <x:v>No complete implementation and acceptance evidence mapped. Retain the original acceptance criteria; this requirement remains open.</x:v>
      </x:c>
      <x:c r="P167" s="17" t="str">
        <x:v>PENDING</x:v>
      </x:c>
    </x:row>
    <x:row r="168" ht="64" customHeight="1">
      <x:c r="A168" s="10" t="str">
        <x:v>FR-ANA-003</x:v>
      </x:c>
      <x:c r="B168" s="10" t="str">
        <x:v>R1</x:v>
      </x:c>
      <x:c r="C168" s="10" t="str">
        <x:v>P0</x:v>
      </x:c>
      <x:c r="D168" s="10" t="str">
        <x:v>WP08</x:v>
      </x:c>
      <x:c r="E168" s="10" t="str">
        <x:v>Actual target and baseline views</x:v>
      </x:c>
      <x:c r="F168" s="10" t="str">
        <x:v>Reporting lead</x:v>
      </x:c>
      <x:c r="G168" s="12" t="str">
        <x:v>Not started</x:v>
      </x:c>
      <x:c r="H168" s="12" t="str"/>
      <x:c r="I168" s="10" t="str">
        <x:v>Comparison widgets bind actual, baseline and selected target version with direction and time semantic. Labels identify original or revised target and applicable period. Axis scales and percentage calculations are explicit; overachievement remains visible.</x:v>
      </x:c>
      <x:c r="J168" s="10" t="str">
        <x:v>A cumulative curve cannot be compared to a monthly flow target without an approved conversion. Zero baseline percentage change produces undefined, not an infinite trend.</x:v>
      </x:c>
      <x:c r="K168" s="10" t="str">
        <x:v>Display lower-is-better target ten with actual eight and show the correct status and declared deviation without an inverted success interpretation.</x:v>
      </x:c>
      <x:c r="L168" s="10" t="str">
        <x:v>TC-ANA-003-01 / TC-ANA-003-02</x:v>
      </x:c>
      <x:c r="M168" s="12" t="str">
        <x:v>No accepted implementation evidence mapped.</x:v>
      </x:c>
      <x:c r="N168" s="10" t="str">
        <x:f>IF(G168="Done",IF(AND(LEN(H168)&gt;0,LEN(M168)&gt;0),"Complete","Evidence required"),"Open")</x:f>
        <x:v>Open</x:v>
      </x:c>
      <x:c r="O168" s="17" t="str">
        <x:v>No complete implementation and acceptance evidence mapped. Retain the original acceptance criteria; this requirement remains open.</x:v>
      </x:c>
      <x:c r="P168" s="17" t="str">
        <x:v>PENDING</x:v>
      </x:c>
    </x:row>
    <x:row r="169" ht="64" customHeight="1">
      <x:c r="A169" s="10" t="str">
        <x:v>FR-ANA-004</x:v>
      </x:c>
      <x:c r="B169" s="10" t="str">
        <x:v>R1</x:v>
      </x:c>
      <x:c r="C169" s="10" t="str">
        <x:v>P0</x:v>
      </x:c>
      <x:c r="D169" s="10" t="str">
        <x:v>WP08</x:v>
      </x:c>
      <x:c r="E169" s="10" t="str">
        <x:v>Freshness and approval context</x:v>
      </x:c>
      <x:c r="F169" s="10" t="str">
        <x:v>Reporting lead</x:v>
      </x:c>
      <x:c r="G169" s="12" t="str">
        <x:v>In progress</x:v>
      </x:c>
      <x:c r="H169" s="12" t="str"/>
      <x:c r="I169" s="10" t="str">
        <x:v>Every result widget distinguishes live approved, provisional or snapshot. Its context exposes last source success, approval cutoff, calculation time and coverage. A report or image export embeds a concise version of material context.</x:v>
      </x:c>
      <x:c r="J169" s="10" t="str">
        <x:v>A successful dashboard fetch does not make the source fresh. Provisional content remains labelled even if other widgets are approved.</x:v>
      </x:c>
      <x:c r="K169" s="10" t="str">
        <x:v>Fail a source refresh and export the dashboard; the exported result remains marked stale with the last valid data time.</x:v>
      </x:c>
      <x:c r="L169" s="10" t="str">
        <x:v>TC-ANA-004-01 / TC-ANA-004-02</x:v>
      </x:c>
      <x:c r="M169" s="12" t="str">
        <x:v>apps/api/impact_api/domain.py; apps/api/impact_api/service.py; qualification/test_measurement.py</x:v>
      </x:c>
      <x:c r="N169" s="10" t="str">
        <x:f>IF(G169="Done",IF(AND(LEN(H169)&gt;0,LEN(M169)&gt;0),"Complete","Evidence required"),"Open")</x:f>
        <x:v>Open</x:v>
      </x:c>
      <x:c r="O169" s="17" t="str">
        <x:v>Decimal SUM and pooled ratios, revision-bound lineage, explicit contributor coverage and stale-result flags are implemented. Hierarchy, stock, overlap, weighting, dimensions and production workload qualification are not implemented.</x:v>
      </x:c>
      <x:c r="P169" s="17" t="str">
        <x:v>PARTIAL</x:v>
      </x:c>
    </x:row>
    <x:row r="170" ht="64" customHeight="1">
      <x:c r="A170" s="10" t="str">
        <x:v>FR-ANA-005</x:v>
      </x:c>
      <x:c r="B170" s="10" t="str">
        <x:v>R2</x:v>
      </x:c>
      <x:c r="C170" s="10" t="str">
        <x:v>P1</x:v>
      </x:c>
      <x:c r="D170" s="10" t="str">
        <x:v>WP08</x:v>
      </x:c>
      <x:c r="E170" s="10" t="str">
        <x:v>Table analysis and pivots</x:v>
      </x:c>
      <x:c r="F170" s="10" t="str">
        <x:v>Reporting lead</x:v>
      </x:c>
      <x:c r="G170" s="12" t="str">
        <x:v>Not started</x:v>
      </x:c>
      <x:c r="H170" s="12" t="str"/>
      <x:c r="I170" s="10" t="str">
        <x:v>Pivot authoring selects dimensions, measures and compatible aggregation functions. Preview estimates cardinality and routes large requests to cancellable jobs. Grand totals are recalculated from eligible source semantics rather than summed from displayed rounded or overlapping cells.</x:v>
      </x:c>
      <x:c r="J170" s="10" t="str">
        <x:v>Suppressed cells and nonadditive dimensions retain their disclosure policy. An unsupported statistic blocks the pivot or requires a distinctly labelled alternative.</x:v>
      </x:c>
      <x:c r="K170" s="10" t="str">
        <x:v>Pivot participants by a multiselect service type; category totals may exceed the distinct grand total, and that difference is explained.</x:v>
      </x:c>
      <x:c r="L170" s="10" t="str">
        <x:v>TC-ANA-005-01 / TC-ANA-005-02</x:v>
      </x:c>
      <x:c r="M170" s="12" t="str">
        <x:v>No accepted implementation evidence mapped.</x:v>
      </x:c>
      <x:c r="N170" s="10" t="str">
        <x:f>IF(G170="Done",IF(AND(LEN(H170)&gt;0,LEN(M170)&gt;0),"Complete","Evidence required"),"Open")</x:f>
        <x:v>Open</x:v>
      </x:c>
      <x:c r="O170" s="17" t="str">
        <x:v>No complete implementation and acceptance evidence mapped. Retain the original acceptance criteria; this requirement remains open.</x:v>
      </x:c>
      <x:c r="P170" s="17" t="str">
        <x:v>PENDING</x:v>
      </x:c>
    </x:row>
    <x:row r="171" ht="51" customHeight="1">
      <x:c r="A171" s="10" t="str">
        <x:v>FR-ANA-006</x:v>
      </x:c>
      <x:c r="B171" s="10" t="str">
        <x:v>R2</x:v>
      </x:c>
      <x:c r="C171" s="10" t="str">
        <x:v>P1</x:v>
      </x:c>
      <x:c r="D171" s="10" t="str">
        <x:v>WP08</x:v>
      </x:c>
      <x:c r="E171" s="10" t="str">
        <x:v>Geographic analysis</x:v>
      </x:c>
      <x:c r="F171" s="10" t="str">
        <x:v>Reporting lead</x:v>
      </x:c>
      <x:c r="G171" s="12" t="str">
        <x:v>Not started</x:v>
      </x:c>
      <x:c r="H171" s="12" t="str"/>
      <x:c r="I171" s="10" t="str">
        <x:v>Map configuration selects boundary version, authorised point or aggregate layer, period, legend and missingness treatment. External maps use approved geographic granularity. Every map offers an equivalent sortable table.</x:v>
      </x:c>
      <x:c r="J171" s="10" t="str">
        <x:v>Precise coordinates cannot hide in tooltips, downloads or map request payloads when only district aggregates are allowed. Boundary mismatch is visible.</x:v>
      </x:c>
      <x:c r="K171" s="10" t="str">
        <x:v>Publish a district view of vulnerable participants and inspect the permitted payload: no household coordinate is disclosed.</x:v>
      </x:c>
      <x:c r="L171" s="10" t="str">
        <x:v>TC-ANA-006-01 / TC-ANA-006-02</x:v>
      </x:c>
      <x:c r="M171" s="12" t="str">
        <x:v>No accepted implementation evidence mapped.</x:v>
      </x:c>
      <x:c r="N171" s="10" t="str">
        <x:f>IF(G171="Done",IF(AND(LEN(H171)&gt;0,LEN(M171)&gt;0),"Complete","Evidence required"),"Open")</x:f>
        <x:v>Open</x:v>
      </x:c>
      <x:c r="O171" s="17" t="str">
        <x:v>No complete implementation and acceptance evidence mapped. Retain the original acceptance criteria; this requirement remains open.</x:v>
      </x:c>
      <x:c r="P171" s="17" t="str">
        <x:v>PENDING</x:v>
      </x:c>
    </x:row>
    <x:row r="172" ht="64" customHeight="1">
      <x:c r="A172" s="10" t="str">
        <x:v>FR-ANA-007</x:v>
      </x:c>
      <x:c r="B172" s="10" t="str">
        <x:v>R1</x:v>
      </x:c>
      <x:c r="C172" s="10" t="str">
        <x:v>P1</x:v>
      </x:c>
      <x:c r="D172" s="10" t="str">
        <x:v>WP08</x:v>
      </x:c>
      <x:c r="E172" s="10" t="str">
        <x:v>Portfolio comparison</x:v>
      </x:c>
      <x:c r="F172" s="10" t="str">
        <x:v>Reporting lead</x:v>
      </x:c>
      <x:c r="G172" s="12" t="str">
        <x:v>Not started</x:v>
      </x:c>
      <x:c r="H172" s="12" t="str"/>
      <x:c r="I172" s="10" t="str">
        <x:v>Portfolio comparison chooses compatible indicator definitions, periods and coverage thresholds. The view groups compatible measures and flags mismatches. Ranking is enabled only for an approved comparable set or carries a clear qualified comparison method.</x:v>
      </x:c>
      <x:c r="J172" s="10" t="str">
        <x:v>No raw ranking that mixes different denominators, currencies or observation windows as if equivalent. Permission filtered results state the visible scope without exposing hidden members.</x:v>
      </x:c>
      <x:c r="K172" s="10" t="str">
        <x:v>Compare two completion rates with different eligible populations; require reviewed comparability before presenting an unqualified league table.</x:v>
      </x:c>
      <x:c r="L172" s="10" t="str">
        <x:v>TC-ANA-007-01 / TC-ANA-007-02</x:v>
      </x:c>
      <x:c r="M172" s="12" t="str">
        <x:v>No accepted implementation evidence mapped.</x:v>
      </x:c>
      <x:c r="N172" s="10" t="str">
        <x:f>IF(G172="Done",IF(AND(LEN(H172)&gt;0,LEN(M172)&gt;0),"Complete","Evidence required"),"Open")</x:f>
        <x:v>Open</x:v>
      </x:c>
      <x:c r="O172" s="17" t="str">
        <x:v>No complete implementation and acceptance evidence mapped. Retain the original acceptance criteria; this requirement remains open.</x:v>
      </x:c>
      <x:c r="P172" s="17" t="str">
        <x:v>PENDING</x:v>
      </x:c>
    </x:row>
    <x:row r="173" ht="64" customHeight="1">
      <x:c r="A173" s="10" t="str">
        <x:v>FR-ANA-008</x:v>
      </x:c>
      <x:c r="B173" s="10" t="str">
        <x:v>R1</x:v>
      </x:c>
      <x:c r="C173" s="10" t="str">
        <x:v>P0</x:v>
      </x:c>
      <x:c r="D173" s="10" t="str">
        <x:v>WP08</x:v>
      </x:c>
      <x:c r="E173" s="10" t="str">
        <x:v>Dashboard governance</x:v>
      </x:c>
      <x:c r="F173" s="10" t="str">
        <x:v>Reporting lead</x:v>
      </x:c>
      <x:c r="G173" s="12" t="str">
        <x:v>Not started</x:v>
      </x:c>
      <x:c r="H173" s="12" t="str"/>
      <x:c r="I173" s="10" t="str">
        <x:v>Dashboard publication pins layout, bindings, audience and expiry. Owner changes require current authority. Copy creates a draft with no new data grants; sharing preview calculates the recipient's view and identifies unavailable bindings.</x:v>
      </x:c>
      <x:c r="J173" s="10" t="str">
        <x:v>Public dashboards reference disclosure-approved artifacts, not unrestricted live private queries. Changes to source sensitivity suspend affected publication until revalidated.</x:v>
      </x:c>
      <x:c r="K173" s="10" t="str">
        <x:v>Copy an internal dashboard to a funder workspace; restricted widgets remain unavailable until explicitly bound to approved disclosed metrics.</x:v>
      </x:c>
      <x:c r="L173" s="10" t="str">
        <x:v>TC-ANA-008-01 / TC-ANA-008-02</x:v>
      </x:c>
      <x:c r="M173" s="12" t="str">
        <x:v>No accepted implementation evidence mapped.</x:v>
      </x:c>
      <x:c r="N173" s="10" t="str">
        <x:f>IF(G173="Done",IF(AND(LEN(H173)&gt;0,LEN(M173)&gt;0),"Complete","Evidence required"),"Open")</x:f>
        <x:v>Open</x:v>
      </x:c>
      <x:c r="O173" s="17" t="str">
        <x:v>No complete implementation and acceptance evidence mapped. Retain the original acceptance criteria; this requirement remains open.</x:v>
      </x:c>
      <x:c r="P173" s="17" t="str">
        <x:v>PENDING</x:v>
      </x:c>
    </x:row>
    <x:row r="174" ht="64" customHeight="1">
      <x:c r="A174" s="10" t="str">
        <x:v>FR-ANA-009</x:v>
      </x:c>
      <x:c r="B174" s="10" t="str">
        <x:v>R2</x:v>
      </x:c>
      <x:c r="C174" s="10" t="str">
        <x:v>P1</x:v>
      </x:c>
      <x:c r="D174" s="10" t="str">
        <x:v>WP08</x:v>
      </x:c>
      <x:c r="E174" s="10" t="str">
        <x:v>Alerts and thresholds</x:v>
      </x:c>
      <x:c r="F174" s="10" t="str">
        <x:v>Reporting lead</x:v>
      </x:c>
      <x:c r="G174" s="12" t="str">
        <x:v>Not started</x:v>
      </x:c>
      <x:c r="H174" s="12" t="str"/>
      <x:c r="I174" s="10" t="str">
        <x:v>An alert declares measure, condition, minimum coverage, freshness, evaluation cadence, recipients and cooldown. Evaluation distinguishes threshold breach, missing data and stale input. Triggered alerts record the exact evaluated result version.</x:v>
      </x:c>
      <x:c r="J174" s="10" t="str">
        <x:v>No deterioration alert from an absent value treated as zero. Repeated conditions during cooldown update one incident or digest according to policy.</x:v>
      </x:c>
      <x:c r="K174" s="10" t="str">
        <x:v>A missed monthly submission generates a missingness alert, while an approved performance decline produces a separate threshold alert.</x:v>
      </x:c>
      <x:c r="L174" s="10" t="str">
        <x:v>TC-ANA-009-01 / TC-ANA-009-02</x:v>
      </x:c>
      <x:c r="M174" s="12" t="str">
        <x:v>No accepted implementation evidence mapped.</x:v>
      </x:c>
      <x:c r="N174" s="10" t="str">
        <x:f>IF(G174="Done",IF(AND(LEN(H174)&gt;0,LEN(M174)&gt;0),"Complete","Evidence required"),"Open")</x:f>
        <x:v>Open</x:v>
      </x:c>
      <x:c r="O174" s="17" t="str">
        <x:v>No complete implementation and acceptance evidence mapped. Retain the original acceptance criteria; this requirement remains open.</x:v>
      </x:c>
      <x:c r="P174" s="17" t="str">
        <x:v>PENDING</x:v>
      </x:c>
    </x:row>
    <x:row r="175" ht="64" customHeight="1">
      <x:c r="A175" s="10" t="str">
        <x:v>FR-ANA-010</x:v>
      </x:c>
      <x:c r="B175" s="10" t="str">
        <x:v>R2</x:v>
      </x:c>
      <x:c r="C175" s="10" t="str">
        <x:v>P1</x:v>
      </x:c>
      <x:c r="D175" s="10" t="str">
        <x:v>WP08</x:v>
      </x:c>
      <x:c r="E175" s="10" t="str">
        <x:v>External analytics access</x:v>
      </x:c>
      <x:c r="F175" s="10" t="str">
        <x:v>Reporting lead</x:v>
      </x:c>
      <x:c r="G175" s="12" t="str">
        <x:v>Not started</x:v>
      </x:c>
      <x:c r="H175" s="12" t="str"/>
      <x:c r="I175" s="10" t="str">
        <x:v>A BI connection selects governed datasets and field scope, issues a service identity and records external destination and reuse terms. Refresh requires current credential and object authority. The data package includes definitions, units, value states and freshness.</x:v>
      </x:c>
      <x:c r="J175" s="10" t="str">
        <x:v>Revocation stops new retrieval; external copies are tracked as disclosures and cannot be represented as remotely erased. No unrestricted database connection is implied.</x:v>
      </x:c>
      <x:c r="K175" s="10" t="str">
        <x:v>Revoke the BI service identity and verify subsequent refresh fails while the register identifies the last successful external extract.</x:v>
      </x:c>
      <x:c r="L175" s="10" t="str">
        <x:v>TC-ANA-010-01 / TC-ANA-010-02</x:v>
      </x:c>
      <x:c r="M175" s="12" t="str">
        <x:v>No accepted implementation evidence mapped.</x:v>
      </x:c>
      <x:c r="N175" s="10" t="str">
        <x:f>IF(G175="Done",IF(AND(LEN(H175)&gt;0,LEN(M175)&gt;0),"Complete","Evidence required"),"Open")</x:f>
        <x:v>Open</x:v>
      </x:c>
      <x:c r="O175" s="17" t="str">
        <x:v>No complete implementation and acceptance evidence mapped. Retain the original acceptance criteria; this requirement remains open.</x:v>
      </x:c>
      <x:c r="P175" s="17" t="str">
        <x:v>PENDING</x:v>
      </x:c>
    </x:row>
    <x:row r="176" ht="64" customHeight="1">
      <x:c r="A176" s="10" t="str">
        <x:v>FR-RPT-001</x:v>
      </x:c>
      <x:c r="B176" s="10" t="str">
        <x:v>R1</x:v>
      </x:c>
      <x:c r="C176" s="10" t="str">
        <x:v>P1</x:v>
      </x:c>
      <x:c r="D176" s="10" t="str">
        <x:v>WP08</x:v>
      </x:c>
      <x:c r="E176" s="10" t="str">
        <x:v>Report template library</x:v>
      </x:c>
      <x:c r="F176" s="10" t="str">
        <x:v>Reporting lead</x:v>
      </x:c>
      <x:c r="G176" s="12" t="str">
        <x:v>Not started</x:v>
      </x:c>
      <x:c r="H176" s="12" t="str"/>
      <x:c r="I176" s="10" t="str">
        <x:v>A report template defines sections, required metric bindings, tables, charts, narrative limits, evidence slots, language and mandatory caveats. Preview validates a representative approved snapshot. Published template versions remain pinned by reports already created.</x:v>
      </x:c>
      <x:c r="J176" s="10" t="str">
        <x:v>Missing metric bindings remain explicit gaps; no zero placeholder. A donor template change creates a version and cannot silently restyle or change a published report.</x:v>
      </x:c>
      <x:c r="K176" s="10" t="str">
        <x:v>Generate quarterly donor A and donor B reports from one snapshot and reconcile shared numeric fields to the same result IDs.</x:v>
      </x:c>
      <x:c r="L176" s="10" t="str">
        <x:v>TC-RPT-001-01 / TC-RPT-001-02</x:v>
      </x:c>
      <x:c r="M176" s="12" t="str">
        <x:v>No accepted implementation evidence mapped.</x:v>
      </x:c>
      <x:c r="N176" s="10" t="str">
        <x:f>IF(G176="Done",IF(AND(LEN(H176)&gt;0,LEN(M176)&gt;0),"Complete","Evidence required"),"Open")</x:f>
        <x:v>Open</x:v>
      </x:c>
      <x:c r="O176" s="17" t="str">
        <x:v>No complete implementation and acceptance evidence mapped. Retain the original acceptance criteria; this requirement remains open.</x:v>
      </x:c>
      <x:c r="P176" s="17" t="str">
        <x:v>PENDING</x:v>
      </x:c>
    </x:row>
    <x:row r="177" ht="64" customHeight="1">
      <x:c r="A177" s="10" t="str">
        <x:v>FR-RPT-002</x:v>
      </x:c>
      <x:c r="B177" s="10" t="str">
        <x:v>R1</x:v>
      </x:c>
      <x:c r="C177" s="10" t="str">
        <x:v>P0</x:v>
      </x:c>
      <x:c r="D177" s="10" t="str">
        <x:v>WP08</x:v>
      </x:c>
      <x:c r="E177" s="10" t="str">
        <x:v>Reporting obligations</x:v>
      </x:c>
      <x:c r="F177" s="10" t="str">
        <x:v>Reporting lead</x:v>
      </x:c>
      <x:c r="G177" s="12" t="str">
        <x:v>Not started</x:v>
      </x:c>
      <x:c r="H177" s="12" t="str"/>
      <x:c r="I177" s="10" t="str">
        <x:v>An obligation defines recipient class, period rule, due instant, owner, required indicators, template and review route. Calendar instances show missing dependencies and approval status. Amendments preserve prior due date and contractual reference.</x:v>
      </x:c>
      <x:c r="J177" s="10" t="str">
        <x:v>Multiple donor calendars may coexist, but a report cannot be marked complete merely because another donor's report was sent. Owner departure triggers reassignment.</x:v>
      </x:c>
      <x:c r="K177" s="10" t="str">
        <x:v>Create quarterly and annual obligations for one project; completion of Q4 does not close the annual obligation automatically.</x:v>
      </x:c>
      <x:c r="L177" s="10" t="str">
        <x:v>TC-RPT-002-01 / TC-RPT-002-02</x:v>
      </x:c>
      <x:c r="M177" s="12" t="str">
        <x:v>No accepted implementation evidence mapped.</x:v>
      </x:c>
      <x:c r="N177" s="10" t="str">
        <x:f>IF(G177="Done",IF(AND(LEN(H177)&gt;0,LEN(M177)&gt;0),"Complete","Evidence required"),"Open")</x:f>
        <x:v>Open</x:v>
      </x:c>
      <x:c r="O177" s="17" t="str">
        <x:v>No complete implementation and acceptance evidence mapped. Retain the original acceptance criteria; this requirement remains open.</x:v>
      </x:c>
      <x:c r="P177" s="17" t="str">
        <x:v>PENDING</x:v>
      </x:c>
    </x:row>
    <x:row r="178" ht="64" customHeight="1">
      <x:c r="A178" s="10" t="str">
        <x:v>FR-RPT-003</x:v>
      </x:c>
      <x:c r="B178" s="10" t="str">
        <x:v>R1</x:v>
      </x:c>
      <x:c r="C178" s="10" t="str">
        <x:v>P0</x:v>
      </x:c>
      <x:c r="D178" s="10" t="str">
        <x:v>WP08</x:v>
      </x:c>
      <x:c r="E178" s="10" t="str">
        <x:v>Frozen reporting packages</x:v>
      </x:c>
      <x:c r="F178" s="10" t="str">
        <x:v>Reporting lead</x:v>
      </x:c>
      <x:c r="G178" s="12" t="str">
        <x:v>In progress</x:v>
      </x:c>
      <x:c r="H178" s="12" t="str"/>
      <x:c r="I178" s="10" t="str">
        <x:v>Report creation selects a locked snapshot containing definitions, targets, results, evidence and relevant configuration. Numeric fields bind to immutable result references. Regeneration uses the same versions and records rendering version separately from content version.</x:v>
      </x:c>
      <x:c r="J178" s="10" t="str">
        <x:v>If lawful deletion makes evidence unavailable, disclose withheld evidence or withdraw the artifact as required; do not reconstruct deleted content to preserve visual identity. Numeric history remains only where lawful.</x:v>
      </x:c>
      <x:c r="K178" s="10" t="str">
        <x:v>Correct live source data and regenerate the old quarter; its authorised numeric content stays unchanged and the later correction is a separate report version.</x:v>
      </x:c>
      <x:c r="L178" s="10" t="str">
        <x:v>TC-RPT-003-01 / TC-RPT-003-02</x:v>
      </x:c>
      <x:c r="M178" s="12" t="str">
        <x:v>apps/api/impact_api/reporting.py; qualification/test_reporting.py; qualification/test_publication.py; docs/RELEASE-0.6.md; docs/RELEASE-0.8.md</x:v>
      </x:c>
      <x:c r="N178" s="10" t="str">
        <x:f>IF(G178="Done",IF(AND(LEN(H178)&gt;0,LEN(M178)&gt;0),"Complete","Evidence required"),"Open")</x:f>
        <x:v>Open</x:v>
      </x:c>
      <x:c r="O178" s="17"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P178" s="17" t="str">
        <x:v>PARTIAL</x:v>
      </x:c>
    </x:row>
    <x:row r="179" ht="64" customHeight="1">
      <x:c r="A179" s="10" t="str">
        <x:v>FR-RPT-004</x:v>
      </x:c>
      <x:c r="B179" s="10" t="str">
        <x:v>R1</x:v>
      </x:c>
      <x:c r="C179" s="10" t="str">
        <x:v>P1</x:v>
      </x:c>
      <x:c r="D179" s="10" t="str">
        <x:v>WP08</x:v>
      </x:c>
      <x:c r="E179" s="10" t="str">
        <x:v>Narrative authoring and review</x:v>
      </x:c>
      <x:c r="F179" s="10" t="str">
        <x:v>Reporting lead</x:v>
      </x:c>
      <x:c r="G179" s="12" t="str">
        <x:v>In progress</x:v>
      </x:c>
      <x:c r="H179" s="12" t="str"/>
      <x:c r="I179" s="10" t="str">
        <x:v>Narrative sections support drafts, comments and revision comparison. AI proposed text is labelled until reviewed. Material factual claims link to permitted evidence or metric references. The author accepts, edits or rejects suggestions before submission.</x:v>
      </x:c>
      <x:c r="J179" s="10" t="str">
        <x:v>Free text numbers that conflict with bound official values are flagged for resolution. Required caveats cannot be deleted through formatting. Editing an approved narrative creates a new candidate.</x:v>
      </x:c>
      <x:c r="K179" s="10" t="str">
        <x:v>Change a narrative from 180 to 200 participants while its metric remains 180; reconciliation blocks approval until the discrepancy is resolved.</x:v>
      </x:c>
      <x:c r="L179" s="10" t="str">
        <x:v>TC-RPT-004-01 / TC-RPT-004-02</x:v>
      </x:c>
      <x:c r="M179" s="12" t="str">
        <x:v>apps/web/src/main.tsx; tools/browser/reporting-check.mjs; docs/IMPLEMENTATION.md</x:v>
      </x:c>
      <x:c r="N179" s="10" t="str">
        <x:f>IF(G179="Done",IF(AND(LEN(H179)&gt;0,LEN(M179)&gt;0),"Complete","Evidence required"),"Open")</x:f>
        <x:v>Open</x:v>
      </x:c>
      <x:c r="O179"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179" s="17" t="str">
        <x:v>PARTIAL</x:v>
      </x:c>
    </x:row>
    <x:row r="180" ht="64" customHeight="1">
      <x:c r="A180" s="10" t="str">
        <x:v>FR-RPT-005</x:v>
      </x:c>
      <x:c r="B180" s="10" t="str">
        <x:v>R1</x:v>
      </x:c>
      <x:c r="C180" s="10" t="str">
        <x:v>P1</x:v>
      </x:c>
      <x:c r="D180" s="10" t="str">
        <x:v>WP08</x:v>
      </x:c>
      <x:c r="E180" s="10" t="str">
        <x:v>Accessible export formats</x:v>
      </x:c>
      <x:c r="F180" s="10" t="str">
        <x:v>Reporting lead</x:v>
      </x:c>
      <x:c r="G180" s="12" t="str">
        <x:v>In progress</x:v>
      </x:c>
      <x:c r="H180" s="12" t="str"/>
      <x:c r="I180" s="10" t="str">
        <x:v>Export chooses DOCX or PDF for reports and XLSX or CSV for tables. The job validates snapshot, fonts, page breaks, headings, tables, figures, units, caveats and filter context. The artifact receipt identifies report version, format and access expiry.</x:v>
      </x:c>
      <x:c r="J180" s="10" t="str">
        <x:v>A rendering failure never marks publication successful. Accessible standard templates preserve headings and table structure; user supplied inaccessible content is flagged and cannot be claimed conformant without remediation.</x:v>
      </x:c>
      <x:c r="K180" s="10" t="str">
        <x:v>Export a 50-page report with twenty charts and confirm no clipped values or missing caveats and exact agreement with the snapshot.</x:v>
      </x:c>
      <x:c r="L180" s="10" t="str">
        <x:v>TC-RPT-005-01 / TC-RPT-005-02</x:v>
      </x:c>
      <x:c r="M180" s="12" t="str">
        <x:v>apps/api/impact_api/reporting.py; qualification/test_reporting.py; qualification/test_publication.py; docs/RELEASE-0.6.md; docs/RELEASE-0.8.md</x:v>
      </x:c>
      <x:c r="N180" s="10" t="str">
        <x:f>IF(G180="Done",IF(AND(LEN(H180)&gt;0,LEN(M180)&gt;0),"Complete","Evidence required"),"Open")</x:f>
        <x:v>Open</x:v>
      </x:c>
      <x:c r="O180" s="17"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P180" s="17" t="str">
        <x:v>PARTIAL</x:v>
      </x:c>
    </x:row>
    <x:row r="181" ht="64" customHeight="1">
      <x:c r="A181" s="10" t="str">
        <x:v>FR-RPT-006</x:v>
      </x:c>
      <x:c r="B181" s="10" t="str">
        <x:v>R2</x:v>
      </x:c>
      <x:c r="C181" s="10" t="str">
        <x:v>P1</x:v>
      </x:c>
      <x:c r="D181" s="10" t="str">
        <x:v>WP08</x:v>
      </x:c>
      <x:c r="E181" s="10" t="str">
        <x:v>Presentation and donor format output</x:v>
      </x:c>
      <x:c r="F181" s="10" t="str">
        <x:v>Reporting lead</x:v>
      </x:c>
      <x:c r="G181" s="12" t="str">
        <x:v>Not started</x:v>
      </x:c>
      <x:c r="H181" s="12" t="str"/>
      <x:c r="I181" s="10" t="str">
        <x:v>Slide and donor format output uses a versioned mapping from the approved snapshot to specified fields and narrative sections. Preview lists omitted optional content and unsupported mandatory fields. Approval binds the mapping version and intended audience.</x:v>
      </x:c>
      <x:c r="J181" s="10" t="str">
        <x:v>Do not retype authoritative numbers into editable placeholders without maintained bindings. Donor schemas with missing required data fail validation instead of receiving fabricated defaults.</x:v>
      </x:c>
      <x:c r="K181" s="10" t="str">
        <x:v>Produce a presentation and structured donor submission from the same snapshot; shared result values and periods agree despite different layouts.</x:v>
      </x:c>
      <x:c r="L181" s="10" t="str">
        <x:v>TC-RPT-006-01 / TC-RPT-006-02</x:v>
      </x:c>
      <x:c r="M181" s="12" t="str">
        <x:v>No accepted implementation evidence mapped.</x:v>
      </x:c>
      <x:c r="N181" s="10" t="str">
        <x:f>IF(G181="Done",IF(AND(LEN(H181)&gt;0,LEN(M181)&gt;0),"Complete","Evidence required"),"Open")</x:f>
        <x:v>Open</x:v>
      </x:c>
      <x:c r="O181" s="17" t="str">
        <x:v>No complete implementation and acceptance evidence mapped. Retain the original acceptance criteria; this requirement remains open.</x:v>
      </x:c>
      <x:c r="P181" s="17" t="str">
        <x:v>PENDING</x:v>
      </x:c>
    </x:row>
    <x:row r="182" ht="64" customHeight="1">
      <x:c r="A182" s="10" t="str">
        <x:v>FR-RPT-007</x:v>
      </x:c>
      <x:c r="B182" s="10" t="str">
        <x:v>R1</x:v>
      </x:c>
      <x:c r="C182" s="10" t="str">
        <x:v>P0</x:v>
      </x:c>
      <x:c r="D182" s="10" t="str">
        <x:v>WP08</x:v>
      </x:c>
      <x:c r="E182" s="10" t="str">
        <x:v>Publication control</x:v>
      </x:c>
      <x:c r="F182" s="10" t="str">
        <x:v>Reporting lead</x:v>
      </x:c>
      <x:c r="G182" s="12" t="str">
        <x:v>In progress</x:v>
      </x:c>
      <x:c r="H182" s="12" t="str"/>
      <x:c r="I182" s="10" t="str">
        <x:v>Publication preview shows the exact artifact version, audience, disclosure checks and expiry. An authorised publisher with current assurance confirms after report approval and required privacy review. Publication creates a disclosure record and stable versioned reference.</x:v>
      </x:c>
      <x:c r="J182" s="10" t="str">
        <x:v>Draft routes, predictable filenames and search indexing cannot expose unpublished content. A broader audience requires a new disclosure decision, not a simple link toggle.</x:v>
      </x:c>
      <x:c r="K182" s="10" t="str">
        <x:v>Guess the URL of a draft report, then publish its approved version to a funder; only the eligible funder can access the published artifact.</x:v>
      </x:c>
      <x:c r="L182" s="10" t="str">
        <x:v>TC-RPT-007-01 / TC-RPT-007-02</x:v>
      </x:c>
      <x:c r="M182" s="12" t="str">
        <x:v>apps/api/impact_api/reporting.py; qualification/test_reporting.py; qualification/test_publication.py; docs/RELEASE-0.6.md; docs/RELEASE-0.8.md</x:v>
      </x:c>
      <x:c r="N182" s="10" t="str">
        <x:f>IF(G182="Done",IF(AND(LEN(H182)&gt;0,LEN(M182)&gt;0),"Complete","Evidence required"),"Open")</x:f>
        <x:v>Open</x:v>
      </x:c>
      <x:c r="O182" s="17"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P182" s="17" t="str">
        <x:v>PARTIAL</x:v>
      </x:c>
    </x:row>
    <x:row r="183" ht="64" customHeight="1">
      <x:c r="A183" s="10" t="str">
        <x:v>FR-RPT-008</x:v>
      </x:c>
      <x:c r="B183" s="10" t="str">
        <x:v>R1</x:v>
      </x:c>
      <x:c r="C183" s="10" t="str">
        <x:v>P0</x:v>
      </x:c>
      <x:c r="D183" s="10" t="str">
        <x:v>WP08</x:v>
      </x:c>
      <x:c r="E183" s="10" t="str">
        <x:v>Distribution and scheduled delivery</x:v>
      </x:c>
      <x:c r="F183" s="10" t="str">
        <x:v>Reporting lead</x:v>
      </x:c>
      <x:c r="G183" s="12" t="str">
        <x:v>Not started</x:v>
      </x:c>
      <x:c r="H183" s="12" t="str"/>
      <x:c r="I183" s="10" t="str">
        <x:v>A delivery schedule specifies artifact version or explicit latest-approved policy, recipients, cadence and owner. At send time recheck recipient membership, purpose, artifact approval and disclosure. Sensitive deliveries send authenticated access notices rather than unprotected attachments.</x:v>
      </x:c>
      <x:c r="J183" s="10" t="str">
        <x:v>An unresolved provider timeout is tracked as unknown until reconciled; retries use delivery identity. Revoked recipients are skipped with a permitted reason, never silently retained from a cached list.</x:v>
      </x:c>
      <x:c r="K183" s="10" t="str">
        <x:v>Remove one of three recipients after scheduling; two eligible notices send and the removed recipient receives no protected artifact.</x:v>
      </x:c>
      <x:c r="L183" s="10" t="str">
        <x:v>TC-RPT-008-01 / TC-RPT-008-02</x:v>
      </x:c>
      <x:c r="M183" s="12" t="str">
        <x:v>No accepted implementation evidence mapped.</x:v>
      </x:c>
      <x:c r="N183" s="10" t="str">
        <x:f>IF(G183="Done",IF(AND(LEN(H183)&gt;0,LEN(M183)&gt;0),"Complete","Evidence required"),"Open")</x:f>
        <x:v>Open</x:v>
      </x:c>
      <x:c r="O183" s="17" t="str">
        <x:v>No complete implementation and acceptance evidence mapped. Retain the original acceptance criteria; this requirement remains open.</x:v>
      </x:c>
      <x:c r="P183" s="17" t="str">
        <x:v>PENDING</x:v>
      </x:c>
    </x:row>
    <x:row r="184" ht="64" customHeight="1">
      <x:c r="A184" s="10" t="str">
        <x:v>FR-RPT-009</x:v>
      </x:c>
      <x:c r="B184" s="10" t="str">
        <x:v>R1</x:v>
      </x:c>
      <x:c r="C184" s="10" t="str">
        <x:v>P0</x:v>
      </x:c>
      <x:c r="D184" s="10" t="str">
        <x:v>WP08</x:v>
      </x:c>
      <x:c r="E184" s="10" t="str">
        <x:v>Amend withdraw and supersede</x:v>
      </x:c>
      <x:c r="F184" s="10" t="str">
        <x:v>Reporting lead</x:v>
      </x:c>
      <x:c r="G184" s="12" t="str">
        <x:v>In progress</x:v>
      </x:c>
      <x:c r="H184" s="12" t="str"/>
      <x:c r="I184" s="10" t="str">
        <x:v>Withdrawal requires reason, authority and impact review. The live publication becomes unavailable or displays an approved withdrawal notice without protected content. Supersession links to a separately approved replacement and records affected recipients.</x:v>
      </x:c>
      <x:c r="J184" s="10" t="str">
        <x:v>Downloaded copies remain external disclosures. Notices refer to the obsolete version and corrective action; the system never claims recall of already downloaded bytes.</x:v>
      </x:c>
      <x:c r="K184" s="10" t="str">
        <x:v>Supersede report v1 with v2 and verify old links expose only permitted supersession status while the distribution log identifies v1 recipients.</x:v>
      </x:c>
      <x:c r="L184" s="10" t="str">
        <x:v>TC-RPT-009-01 / TC-RPT-009-02</x:v>
      </x:c>
      <x:c r="M184" s="12" t="str">
        <x:v>apps/api/impact_api/reporting.py; qualification/test_reporting.py; qualification/test_publication.py; docs/RELEASE-0.6.md; docs/RELEASE-0.8.md</x:v>
      </x:c>
      <x:c r="N184" s="10" t="str">
        <x:f>IF(G184="Done",IF(AND(LEN(H184)&gt;0,LEN(M184)&gt;0),"Complete","Evidence required"),"Open")</x:f>
        <x:v>Open</x:v>
      </x:c>
      <x:c r="O184" s="17"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P184" s="17" t="str">
        <x:v>PARTIAL</x:v>
      </x:c>
    </x:row>
    <x:row r="185" ht="64" customHeight="1">
      <x:c r="A185" s="10" t="str">
        <x:v>FR-RPT-010</x:v>
      </x:c>
      <x:c r="B185" s="10" t="str">
        <x:v>R1</x:v>
      </x:c>
      <x:c r="C185" s="10" t="str">
        <x:v>P0</x:v>
      </x:c>
      <x:c r="D185" s="10" t="str">
        <x:v>WP08</x:v>
      </x:c>
      <x:c r="E185" s="10" t="str">
        <x:v>Reporting reconciliation</x:v>
      </x:c>
      <x:c r="F185" s="10" t="str">
        <x:v>Reporting lead</x:v>
      </x:c>
      <x:c r="G185" s="12" t="str">
        <x:v>In progress</x:v>
      </x:c>
      <x:c r="H185" s="12" t="str"/>
      <x:c r="I185" s="10" t="str">
        <x:v>Preapproval reconciliation compares all metric bindings, tables, chart labels and factual narrative numbers against the snapshot. Version comparison separates source, definition, target, calculation, period and narrative changes.</x:v>
      </x:c>
      <x:c r="J185" s="10" t="str">
        <x:v>No unexplained official numeric difference may pass review. A manually written number requires an explicit source binding or a reviewed non-result classification such as a date or section number.</x:v>
      </x:c>
      <x:c r="K185" s="10" t="str">
        <x:v>Change one approved metric and identify every affected narrative and chart location before approving the new report candidate.</x:v>
      </x:c>
      <x:c r="L185" s="10" t="str">
        <x:v>TC-RPT-010-01 / TC-RPT-010-02</x:v>
      </x:c>
      <x:c r="M185" s="12" t="str">
        <x:v>apps/api/impact_api/reporting.py; qualification/test_reporting.py; qualification/test_publication.py; docs/RELEASE-0.6.md; docs/RELEASE-0.8.md</x:v>
      </x:c>
      <x:c r="N185" s="10" t="str">
        <x:f>IF(G185="Done",IF(AND(LEN(H185)&gt;0,LEN(M185)&gt;0),"Complete","Evidence required"),"Open")</x:f>
        <x:v>Open</x:v>
      </x:c>
      <x:c r="O185" s="17" t="str">
        <x:v>Internal reports bind to a locked snapshot, approved template and official result/evidence revisions. Independent approval records an append-only reconciliation digest. Numeric narrative claims must use known binding placeholders; deterministic semantic HTML and CSV artifacts are frozen for an independently reviewed, named-recipient, expiring disclosure and every view/download is logged. Withdrawal closes access without deleting artifacts or history. Charts, PDF/DOCX/XLSX, anonymous publication, delivery, supersession notices and distributed-artifact handling remain open.</x:v>
      </x:c>
      <x:c r="P185" s="17" t="str">
        <x:v>PARTIAL</x:v>
      </x:c>
    </x:row>
    <x:row r="186" ht="64" customHeight="1">
      <x:c r="A186" s="10" t="str">
        <x:v>FR-RPT-011</x:v>
      </x:c>
      <x:c r="B186" s="10" t="str">
        <x:v>R2</x:v>
      </x:c>
      <x:c r="C186" s="10" t="str">
        <x:v>P1</x:v>
      </x:c>
      <x:c r="D186" s="10" t="str">
        <x:v>WP08</x:v>
      </x:c>
      <x:c r="E186" s="10" t="str">
        <x:v>Transparency publication</x:v>
      </x:c>
      <x:c r="F186" s="10" t="str">
        <x:v>Reporting lead</x:v>
      </x:c>
      <x:c r="G186" s="12" t="str">
        <x:v>Not started</x:v>
      </x:c>
      <x:c r="H186" s="12" t="str"/>
      <x:c r="I186" s="10" t="str">
        <x:v>The publication workspace selects a specifically qualified IATI standard profile, organisation identity and mapping. Validation lists mandatory fields, code list errors and disclosure issues. Approved export or direct publication records the payload version and external acknowledgement.</x:v>
      </x:c>
      <x:c r="J186" s="10" t="str">
        <x:v>Do not claim support for an unspecified schema version. External rejection leaves delivery failed or correction required; removal follows the qualified route and may not erase third party copies.</x:v>
      </x:c>
      <x:c r="K186" s="10" t="str">
        <x:v>Validate a representative payload, fix an invalid code, approve the exact version and reconcile its external acknowledgement to the internal publication record.</x:v>
      </x:c>
      <x:c r="L186" s="10" t="str">
        <x:v>TC-RPT-011-01 / TC-RPT-011-02</x:v>
      </x:c>
      <x:c r="M186" s="12" t="str">
        <x:v>No accepted implementation evidence mapped.</x:v>
      </x:c>
      <x:c r="N186" s="10" t="str">
        <x:f>IF(G186="Done",IF(AND(LEN(H186)&gt;0,LEN(M186)&gt;0),"Complete","Evidence required"),"Open")</x:f>
        <x:v>Open</x:v>
      </x:c>
      <x:c r="O186" s="17" t="str">
        <x:v>No complete implementation and acceptance evidence mapped. Retain the original acceptance criteria; this requirement remains open.</x:v>
      </x:c>
      <x:c r="P186" s="17" t="str">
        <x:v>PENDING</x:v>
      </x:c>
    </x:row>
    <x:row r="187" ht="64" customHeight="1">
      <x:c r="A187" s="10" t="str">
        <x:v>FR-RPT-012</x:v>
      </x:c>
      <x:c r="B187" s="10" t="str">
        <x:v>R1</x:v>
      </x:c>
      <x:c r="C187" s="10" t="str">
        <x:v>P1</x:v>
      </x:c>
      <x:c r="D187" s="10" t="str">
        <x:v>WP08</x:v>
      </x:c>
      <x:c r="E187" s="10" t="str">
        <x:v>Report evidence package</x:v>
      </x:c>
      <x:c r="F187" s="10" t="str">
        <x:v>Reporting lead</x:v>
      </x:c>
      <x:c r="G187" s="12" t="str">
        <x:v>Not started</x:v>
      </x:c>
      <x:c r="H187" s="12" t="str"/>
      <x:c r="I187" s="10" t="str">
        <x:v>An audit package contains the permitted report, snapshot manifest, dictionary, result lineage, source references, decisions and caveats. File integrity and a content inventory allow the recipient to verify completeness. Missing or withheld materials are listed without disclosing their content.</x:v>
      </x:c>
      <x:c r="J187" s="10" t="str">
        <x:v>Package scope can be narrower than full tenant access. Export authority is checked at generation and download; evidence restrictions remain enforced.</x:v>
      </x:c>
      <x:c r="K187" s="10" t="str">
        <x:v>Reconstruct a published pooled ratio from the package and identify one lawfully withheld attachment without receiving its private data.</x:v>
      </x:c>
      <x:c r="L187" s="10" t="str">
        <x:v>TC-RPT-012-01 / TC-RPT-012-02</x:v>
      </x:c>
      <x:c r="M187" s="12" t="str">
        <x:v>No accepted implementation evidence mapped.</x:v>
      </x:c>
      <x:c r="N187" s="10" t="str">
        <x:f>IF(G187="Done",IF(AND(LEN(H187)&gt;0,LEN(M187)&gt;0),"Complete","Evidence required"),"Open")</x:f>
        <x:v>Open</x:v>
      </x:c>
      <x:c r="O187" s="17" t="str">
        <x:v>No complete implementation and acceptance evidence mapped. Retain the original acceptance criteria; this requirement remains open.</x:v>
      </x:c>
      <x:c r="P187" s="17" t="str">
        <x:v>PENDING</x:v>
      </x:c>
    </x:row>
    <x:row r="188" ht="64" customHeight="1">
      <x:c r="A188" s="10" t="str">
        <x:v>FR-FIN-001</x:v>
      </x:c>
      <x:c r="B188" s="10" t="str">
        <x:v>R1</x:v>
      </x:c>
      <x:c r="C188" s="10" t="str">
        <x:v>P1</x:v>
      </x:c>
      <x:c r="D188" s="10" t="str">
        <x:v>WP10</x:v>
      </x:c>
      <x:c r="E188" s="10" t="str">
        <x:v>Funding and grant context</x:v>
      </x:c>
      <x:c r="F188" s="10" t="str">
        <x:v>Finance domain lead</x:v>
      </x:c>
      <x:c r="G188" s="12" t="str">
        <x:v>Not started</x:v>
      </x:c>
      <x:c r="H188" s="12" t="str"/>
      <x:c r="I188" s="10" t="str">
        <x:v>Funding records capture agreement identity, funder, programme links, amount, currency, dates, amendments and reporting obligations. Confidential clauses and attachments use separate field permissions. Subgrant relationships preserve their own agreement version.</x:v>
      </x:c>
      <x:c r="J188" s="10" t="str">
        <x:v>A funder relation does not create a user grant or ownership share in outcomes. Amount changes require amendment history.</x:v>
      </x:c>
      <x:c r="K188" s="10" t="str">
        <x:v>Link two donors to one project; each external user sees only their approved report view and no automatic access to the other's agreement.</x:v>
      </x:c>
      <x:c r="L188" s="10" t="str">
        <x:v>TC-FIN-001-01 / TC-FIN-001-02</x:v>
      </x:c>
      <x:c r="M188" s="12" t="str">
        <x:v>No accepted implementation evidence mapped.</x:v>
      </x:c>
      <x:c r="N188" s="10" t="str">
        <x:f>IF(G188="Done",IF(AND(LEN(H188)&gt;0,LEN(M188)&gt;0),"Complete","Evidence required"),"Open")</x:f>
        <x:v>Open</x:v>
      </x:c>
      <x:c r="O188" s="17" t="str">
        <x:v>No complete implementation and acceptance evidence mapped. Retain the original acceptance criteria; this requirement remains open.</x:v>
      </x:c>
      <x:c r="P188" s="17" t="str">
        <x:v>PENDING</x:v>
      </x:c>
    </x:row>
    <x:row r="189" ht="51" customHeight="1">
      <x:c r="A189" s="10" t="str">
        <x:v>FR-FIN-002</x:v>
      </x:c>
      <x:c r="B189" s="10" t="str">
        <x:v>R2</x:v>
      </x:c>
      <x:c r="C189" s="10" t="str">
        <x:v>P1</x:v>
      </x:c>
      <x:c r="D189" s="10" t="str">
        <x:v>WP10</x:v>
      </x:c>
      <x:c r="E189" s="10" t="str">
        <x:v>Budget planning</x:v>
      </x:c>
      <x:c r="F189" s="10" t="str">
        <x:v>Finance domain lead</x:v>
      </x:c>
      <x:c r="G189" s="12" t="str">
        <x:v>Not started</x:v>
      </x:c>
      <x:c r="H189" s="12" t="str"/>
      <x:c r="I189" s="10" t="str">
        <x:v>A budget version contains lines by activity, category, partner and period with currency and approval route. Draft revisions compare against the original and current baseline. Approval pins the budget and its rate assumptions.</x:v>
      </x:c>
      <x:c r="J189" s="10" t="str">
        <x:v>Actual expenditure remains an independent source dataset. Changing a budget cannot alter transaction amounts or historically reported variance.</x:v>
      </x:c>
      <x:c r="K189" s="10" t="str">
        <x:v>Raise an approved budget from 100 to 120; the original comparison remains available and imported actual spending stays unchanged.</x:v>
      </x:c>
      <x:c r="L189" s="10" t="str">
        <x:v>TC-FIN-002-01 / TC-FIN-002-02</x:v>
      </x:c>
      <x:c r="M189" s="12" t="str">
        <x:v>No accepted implementation evidence mapped.</x:v>
      </x:c>
      <x:c r="N189" s="10" t="str">
        <x:f>IF(G189="Done",IF(AND(LEN(H189)&gt;0,LEN(M189)&gt;0),"Complete","Evidence required"),"Open")</x:f>
        <x:v>Open</x:v>
      </x:c>
      <x:c r="O189" s="17" t="str">
        <x:v>No complete implementation and acceptance evidence mapped. Retain the original acceptance criteria; this requirement remains open.</x:v>
      </x:c>
      <x:c r="P189" s="17" t="str">
        <x:v>PENDING</x:v>
      </x:c>
    </x:row>
    <x:row r="190" ht="64" customHeight="1">
      <x:c r="A190" s="10" t="str">
        <x:v>FR-FIN-003</x:v>
      </x:c>
      <x:c r="B190" s="10" t="str">
        <x:v>R2</x:v>
      </x:c>
      <x:c r="C190" s="10" t="str">
        <x:v>P1</x:v>
      </x:c>
      <x:c r="D190" s="10" t="str">
        <x:v>WP10</x:v>
      </x:c>
      <x:c r="E190" s="10" t="str">
        <x:v>Expenditure ingestion</x:v>
      </x:c>
      <x:c r="F190" s="10" t="str">
        <x:v>Finance domain lead</x:v>
      </x:c>
      <x:c r="G190" s="12" t="str">
        <x:v>Not started</x:v>
      </x:c>
      <x:c r="H190" s="12" t="str"/>
      <x:c r="I190" s="10" t="str">
        <x:v>Expenditure ingestion uses a stable source transaction key, posting and event dates, amount, currency, category and funding allocation. Mapping validates control totals and adjustment semantics. Repeated files reconcile unchanged records and explicit correction revisions.</x:v>
      </x:c>
      <x:c r="J190" s="10" t="str">
        <x:v>Reversal and replacement are separate transaction semantics. A repeated upload cannot count the same expense again; unbalanced source totals block approval or require an explicit permitted exception.</x:v>
      </x:c>
      <x:c r="K190" s="10" t="str">
        <x:v>Import an amended transaction file twice and verify only the intended corrected expenditure balance contributes to analysis.</x:v>
      </x:c>
      <x:c r="L190" s="10" t="str">
        <x:v>TC-FIN-003-01 / TC-FIN-003-02</x:v>
      </x:c>
      <x:c r="M190" s="12" t="str">
        <x:v>No accepted implementation evidence mapped.</x:v>
      </x:c>
      <x:c r="N190" s="10" t="str">
        <x:f>IF(G190="Done",IF(AND(LEN(H190)&gt;0,LEN(M190)&gt;0),"Complete","Evidence required"),"Open")</x:f>
        <x:v>Open</x:v>
      </x:c>
      <x:c r="O190" s="17" t="str">
        <x:v>No complete implementation and acceptance evidence mapped. Retain the original acceptance criteria; this requirement remains open.</x:v>
      </x:c>
      <x:c r="P190" s="17" t="str">
        <x:v>PENDING</x:v>
      </x:c>
    </x:row>
    <x:row r="191" ht="64" customHeight="1">
      <x:c r="A191" s="10" t="str">
        <x:v>FR-FIN-004</x:v>
      </x:c>
      <x:c r="B191" s="10" t="str">
        <x:v>R1</x:v>
      </x:c>
      <x:c r="C191" s="10" t="str">
        <x:v>P0</x:v>
      </x:c>
      <x:c r="D191" s="10" t="str">
        <x:v>WP10</x:v>
      </x:c>
      <x:c r="E191" s="10" t="str">
        <x:v>Currency treatment</x:v>
      </x:c>
      <x:c r="F191" s="10" t="str">
        <x:v>Finance domain lead</x:v>
      </x:c>
      <x:c r="G191" s="12" t="str">
        <x:v>Not started</x:v>
      </x:c>
      <x:c r="H191" s="12" t="str"/>
      <x:c r="I191" s="10" t="str">
        <x:v>Currency conversion requires source and reporting currency, rate, source, effective date and rate direction. A report snapshot pins these values. Original transactions remain in original currency; a new rate creates a new analytical view or restatement.</x:v>
      </x:c>
      <x:c r="J191" s="10" t="str">
        <x:v>No silent current-rate conversion of historical publications. Missing rates produce unavailable converted values rather than zero or assumed parity.</x:v>
      </x:c>
      <x:c r="K191" s="10" t="str">
        <x:v>Convert USD 100 at 83 INR per USD to INR 8300; a later rate of 84 creates a new view while the published historical value remains 8300.</x:v>
      </x:c>
      <x:c r="L191" s="10" t="str">
        <x:v>TC-FIN-004-01 / TC-FIN-004-02</x:v>
      </x:c>
      <x:c r="M191" s="12" t="str">
        <x:v>No accepted implementation evidence mapped.</x:v>
      </x:c>
      <x:c r="N191" s="10" t="str">
        <x:f>IF(G191="Done",IF(AND(LEN(H191)&gt;0,LEN(M191)&gt;0),"Complete","Evidence required"),"Open")</x:f>
        <x:v>Open</x:v>
      </x:c>
      <x:c r="O191" s="17" t="str">
        <x:v>No complete implementation and acceptance evidence mapped. Retain the original acceptance criteria; this requirement remains open.</x:v>
      </x:c>
      <x:c r="P191" s="17" t="str">
        <x:v>PENDING</x:v>
      </x:c>
    </x:row>
    <x:row r="192" ht="64" customHeight="1">
      <x:c r="A192" s="10" t="str">
        <x:v>FR-FIN-005</x:v>
      </x:c>
      <x:c r="B192" s="10" t="str">
        <x:v>R2</x:v>
      </x:c>
      <x:c r="C192" s="10" t="str">
        <x:v>P1</x:v>
      </x:c>
      <x:c r="D192" s="10" t="str">
        <x:v>WP10</x:v>
      </x:c>
      <x:c r="E192" s="10" t="str">
        <x:v>Variance and forecast</x:v>
      </x:c>
      <x:c r="F192" s="10" t="str">
        <x:v>Finance domain lead</x:v>
      </x:c>
      <x:c r="G192" s="12" t="str">
        <x:v>Not started</x:v>
      </x:c>
      <x:c r="H192" s="12" t="str"/>
      <x:c r="I192" s="10" t="str">
        <x:v>Variance views select budget version, actual cutoff, commitments and forecast method. Display budget minus expenditure as remaining budget, with sign convention labelled. Forecasts contain assumptions and author or method version separately from actuals.</x:v>
      </x:c>
      <x:c r="J192" s="10" t="str">
        <x:v>Missing spending data is not treated as underspend. A forecast cannot enter the actual expenditure series or imply programme impact success.</x:v>
      </x:c>
      <x:c r="K192" s="10" t="str">
        <x:v>Budget 100, recorded spending 60 and forecast total 110 show 40 currently unspent and a forecast overrun of ten, as separate facts.</x:v>
      </x:c>
      <x:c r="L192" s="10" t="str">
        <x:v>TC-FIN-005-01 / TC-FIN-005-02</x:v>
      </x:c>
      <x:c r="M192" s="12" t="str">
        <x:v>No accepted implementation evidence mapped.</x:v>
      </x:c>
      <x:c r="N192" s="10" t="str">
        <x:f>IF(G192="Done",IF(AND(LEN(H192)&gt;0,LEN(M192)&gt;0),"Complete","Evidence required"),"Open")</x:f>
        <x:v>Open</x:v>
      </x:c>
      <x:c r="O192" s="17" t="str">
        <x:v>No complete implementation and acceptance evidence mapped. Retain the original acceptance criteria; this requirement remains open.</x:v>
      </x:c>
      <x:c r="P192" s="17" t="str">
        <x:v>PENDING</x:v>
      </x:c>
    </x:row>
    <x:row r="193" ht="51" customHeight="1">
      <x:c r="A193" s="10" t="str">
        <x:v>FR-FIN-006</x:v>
      </x:c>
      <x:c r="B193" s="10" t="str">
        <x:v>R2</x:v>
      </x:c>
      <x:c r="C193" s="10" t="str">
        <x:v>P1</x:v>
      </x:c>
      <x:c r="D193" s="10" t="str">
        <x:v>WP10</x:v>
      </x:c>
      <x:c r="E193" s="10" t="str">
        <x:v>Shared costs and allocations</x:v>
      </x:c>
      <x:c r="F193" s="10" t="str">
        <x:v>Finance domain lead</x:v>
      </x:c>
      <x:c r="G193" s="12" t="str">
        <x:v>Not started</x:v>
      </x:c>
      <x:c r="H193" s="12" t="str"/>
      <x:c r="I193" s="10" t="str">
        <x:v>Allocation rules specify source cost, recipient projects or donors, basis, weights and effective version. Preview reconciles allocated amounts and rounding remainder. Approval fixes the rule for the relevant snapshot.</x:v>
      </x:c>
      <x:c r="J193" s="10" t="str">
        <x:v>Weights must reconcile to the declared total. A residual rounding unit is assigned by a deterministic stated rule; no analytical double charging across overlapping views.</x:v>
      </x:c>
      <x:c r="K193" s="10" t="str">
        <x:v>Allocate 100 at 60 and 40 percent; the two outputs sum to 100 and a repeated import creates no additional allocation.</x:v>
      </x:c>
      <x:c r="L193" s="10" t="str">
        <x:v>TC-FIN-006-01 / TC-FIN-006-02</x:v>
      </x:c>
      <x:c r="M193" s="12" t="str">
        <x:v>No accepted implementation evidence mapped.</x:v>
      </x:c>
      <x:c r="N193" s="10" t="str">
        <x:f>IF(G193="Done",IF(AND(LEN(H193)&gt;0,LEN(M193)&gt;0),"Complete","Evidence required"),"Open")</x:f>
        <x:v>Open</x:v>
      </x:c>
      <x:c r="O193" s="17" t="str">
        <x:v>No complete implementation and acceptance evidence mapped. Retain the original acceptance criteria; this requirement remains open.</x:v>
      </x:c>
      <x:c r="P193" s="17" t="str">
        <x:v>PENDING</x:v>
      </x:c>
    </x:row>
    <x:row r="194" ht="51" customHeight="1">
      <x:c r="A194" s="10" t="str">
        <x:v>FR-FIN-007</x:v>
      </x:c>
      <x:c r="B194" s="10" t="str">
        <x:v>R3</x:v>
      </x:c>
      <x:c r="C194" s="10" t="str">
        <x:v>P2</x:v>
      </x:c>
      <x:c r="D194" s="10" t="str">
        <x:v>WP10</x:v>
      </x:c>
      <x:c r="E194" s="10" t="str">
        <x:v>Cost effectiveness</x:v>
      </x:c>
      <x:c r="F194" s="10" t="str">
        <x:v>Finance domain lead</x:v>
      </x:c>
      <x:c r="G194" s="12" t="str">
        <x:v>Not started</x:v>
      </x:c>
      <x:c r="H194" s="12" t="str"/>
      <x:c r="I194" s="10" t="str">
        <x:v>Cost effectiveness chooses cost scope, reporting currency and rate basis, eligible outcome denominator, matched period and exclusions. Calculation returns the deterministic ratio with limitations and source lineage.</x:v>
      </x:c>
      <x:c r="J194" s="10" t="str">
        <x:v>Zero or incompatible denominator gives undefined. Unique participants require authorised deduplication; the ratio is not automatically labelled causal return on investment.</x:v>
      </x:c>
      <x:c r="K194" s="10" t="str">
        <x:v>Approved cost 900 over 180 unique participants produces cost per participant five, with shared-cost exclusions explicitly listed.</x:v>
      </x:c>
      <x:c r="L194" s="10" t="str">
        <x:v>TC-FIN-007-01 / TC-FIN-007-02</x:v>
      </x:c>
      <x:c r="M194" s="12" t="str">
        <x:v>No accepted implementation evidence mapped.</x:v>
      </x:c>
      <x:c r="N194" s="10" t="str">
        <x:f>IF(G194="Done",IF(AND(LEN(H194)&gt;0,LEN(M194)&gt;0),"Complete","Evidence required"),"Open")</x:f>
        <x:v>Open</x:v>
      </x:c>
      <x:c r="O194" s="17" t="str">
        <x:v>No complete implementation and acceptance evidence mapped. Retain the original acceptance criteria; this requirement remains open.</x:v>
      </x:c>
      <x:c r="P194" s="17" t="str">
        <x:v>PENDING</x:v>
      </x:c>
    </x:row>
    <x:row r="195" ht="64" customHeight="1">
      <x:c r="A195" s="10" t="str">
        <x:v>FR-FIN-008</x:v>
      </x:c>
      <x:c r="B195" s="10" t="str">
        <x:v>R1</x:v>
      </x:c>
      <x:c r="C195" s="10" t="str">
        <x:v>P0</x:v>
      </x:c>
      <x:c r="D195" s="10" t="str">
        <x:v>WP10</x:v>
      </x:c>
      <x:c r="E195" s="10" t="str">
        <x:v>Finance permissions and audit</x:v>
      </x:c>
      <x:c r="F195" s="10" t="str">
        <x:v>Finance domain lead</x:v>
      </x:c>
      <x:c r="G195" s="12" t="str">
        <x:v>Not started</x:v>
      </x:c>
      <x:c r="H195" s="12" t="str"/>
      <x:c r="I195" s="10" t="str">
        <x:v>Financial capability checks apply to lines, attachments, approval and export separately. A programme dashboard may display an approved summary disclosure while transaction details remain restricted. Audit records identify financial reads and mutations without logging secret values.</x:v>
      </x:c>
      <x:c r="J195" s="10" t="str">
        <x:v>Connection administration does not grant access to every ledger field. A finance approver cannot approve a budget revision they authored.</x:v>
      </x:c>
      <x:c r="K195" s="10" t="str">
        <x:v>A programme viewer opens a published budget total but cannot retrieve transaction rows or confidential clauses through drill down, API or export.</x:v>
      </x:c>
      <x:c r="L195" s="10" t="str">
        <x:v>TC-FIN-008-01 / TC-FIN-008-02</x:v>
      </x:c>
      <x:c r="M195" s="12" t="str">
        <x:v>No accepted implementation evidence mapped.</x:v>
      </x:c>
      <x:c r="N195" s="10" t="str">
        <x:f>IF(G195="Done",IF(AND(LEN(H195)&gt;0,LEN(M195)&gt;0),"Complete","Evidence required"),"Open")</x:f>
        <x:v>Open</x:v>
      </x:c>
      <x:c r="O195" s="17" t="str">
        <x:v>No complete implementation and acceptance evidence mapped. Retain the original acceptance criteria; this requirement remains open.</x:v>
      </x:c>
      <x:c r="P195" s="17" t="str">
        <x:v>PENDING</x:v>
      </x:c>
    </x:row>
    <x:row r="196" ht="64" customHeight="1">
      <x:c r="A196" s="10" t="str">
        <x:v>FR-INT-001</x:v>
      </x:c>
      <x:c r="B196" s="10" t="str">
        <x:v>R1</x:v>
      </x:c>
      <x:c r="C196" s="10" t="str">
        <x:v>P0</x:v>
      </x:c>
      <x:c r="D196" s="10" t="str">
        <x:v>WP11</x:v>
      </x:c>
      <x:c r="E196" s="10" t="str">
        <x:v>Connector qualification</x:v>
      </x:c>
      <x:c r="F196" s="10" t="str">
        <x:v>Integration lead</x:v>
      </x:c>
      <x:c r="G196" s="12" t="str">
        <x:v>Not started</x:v>
      </x:c>
      <x:c r="H196" s="12" t="str"/>
      <x:c r="I196" s="10" t="str">
        <x:v>Each connector has a qualification profile naming supported objects, direction, upstream version, keys, pagination, updates, deletions, attachments, limits and authoritative fields. Activation requires a passing fixture and approved mapping for the selected scope.</x:v>
      </x:c>
      <x:c r="J196" s="10" t="str">
        <x:v>Unsupported upstream capabilities are declared in the configuration screen. Source deletions are not propagated as destructive actions without the reviewed deletion contract.</x:v>
      </x:c>
      <x:c r="K196" s="10" t="str">
        <x:v>Exercise create, update, delete, replay and attachment cases; reconcile source and destination counts and every unsupported field in a qualification manifest.</x:v>
      </x:c>
      <x:c r="L196" s="10" t="str">
        <x:v>TC-INT-001-01 / TC-INT-001-02</x:v>
      </x:c>
      <x:c r="M196" s="12" t="str">
        <x:v>No accepted implementation evidence mapped.</x:v>
      </x:c>
      <x:c r="N196" s="10" t="str">
        <x:f>IF(G196="Done",IF(AND(LEN(H196)&gt;0,LEN(M196)&gt;0),"Complete","Evidence required"),"Open")</x:f>
        <x:v>Open</x:v>
      </x:c>
      <x:c r="O196" s="17" t="str">
        <x:v>No complete implementation and acceptance evidence mapped. Retain the original acceptance criteria; this requirement remains open.</x:v>
      </x:c>
      <x:c r="P196" s="17" t="str">
        <x:v>PENDING</x:v>
      </x:c>
    </x:row>
    <x:row r="197" ht="64" customHeight="1">
      <x:c r="A197" s="10" t="str">
        <x:v>FR-INT-002</x:v>
      </x:c>
      <x:c r="B197" s="10" t="str">
        <x:v>R1</x:v>
      </x:c>
      <x:c r="C197" s="10" t="str">
        <x:v>P0</x:v>
      </x:c>
      <x:c r="D197" s="10" t="str">
        <x:v>WP11</x:v>
      </x:c>
      <x:c r="E197" s="10" t="str">
        <x:v>Connection lifecycle</x:v>
      </x:c>
      <x:c r="F197" s="10" t="str">
        <x:v>Integration lead</x:v>
      </x:c>
      <x:c r="G197" s="12" t="str">
        <x:v>Not started</x:v>
      </x:c>
      <x:c r="H197" s="12" t="str"/>
      <x:c r="I197" s="10" t="str">
        <x:v>The connection owner enters credentials through a protected flow and selects bounded scope. Testing uses a minimal sample and displays safe identity and permission results. Activation records expiry, cadence, mapping and responsible backup owner.</x:v>
      </x:c>
      <x:c r="J197" s="10" t="str">
        <x:v>Secrets are write only after entry. Revocation stops future jobs and invalidates old credentials; no hidden fallback account is used.</x:v>
      </x:c>
      <x:c r="K197" s="10" t="str">
        <x:v>Revoke upstream authorisation while a run is queued; the run reports credential unavailable and does not continue under another person's token.</x:v>
      </x:c>
      <x:c r="L197" s="10" t="str">
        <x:v>TC-INT-002-01 / TC-INT-002-02</x:v>
      </x:c>
      <x:c r="M197" s="12" t="str">
        <x:v>No accepted implementation evidence mapped.</x:v>
      </x:c>
      <x:c r="N197" s="10" t="str">
        <x:f>IF(G197="Done",IF(AND(LEN(H197)&gt;0,LEN(M197)&gt;0),"Complete","Evidence required"),"Open")</x:f>
        <x:v>Open</x:v>
      </x:c>
      <x:c r="O197" s="17" t="str">
        <x:v>No complete implementation and acceptance evidence mapped. Retain the original acceptance criteria; this requirement remains open.</x:v>
      </x:c>
      <x:c r="P197" s="17" t="str">
        <x:v>PENDING</x:v>
      </x:c>
    </x:row>
    <x:row r="198" ht="64" customHeight="1">
      <x:c r="A198" s="10" t="str">
        <x:v>FR-INT-003</x:v>
      </x:c>
      <x:c r="B198" s="10" t="str">
        <x:v>R1</x:v>
      </x:c>
      <x:c r="C198" s="10" t="str">
        <x:v>P0</x:v>
      </x:c>
      <x:c r="D198" s="10" t="str">
        <x:v>WP11</x:v>
      </x:c>
      <x:c r="E198" s="10" t="str">
        <x:v>Reliable job execution</x:v>
      </x:c>
      <x:c r="F198" s="10" t="str">
        <x:v>Integration lead</x:v>
      </x:c>
      <x:c r="G198" s="12" t="str">
        <x:v>Not started</x:v>
      </x:c>
      <x:c r="H198" s="12" t="str"/>
      <x:c r="I198" s="10" t="str">
        <x:v>A run has source checkpoint, mapping version, item identities and attempts. Transient failures use bounded retries; permanent schema or policy failures pause. Poison items are quarantined while permitted partial processing continues and reconciles outcomes.</x:v>
      </x:c>
      <x:c r="J198" s="10" t="str">
        <x:v>Do not advance a committed checkpoint past unapplied required items without a recoverable exception manifest. Default transient retry schedule is one, five, fifteen and sixty minutes, then manual review.</x:v>
      </x:c>
      <x:c r="K198" s="10" t="str">
        <x:v>Interrupt after 60 of 100 records and resume; the first 60 are recognised and exactly 40 remaining intended effects occur.</x:v>
      </x:c>
      <x:c r="L198" s="10" t="str">
        <x:v>TC-INT-003-01 / TC-INT-003-02</x:v>
      </x:c>
      <x:c r="M198" s="12" t="str">
        <x:v>No accepted implementation evidence mapped.</x:v>
      </x:c>
      <x:c r="N198" s="10" t="str">
        <x:f>IF(G198="Done",IF(AND(LEN(H198)&gt;0,LEN(M198)&gt;0),"Complete","Evidence required"),"Open")</x:f>
        <x:v>Open</x:v>
      </x:c>
      <x:c r="O198" s="17" t="str">
        <x:v>No complete implementation and acceptance evidence mapped. Retain the original acceptance criteria; this requirement remains open.</x:v>
      </x:c>
      <x:c r="P198" s="17" t="str">
        <x:v>PENDING</x:v>
      </x:c>
    </x:row>
    <x:row r="199" ht="64" customHeight="1">
      <x:c r="A199" s="10" t="str">
        <x:v>FR-INT-004</x:v>
      </x:c>
      <x:c r="B199" s="10" t="str">
        <x:v>R1</x:v>
      </x:c>
      <x:c r="C199" s="10" t="str">
        <x:v>P1</x:v>
      </x:c>
      <x:c r="D199" s="10" t="str">
        <x:v>WP11</x:v>
      </x:c>
      <x:c r="E199" s="10" t="str">
        <x:v>API completeness and consistency</x:v>
      </x:c>
      <x:c r="F199" s="10" t="str">
        <x:v>Integration lead</x:v>
      </x:c>
      <x:c r="G199" s="12" t="str">
        <x:v>In progress</x:v>
      </x:c>
      <x:c r="H199" s="12" t="str"/>
      <x:c r="I199" s="10" t="str">
        <x:v>Business APIs expose the resource and command catalogue in the interface section. Responses include stable ID, revision, business state and permitted metadata. Lists support stable pagination, documented filters and explicit projection of allowed fields.</x:v>
      </x:c>
      <x:c r="J199" s="10" t="str">
        <x:v>The API cannot bypass interface validation, hidden fields, workflow or publication checks. Bulk requests return safe per item outcomes and no cross tenant existence signals.</x:v>
      </x:c>
      <x:c r="K199" s="10" t="str">
        <x:v>Create a draft indicator through the API, submit it and attempt direct approval as its author; the same independence rule blocks it.</x:v>
      </x:c>
      <x:c r="L199" s="10" t="str">
        <x:v>TC-INT-004-01 / TC-INT-004-02</x:v>
      </x:c>
      <x:c r="M199" s="12" t="str">
        <x:v>apps/api/impact_api/store.py; apps/api/impact_api/auth.py; qualification/test_live_application.py</x:v>
      </x:c>
      <x:c r="N199" s="10" t="str">
        <x:f>IF(G199="Done",IF(AND(LEN(H199)&gt;0,LEN(M199)&gt;0),"Complete","Evidence required"),"Open")</x:f>
        <x:v>Open</x:v>
      </x:c>
      <x:c r="O199" s="17" t="str">
        <x:v>Implemented routes enforce explicit grants, tenant fences, natural-person independence, revisions and retry receipts. Native database concurrency, every future module, audit tamper evidence and production assurance remain open.</x:v>
      </x:c>
      <x:c r="P199" s="17" t="str">
        <x:v>PARTIAL</x:v>
      </x:c>
    </x:row>
    <x:row r="200" ht="64" customHeight="1">
      <x:c r="A200" s="10" t="str">
        <x:v>FR-INT-005</x:v>
      </x:c>
      <x:c r="B200" s="10" t="str">
        <x:v>R1</x:v>
      </x:c>
      <x:c r="C200" s="10" t="str">
        <x:v>P1</x:v>
      </x:c>
      <x:c r="D200" s="10" t="str">
        <x:v>WP11</x:v>
      </x:c>
      <x:c r="E200" s="10" t="str">
        <x:v>API version and compatibility</x:v>
      </x:c>
      <x:c r="F200" s="10" t="str">
        <x:v>Integration lead</x:v>
      </x:c>
      <x:c r="G200" s="12" t="str">
        <x:v>In progress</x:v>
      </x:c>
      <x:c r="H200" s="12" t="str"/>
      <x:c r="I200" s="10" t="str">
        <x:v>A contract version identifies fields, enum semantics, error codes and compatible evolution rules. Deprecation notices include effective date, migration guide and at least twelve months of overlap unless a documented security emergency requires an exception.</x:v>
      </x:c>
      <x:c r="J200" s="10" t="str">
        <x:v>An additive optional field must not change existing field meaning. Removed enum values or changed units are breaking changes, even if transport shape stays the same.</x:v>
      </x:c>
      <x:c r="K200" s="10" t="str">
        <x:v>Run a supported prior client against a candidate release and verify its saved queries, validation semantics and error codes still behave as documented.</x:v>
      </x:c>
      <x:c r="L200" s="10" t="str">
        <x:v>TC-INT-005-01 / TC-INT-005-02</x:v>
      </x:c>
      <x:c r="M200" s="12" t="str">
        <x:v>apps/api/impact_api/store.py; apps/api/impact_api/auth.py; qualification/test_live_application.py</x:v>
      </x:c>
      <x:c r="N200" s="10" t="str">
        <x:f>IF(G200="Done",IF(AND(LEN(H200)&gt;0,LEN(M200)&gt;0),"Complete","Evidence required"),"Open")</x:f>
        <x:v>Open</x:v>
      </x:c>
      <x:c r="O200" s="17" t="str">
        <x:v>Implemented routes enforce explicit grants, tenant fences, natural-person independence, revisions and retry receipts. Native database concurrency, every future module, audit tamper evidence and production assurance remain open.</x:v>
      </x:c>
      <x:c r="P200" s="17" t="str">
        <x:v>PARTIAL</x:v>
      </x:c>
    </x:row>
    <x:row r="201" ht="64" customHeight="1">
      <x:c r="A201" s="10" t="str">
        <x:v>FR-INT-006</x:v>
      </x:c>
      <x:c r="B201" s="10" t="str">
        <x:v>R2</x:v>
      </x:c>
      <x:c r="C201" s="10" t="str">
        <x:v>P1</x:v>
      </x:c>
      <x:c r="D201" s="10" t="str">
        <x:v>WP11</x:v>
      </x:c>
      <x:c r="E201" s="10" t="str">
        <x:v>Webhook delivery</x:v>
      </x:c>
      <x:c r="F201" s="10" t="str">
        <x:v>Integration lead</x:v>
      </x:c>
      <x:c r="G201" s="12" t="str">
        <x:v>Not started</x:v>
      </x:c>
      <x:c r="H201" s="12" t="str"/>
      <x:c r="I201" s="10" t="str">
        <x:v>Webhook configuration verifies destination control and permitted event types. Deliveries carry event ID, occurrence time, resource version and authenticated integrity context. Consumers receive explicit at-least-once and possible out-of-order semantics; delivery attempts are visible.</x:v>
      </x:c>
      <x:c r="J201" s="10" t="str">
        <x:v>No sensitive unrestricted payload by default; consumers fetch details through current scope. Revocation stops retries. Destinations and redirects undergo the same outbound policy checks.</x:v>
      </x:c>
      <x:c r="K201" s="10" t="str">
        <x:v>Deliver events v2 then v1 twice; a qualified consumer records one effect per event and rejects invalid authentication without downgrading resource state.</x:v>
      </x:c>
      <x:c r="L201" s="10" t="str">
        <x:v>TC-INT-006-01 / TC-INT-006-02</x:v>
      </x:c>
      <x:c r="M201" s="12" t="str">
        <x:v>No accepted implementation evidence mapped.</x:v>
      </x:c>
      <x:c r="N201" s="10" t="str">
        <x:f>IF(G201="Done",IF(AND(LEN(H201)&gt;0,LEN(M201)&gt;0),"Complete","Evidence required"),"Open")</x:f>
        <x:v>Open</x:v>
      </x:c>
      <x:c r="O201" s="17" t="str">
        <x:v>No complete implementation and acceptance evidence mapped. Retain the original acceptance criteria; this requirement remains open.</x:v>
      </x:c>
      <x:c r="P201" s="17" t="str">
        <x:v>PENDING</x:v>
      </x:c>
    </x:row>
    <x:row r="202" ht="64" customHeight="1">
      <x:c r="A202" s="10" t="str">
        <x:v>FR-INT-007</x:v>
      </x:c>
      <x:c r="B202" s="10" t="str">
        <x:v>R1</x:v>
      </x:c>
      <x:c r="C202" s="10" t="str">
        <x:v>P0</x:v>
      </x:c>
      <x:c r="D202" s="10" t="str">
        <x:v>WP11</x:v>
      </x:c>
      <x:c r="E202" s="10" t="str">
        <x:v>Limits and tenant fairness</x:v>
      </x:c>
      <x:c r="F202" s="10" t="str">
        <x:v>Integration lead</x:v>
      </x:c>
      <x:c r="G202" s="12" t="str">
        <x:v>Not started</x:v>
      </x:c>
      <x:c r="H202" s="12" t="str"/>
      <x:c r="I202" s="10" t="str">
        <x:v>Limits are displayed per tenant, credential and job class before activation. When an admission limit is exceeded, return LIMIT_EXCEEDED with safe retry guidance. Approved jobs show queue position class and cancellation; interactive approvals retain their own capacity protection.</x:v>
      </x:c>
      <x:c r="J202" s="10" t="str">
        <x:v>A noisy connector cannot consume unlimited pending jobs. Retrying earlier than the indicated window cannot expand its quota or starve other tenants.</x:v>
      </x:c>
      <x:c r="K202" s="10" t="str">
        <x:v>Exceed one tenant's bulk queue and verify unrelated tenants' record saves and approvals continue within their qualified targets.</x:v>
      </x:c>
      <x:c r="L202" s="10" t="str">
        <x:v>TC-INT-007-01 / TC-INT-007-02</x:v>
      </x:c>
      <x:c r="M202" s="12" t="str">
        <x:v>No accepted implementation evidence mapped.</x:v>
      </x:c>
      <x:c r="N202" s="10" t="str">
        <x:f>IF(G202="Done",IF(AND(LEN(H202)&gt;0,LEN(M202)&gt;0),"Complete","Evidence required"),"Open")</x:f>
        <x:v>Open</x:v>
      </x:c>
      <x:c r="O202" s="17" t="str">
        <x:v>No complete implementation and acceptance evidence mapped. Retain the original acceptance criteria; this requirement remains open.</x:v>
      </x:c>
      <x:c r="P202" s="17" t="str">
        <x:v>PENDING</x:v>
      </x:c>
    </x:row>
    <x:row r="203" ht="51" customHeight="1">
      <x:c r="A203" s="10" t="str">
        <x:v>FR-INT-008</x:v>
      </x:c>
      <x:c r="B203" s="10" t="str">
        <x:v>R2</x:v>
      </x:c>
      <x:c r="C203" s="10" t="str">
        <x:v>P1</x:v>
      </x:c>
      <x:c r="D203" s="10" t="str">
        <x:v>WP11</x:v>
      </x:c>
      <x:c r="E203" s="10" t="str">
        <x:v>Import export standards</x:v>
      </x:c>
      <x:c r="F203" s="10" t="str">
        <x:v>Integration lead</x:v>
      </x:c>
      <x:c r="G203" s="12" t="str">
        <x:v>Not started</x:v>
      </x:c>
      <x:c r="H203" s="12" t="str"/>
      <x:c r="I203" s="10" t="str">
        <x:v>An exchange mapping identifies standard version, code lists, units, locale, date representation and information loss. Import and export validate against that mapping and include a manifest for transformed or unsupported fields.</x:v>
      </x:c>
      <x:c r="J203" s="10" t="str">
        <x:v>Codes are stable and separate from display translations. An unknown code is quarantined or rejected, not automatically matched to a similar label.</x:v>
      </x:c>
      <x:c r="K203" s="10" t="str">
        <x:v>Round trip a multilingual record containing currency, unit and geography codes and account for every intentionally transformed field.</x:v>
      </x:c>
      <x:c r="L203" s="10" t="str">
        <x:v>TC-INT-008-01 / TC-INT-008-02</x:v>
      </x:c>
      <x:c r="M203" s="12" t="str">
        <x:v>No accepted implementation evidence mapped.</x:v>
      </x:c>
      <x:c r="N203" s="10" t="str">
        <x:f>IF(G203="Done",IF(AND(LEN(H203)&gt;0,LEN(M203)&gt;0),"Complete","Evidence required"),"Open")</x:f>
        <x:v>Open</x:v>
      </x:c>
      <x:c r="O203" s="17" t="str">
        <x:v>No complete implementation and acceptance evidence mapped. Retain the original acceptance criteria; this requirement remains open.</x:v>
      </x:c>
      <x:c r="P203" s="17" t="str">
        <x:v>PENDING</x:v>
      </x:c>
    </x:row>
    <x:row r="204" ht="64" customHeight="1">
      <x:c r="A204" s="10" t="str">
        <x:v>FR-INT-009</x:v>
      </x:c>
      <x:c r="B204" s="10" t="str">
        <x:v>R1</x:v>
      </x:c>
      <x:c r="C204" s="10" t="str">
        <x:v>P1</x:v>
      </x:c>
      <x:c r="D204" s="10" t="str">
        <x:v>WP11</x:v>
      </x:c>
      <x:c r="E204" s="10" t="str">
        <x:v>Integration diagnostics</x:v>
      </x:c>
      <x:c r="F204" s="10" t="str">
        <x:v>Integration lead</x:v>
      </x:c>
      <x:c r="G204" s="12" t="str">
        <x:v>Not started</x:v>
      </x:c>
      <x:c r="H204" s="12" t="str"/>
      <x:c r="I204" s="10" t="str">
        <x:v>Connection health displays last contact, last successful validated run, backlog, source drift and per item counts. Error details use safe field references and correlation IDs. A bounded diagnostic sample requires appropriate content rights.</x:v>
      </x:c>
      <x:c r="J204" s="10" t="str">
        <x:v>Never display tokens, unrestricted raw payloads or another tenant's source identity. Retrying requires the reviewed mapping version that resolved the issue.</x:v>
      </x:c>
      <x:c r="K204" s="10" t="str">
        <x:v>Diagnose a renamed column, publish the mapping fix and replay only the failed records while retaining the original failure manifest.</x:v>
      </x:c>
      <x:c r="L204" s="10" t="str">
        <x:v>TC-INT-009-01 / TC-INT-009-02</x:v>
      </x:c>
      <x:c r="M204" s="12" t="str">
        <x:v>No accepted implementation evidence mapped.</x:v>
      </x:c>
      <x:c r="N204" s="10" t="str">
        <x:f>IF(G204="Done",IF(AND(LEN(H204)&gt;0,LEN(M204)&gt;0),"Complete","Evidence required"),"Open")</x:f>
        <x:v>Open</x:v>
      </x:c>
      <x:c r="O204" s="17" t="str">
        <x:v>No complete implementation and acceptance evidence mapped. Retain the original acceptance criteria; this requirement remains open.</x:v>
      </x:c>
      <x:c r="P204" s="17" t="str">
        <x:v>PENDING</x:v>
      </x:c>
    </x:row>
    <x:row r="205" ht="64" customHeight="1">
      <x:c r="A205" s="10" t="str">
        <x:v>FR-INT-010</x:v>
      </x:c>
      <x:c r="B205" s="10" t="str">
        <x:v>R2</x:v>
      </x:c>
      <x:c r="C205" s="10" t="str">
        <x:v>P1</x:v>
      </x:c>
      <x:c r="D205" s="10" t="str">
        <x:v>WP11</x:v>
      </x:c>
      <x:c r="E205" s="10" t="str">
        <x:v>Development and testing access</x:v>
      </x:c>
      <x:c r="F205" s="10" t="str">
        <x:v>Integration lead</x:v>
      </x:c>
      <x:c r="G205" s="12" t="str">
        <x:v>Not started</x:v>
      </x:c>
      <x:c r="H205" s="12" t="str"/>
      <x:c r="I205" s="10" t="str">
        <x:v>A developer workspace provides versioned sample contracts, synthetic fixtures and test credentials with isolated tenant scope. Qualification exercises full update, retry and failure behaviour before a production connection is eligible.</x:v>
      </x:c>
      <x:c r="J205" s="10" t="str">
        <x:v>Production secrets and personal data are excluded by default. Debug payload access is a separate time bounded support grant, not a developer entitlement.</x:v>
      </x:c>
      <x:c r="K205" s="10" t="str">
        <x:v>Run a connector test end to end and demonstrate its credential cannot enumerate or mutate a production project.</x:v>
      </x:c>
      <x:c r="L205" s="10" t="str">
        <x:v>TC-INT-010-01 / TC-INT-010-02</x:v>
      </x:c>
      <x:c r="M205" s="12" t="str">
        <x:v>No accepted implementation evidence mapped.</x:v>
      </x:c>
      <x:c r="N205" s="10" t="str">
        <x:f>IF(G205="Done",IF(AND(LEN(H205)&gt;0,LEN(M205)&gt;0),"Complete","Evidence required"),"Open")</x:f>
        <x:v>Open</x:v>
      </x:c>
      <x:c r="O205" s="17" t="str">
        <x:v>No complete implementation and acceptance evidence mapped. Retain the original acceptance criteria; this requirement remains open.</x:v>
      </x:c>
      <x:c r="P205" s="17" t="str">
        <x:v>PENDING</x:v>
      </x:c>
    </x:row>
    <x:row r="206" ht="64" customHeight="1">
      <x:c r="A206" s="10" t="str">
        <x:v>FR-AI-001</x:v>
      </x:c>
      <x:c r="B206" s="10" t="str">
        <x:v>R1</x:v>
      </x:c>
      <x:c r="C206" s="10" t="str">
        <x:v>P0</x:v>
      </x:c>
      <x:c r="D206" s="10" t="str">
        <x:v>WP12</x:v>
      </x:c>
      <x:c r="E206" s="10" t="str">
        <x:v>Explicit enablement and policy</x:v>
      </x:c>
      <x:c r="F206" s="10" t="str">
        <x:v>AI lead</x:v>
      </x:c>
      <x:c r="G206" s="12" t="str">
        <x:v>Not started</x:v>
      </x:c>
      <x:c r="H206" s="12" t="str"/>
      <x:c r="I206" s="10" t="str">
        <x:v>The administrator enables named use cases with allowed data classes, destinations, language coverage, budget and required review. The UI shows the active policy before a request. Disabled capabilities make no provider call and preserve the manual path.</x:v>
      </x:c>
      <x:c r="J206" s="10" t="str">
        <x:v>Enabling a chat interface does not enable every tool. Sensitive processing requires approved destination and purpose; policy failure blocks transmission before content leaves the authorised boundary.</x:v>
      </x:c>
      <x:c r="K206" s="10" t="str">
        <x:v>Disable AI for a tenant and complete programme setup, period close and report generation using deterministic and manual workflows.</x:v>
      </x:c>
      <x:c r="L206" s="10" t="str">
        <x:v>TC-AI-001-01 / TC-AI-001-02</x:v>
      </x:c>
      <x:c r="M206" s="12" t="str">
        <x:v>No accepted implementation evidence mapped.</x:v>
      </x:c>
      <x:c r="N206" s="10" t="str">
        <x:f>IF(G206="Done",IF(AND(LEN(H206)&gt;0,LEN(M206)&gt;0),"Complete","Evidence required"),"Open")</x:f>
        <x:v>Open</x:v>
      </x:c>
      <x:c r="O206" s="17" t="str">
        <x:v>No complete implementation and acceptance evidence mapped. Retain the original acceptance criteria; this requirement remains open.</x:v>
      </x:c>
      <x:c r="P206" s="17" t="str">
        <x:v>PENDING</x:v>
      </x:c>
    </x:row>
    <x:row r="207" ht="64" customHeight="1">
      <x:c r="A207" s="10" t="str">
        <x:v>FR-AI-002</x:v>
      </x:c>
      <x:c r="B207" s="10" t="str">
        <x:v>R1</x:v>
      </x:c>
      <x:c r="C207" s="10" t="str">
        <x:v>P1</x:v>
      </x:c>
      <x:c r="D207" s="10" t="str">
        <x:v>WP12</x:v>
      </x:c>
      <x:c r="E207" s="10" t="str">
        <x:v>Proposal and logframe extraction</x:v>
      </x:c>
      <x:c r="F207" s="10" t="str">
        <x:v>AI lead</x:v>
      </x:c>
      <x:c r="G207" s="12" t="str">
        <x:v>Not started</x:v>
      </x:c>
      <x:c r="H207" s="12" t="str"/>
      <x:c r="I207" s="10" t="str">
        <x:v>Extraction selects permitted files and returns proposed entities and fields with source version, page or section, evidence span and classification as extracted, inferred or suggested. The review panel supports selective acceptance and retains unresolved ambiguities.</x:v>
      </x:c>
      <x:c r="J207" s="10" t="str">
        <x:v>Dates, targets and population commitments require direct source support or an explicit human addition. Missing values remain missing; contradictory sources are presented separately.</x:v>
      </x:c>
      <x:c r="K207" s="10" t="str">
        <x:v>Extract a proposal with two end dates and no population; both dates and the missing field are flagged, and activation remains blocked until reviewed.</x:v>
      </x:c>
      <x:c r="L207" s="10" t="str">
        <x:v>TC-AI-002-01 / TC-AI-002-02</x:v>
      </x:c>
      <x:c r="M207" s="12" t="str">
        <x:v>No accepted implementation evidence mapped.</x:v>
      </x:c>
      <x:c r="N207" s="10" t="str">
        <x:f>IF(G207="Done",IF(AND(LEN(H207)&gt;0,LEN(M207)&gt;0),"Complete","Evidence required"),"Open")</x:f>
        <x:v>Open</x:v>
      </x:c>
      <x:c r="O207" s="17" t="str">
        <x:v>No complete implementation and acceptance evidence mapped. Retain the original acceptance criteria; this requirement remains open.</x:v>
      </x:c>
      <x:c r="P207" s="17" t="str">
        <x:v>PENDING</x:v>
      </x:c>
    </x:row>
    <x:row r="208" ht="64" customHeight="1">
      <x:c r="A208" s="10" t="str">
        <x:v>FR-AI-003</x:v>
      </x:c>
      <x:c r="B208" s="10" t="str">
        <x:v>R1</x:v>
      </x:c>
      <x:c r="C208" s="10" t="str">
        <x:v>P1</x:v>
      </x:c>
      <x:c r="D208" s="10" t="str">
        <x:v>WP12</x:v>
      </x:c>
      <x:c r="E208" s="10" t="str">
        <x:v>Indicator design assistance</x:v>
      </x:c>
      <x:c r="F208" s="10" t="str">
        <x:v>AI lead</x:v>
      </x:c>
      <x:c r="G208" s="12" t="str">
        <x:v>Not started</x:v>
      </x:c>
      <x:c r="H208" s="12" t="str"/>
      <x:c r="I208" s="10" t="str">
        <x:v>The assistant receives approved library definitions and the current programme context and proposes a complete draft measurement contract. It highlights missing denominator, unsuitable proxy, population ambiguity and evidence requirements. The user accepts selected fields into a draft.</x:v>
      </x:c>
      <x:c r="J208" s="10" t="str">
        <x:v>The draft passes the same schema and method checks as manual authoring. Model confidence cannot approve an indicator or create an unsupported standard mapping.</x:v>
      </x:c>
      <x:c r="K208" s="10" t="str">
        <x:v>Suggest a completion percentage and verify the proposal requires eligible denominator, reporting period and evidence method before review submission.</x:v>
      </x:c>
      <x:c r="L208" s="10" t="str">
        <x:v>TC-AI-003-01 / TC-AI-003-02</x:v>
      </x:c>
      <x:c r="M208" s="12" t="str">
        <x:v>No accepted implementation evidence mapped.</x:v>
      </x:c>
      <x:c r="N208" s="10" t="str">
        <x:f>IF(G208="Done",IF(AND(LEN(H208)&gt;0,LEN(M208)&gt;0),"Complete","Evidence required"),"Open")</x:f>
        <x:v>Open</x:v>
      </x:c>
      <x:c r="O208" s="17" t="str">
        <x:v>No complete implementation and acceptance evidence mapped. Retain the original acceptance criteria; this requirement remains open.</x:v>
      </x:c>
      <x:c r="P208" s="17" t="str">
        <x:v>PENDING</x:v>
      </x:c>
    </x:row>
    <x:row r="209" ht="64" customHeight="1">
      <x:c r="A209" s="10" t="str">
        <x:v>FR-AI-004</x:v>
      </x:c>
      <x:c r="B209" s="10" t="str">
        <x:v>R1</x:v>
      </x:c>
      <x:c r="C209" s="10" t="str">
        <x:v>P1</x:v>
      </x:c>
      <x:c r="D209" s="10" t="str">
        <x:v>WP12</x:v>
      </x:c>
      <x:c r="E209" s="10" t="str">
        <x:v>Import and cleaning assistance</x:v>
      </x:c>
      <x:c r="F209" s="10" t="str">
        <x:v>AI lead</x:v>
      </x:c>
      <x:c r="G209" s="12" t="str">
        <x:v>Not started</x:v>
      </x:c>
      <x:c r="H209" s="12" t="str"/>
      <x:c r="I209" s="10" t="str">
        <x:v>Mapping assistance returns proposed source-to-destination links and deterministic transformations with affected sample rows. The steward accepts individual proposals and sees the exact mapping diff. Application creates a mapping draft or reviewed transformation version.</x:v>
      </x:c>
      <x:c r="J209" s="10" t="str">
        <x:v>AI cannot delete raw rows, merge identities or overwrite approved actuals. Low confidence or ambiguous mapping remains unselected and requires explicit resolution.</x:v>
      </x:c>
      <x:c r="K209" s="10" t="str">
        <x:v>Accept a date normalisation suggestion but reject a name-based participant merge; only the approved deterministic conversion is applied.</x:v>
      </x:c>
      <x:c r="L209" s="10" t="str">
        <x:v>TC-AI-004-01 / TC-AI-004-02</x:v>
      </x:c>
      <x:c r="M209" s="12" t="str">
        <x:v>No accepted implementation evidence mapped.</x:v>
      </x:c>
      <x:c r="N209" s="10" t="str">
        <x:f>IF(G209="Done",IF(AND(LEN(H209)&gt;0,LEN(M209)&gt;0),"Complete","Evidence required"),"Open")</x:f>
        <x:v>Open</x:v>
      </x:c>
      <x:c r="O209" s="17" t="str">
        <x:v>No complete implementation and acceptance evidence mapped. Retain the original acceptance criteria; this requirement remains open.</x:v>
      </x:c>
      <x:c r="P209" s="17" t="str">
        <x:v>PENDING</x:v>
      </x:c>
    </x:row>
    <x:row r="210" ht="64" customHeight="1">
      <x:c r="A210" s="10" t="str">
        <x:v>FR-AI-005</x:v>
      </x:c>
      <x:c r="B210" s="10" t="str">
        <x:v>R1</x:v>
      </x:c>
      <x:c r="C210" s="10" t="str">
        <x:v>P1</x:v>
      </x:c>
      <x:c r="D210" s="10" t="str">
        <x:v>WP12</x:v>
      </x:c>
      <x:c r="E210" s="10" t="str">
        <x:v>Evidence based questions</x:v>
      </x:c>
      <x:c r="F210" s="10" t="str">
        <x:v>AI lead</x:v>
      </x:c>
      <x:c r="G210" s="12" t="str">
        <x:v>Not started</x:v>
      </x:c>
      <x:c r="H210" s="12" t="str"/>
      <x:c r="I210" s="10" t="str">
        <x:v>A question specifies authorised scope, period and source mode. Retrieval obtains only permitted evidence and results; answers attach citations to material claims and show missing or contradictory evidence. If scope is ambiguous, return a clarification state without guessing an official number.</x:v>
      </x:c>
      <x:c r="J210" s="10" t="str">
        <x:v>Unsupported or unauthorised questions receive a bounded abstention without confirming protected resource existence. No fabricated quotations, citations or document titles.</x:v>
      </x:c>
      <x:c r="K210" s="10" t="str">
        <x:v>Ask a supported programme question and an inaccessible partner question; the first cites source locations and the second reveals no hidden record detail.</x:v>
      </x:c>
      <x:c r="L210" s="10" t="str">
        <x:v>TC-AI-005-01 / TC-AI-005-02</x:v>
      </x:c>
      <x:c r="M210" s="12" t="str">
        <x:v>No accepted implementation evidence mapped.</x:v>
      </x:c>
      <x:c r="N210" s="10" t="str">
        <x:f>IF(G210="Done",IF(AND(LEN(H210)&gt;0,LEN(M210)&gt;0),"Complete","Evidence required"),"Open")</x:f>
        <x:v>Open</x:v>
      </x:c>
      <x:c r="O210" s="17" t="str">
        <x:v>No complete implementation and acceptance evidence mapped. Retain the original acceptance criteria; this requirement remains open.</x:v>
      </x:c>
      <x:c r="P210" s="17" t="str">
        <x:v>PENDING</x:v>
      </x:c>
    </x:row>
    <x:row r="211" ht="64" customHeight="1">
      <x:c r="A211" s="10" t="str">
        <x:v>FR-AI-006</x:v>
      </x:c>
      <x:c r="B211" s="10" t="str">
        <x:v>R1</x:v>
      </x:c>
      <x:c r="C211" s="10" t="str">
        <x:v>P0</x:v>
      </x:c>
      <x:c r="D211" s="10" t="str">
        <x:v>WP12</x:v>
      </x:c>
      <x:c r="E211" s="10" t="str">
        <x:v>Governed numerical analysis</x:v>
      </x:c>
      <x:c r="F211" s="10" t="str">
        <x:v>AI lead</x:v>
      </x:c>
      <x:c r="G211" s="12" t="str">
        <x:v>Not started</x:v>
      </x:c>
      <x:c r="H211" s="12" t="str"/>
      <x:c r="I211" s="10" t="str">
        <x:v>Numeric questions are translated into a constrained typed analysis plan: measure, compatible sources, filters, period, dimensions and permitted operation. An authorised deterministic tool executes it. The answer embeds returned values and result references without model recomputation.</x:v>
      </x:c>
      <x:c r="J211" s="10" t="str">
        <x:v>No arbitrary SQL, code execution or user supplied unrestricted query. A mismatch between drafted numeric text and tool value blocks delivery of the official claim.</x:v>
      </x:c>
      <x:c r="K211" s="10" t="str">
        <x:v>Ask for pooled 50/100 and 1/10; the answer presents 46.36 percent with 51/110 and the approved calculation receipt.</x:v>
      </x:c>
      <x:c r="L211" s="10" t="str">
        <x:v>TC-AI-006-01 / TC-AI-006-02</x:v>
      </x:c>
      <x:c r="M211" s="12" t="str">
        <x:v>No accepted implementation evidence mapped.</x:v>
      </x:c>
      <x:c r="N211" s="10" t="str">
        <x:f>IF(G211="Done",IF(AND(LEN(H211)&gt;0,LEN(M211)&gt;0),"Complete","Evidence required"),"Open")</x:f>
        <x:v>Open</x:v>
      </x:c>
      <x:c r="O211" s="17" t="str">
        <x:v>No complete implementation and acceptance evidence mapped. Retain the original acceptance criteria; this requirement remains open.</x:v>
      </x:c>
      <x:c r="P211" s="17" t="str">
        <x:v>PENDING</x:v>
      </x:c>
    </x:row>
    <x:row r="212" ht="64" customHeight="1">
      <x:c r="A212" s="10" t="str">
        <x:v>FR-AI-007</x:v>
      </x:c>
      <x:c r="B212" s="10" t="str">
        <x:v>R1</x:v>
      </x:c>
      <x:c r="C212" s="10" t="str">
        <x:v>P1</x:v>
      </x:c>
      <x:c r="D212" s="10" t="str">
        <x:v>WP12</x:v>
      </x:c>
      <x:c r="E212" s="10" t="str">
        <x:v>Report drafting</x:v>
      </x:c>
      <x:c r="F212" s="10" t="str">
        <x:v>AI lead</x:v>
      </x:c>
      <x:c r="G212" s="12" t="str">
        <x:v>Not started</x:v>
      </x:c>
      <x:c r="H212" s="12" t="str"/>
      <x:c r="I212" s="10" t="str">
        <x:v>Report drafting binds an approved snapshot and template, then proposes sections with evidence references and metric bindings. Missing sections appear as evidence gaps. Review tracks AI origin, corrections and final human wording.</x:v>
      </x:c>
      <x:c r="J212" s="10" t="str">
        <x:v>The assistant cannot create a new official snapshot, invent a result or remove mandatory caveats. Regeneration never overwrites accepted human edits without an explicit reviewed diff.</x:v>
      </x:c>
      <x:c r="K212" s="10" t="str">
        <x:v>Draft from an incomplete snapshot and confirm missing evidence stays visible while every official number matches its bound result.</x:v>
      </x:c>
      <x:c r="L212" s="10" t="str">
        <x:v>TC-AI-007-01 / TC-AI-007-02</x:v>
      </x:c>
      <x:c r="M212" s="12" t="str">
        <x:v>No accepted implementation evidence mapped.</x:v>
      </x:c>
      <x:c r="N212" s="10" t="str">
        <x:f>IF(G212="Done",IF(AND(LEN(H212)&gt;0,LEN(M212)&gt;0),"Complete","Evidence required"),"Open")</x:f>
        <x:v>Open</x:v>
      </x:c>
      <x:c r="O212" s="17" t="str">
        <x:v>No complete implementation and acceptance evidence mapped. Retain the original acceptance criteria; this requirement remains open.</x:v>
      </x:c>
      <x:c r="P212" s="17" t="str">
        <x:v>PENDING</x:v>
      </x:c>
    </x:row>
    <x:row r="213" ht="64" customHeight="1">
      <x:c r="A213" s="10" t="str">
        <x:v>FR-AI-008</x:v>
      </x:c>
      <x:c r="B213" s="10" t="str">
        <x:v>R2</x:v>
      </x:c>
      <x:c r="C213" s="10" t="str">
        <x:v>P1</x:v>
      </x:c>
      <x:c r="D213" s="10" t="str">
        <x:v>WP12</x:v>
      </x:c>
      <x:c r="E213" s="10" t="str">
        <x:v>Qualitative assistance</x:v>
      </x:c>
      <x:c r="F213" s="10" t="str">
        <x:v>AI lead</x:v>
      </x:c>
      <x:c r="G213" s="12" t="str">
        <x:v>Not started</x:v>
      </x:c>
      <x:c r="H213" s="12" t="str"/>
      <x:c r="I213" s="10" t="str">
        <x:v>Qualitative assistance selects a permitted source set and approved codebook, returning suggested codes, themes, excerpts and translations. Analysts review individual suggestions and retain minority and contradictory viewpoints. Accepted edits create normal coded evidence records.</x:v>
      </x:c>
      <x:c r="J213" s="10" t="str">
        <x:v>No invented verbatim quotations or fabricated speaker identities. Machine translation stays labelled until reviewed and cannot broaden source permission.</x:v>
      </x:c>
      <x:c r="K213" s="10" t="str">
        <x:v>Summarise interviews with opposing views in two languages; both perspectives remain traceable to their original excerpts.</x:v>
      </x:c>
      <x:c r="L213" s="10" t="str">
        <x:v>TC-AI-008-01 / TC-AI-008-02</x:v>
      </x:c>
      <x:c r="M213" s="12" t="str">
        <x:v>No accepted implementation evidence mapped.</x:v>
      </x:c>
      <x:c r="N213" s="10" t="str">
        <x:f>IF(G213="Done",IF(AND(LEN(H213)&gt;0,LEN(M213)&gt;0),"Complete","Evidence required"),"Open")</x:f>
        <x:v>Open</x:v>
      </x:c>
      <x:c r="O213" s="17" t="str">
        <x:v>No complete implementation and acceptance evidence mapped. Retain the original acceptance criteria; this requirement remains open.</x:v>
      </x:c>
      <x:c r="P213" s="17" t="str">
        <x:v>PENDING</x:v>
      </x:c>
    </x:row>
    <x:row r="214" ht="64" customHeight="1">
      <x:c r="A214" s="10" t="str">
        <x:v>FR-AI-009</x:v>
      </x:c>
      <x:c r="B214" s="10" t="str">
        <x:v>R2</x:v>
      </x:c>
      <x:c r="C214" s="10" t="str">
        <x:v>P1</x:v>
      </x:c>
      <x:c r="D214" s="10" t="str">
        <x:v>WP12</x:v>
      </x:c>
      <x:c r="E214" s="10" t="str">
        <x:v>Proactive findings</x:v>
      </x:c>
      <x:c r="F214" s="10" t="str">
        <x:v>AI lead</x:v>
      </x:c>
      <x:c r="G214" s="12" t="str">
        <x:v>Not started</x:v>
      </x:c>
      <x:c r="H214" s="12" t="str"/>
      <x:c r="I214" s="10" t="str">
        <x:v>Proactive findings run only for enabled scopes and defined detection tasks. Each suggestion states affected result versions, evidence, limitation and proposed follow up. Users verify, dismiss or assign it, and feedback is recorded.</x:v>
      </x:c>
      <x:c r="J214" s="10" t="str">
        <x:v>Suggestions are not confirmed fraud, impact or programme risk findings until reviewed. Noise controls, cooldown and owner accountability apply.</x:v>
      </x:c>
      <x:c r="K214" s="10" t="str">
        <x:v>A performance spike creates one suggested finding with context; a manager dismisses it as seasonal and no source value changes.</x:v>
      </x:c>
      <x:c r="L214" s="10" t="str">
        <x:v>TC-AI-009-01 / TC-AI-009-02</x:v>
      </x:c>
      <x:c r="M214" s="12" t="str">
        <x:v>No accepted implementation evidence mapped.</x:v>
      </x:c>
      <x:c r="N214" s="10" t="str">
        <x:f>IF(G214="Done",IF(AND(LEN(H214)&gt;0,LEN(M214)&gt;0),"Complete","Evidence required"),"Open")</x:f>
        <x:v>Open</x:v>
      </x:c>
      <x:c r="O214" s="17" t="str">
        <x:v>No complete implementation and acceptance evidence mapped. Retain the original acceptance criteria; this requirement remains open.</x:v>
      </x:c>
      <x:c r="P214" s="17" t="str">
        <x:v>PENDING</x:v>
      </x:c>
    </x:row>
    <x:row r="215" ht="64" customHeight="1">
      <x:c r="A215" s="10" t="str">
        <x:v>FR-AI-010</x:v>
      </x:c>
      <x:c r="B215" s="10" t="str">
        <x:v>R1</x:v>
      </x:c>
      <x:c r="C215" s="10" t="str">
        <x:v>P0</x:v>
      </x:c>
      <x:c r="D215" s="10" t="str">
        <x:v>WP12</x:v>
      </x:c>
      <x:c r="E215" s="10" t="str">
        <x:v>Action proposal and approval</x:v>
      </x:c>
      <x:c r="F215" s="10" t="str">
        <x:v>AI lead</x:v>
      </x:c>
      <x:c r="G215" s="12" t="str">
        <x:v>Not started</x:v>
      </x:c>
      <x:c r="H215" s="12" t="str"/>
      <x:c r="I215" s="10" t="str">
        <x:v>An AI write proposal contains exact domain command, object scope, before and after values, affected versions, policy context and consequences. Confirmation is separate from generation. Execution rechecks current authority and revisions, then calls the ordinary domain command.</x:v>
      </x:c>
      <x:c r="J215" s="10" t="str">
        <x:v>No direct write to approved results, permission grants, publication, privacy deletion or independent decisions. A source or policy change makes the proposal stale; regeneration requires review.</x:v>
      </x:c>
      <x:c r="K215" s="10" t="str">
        <x:v>Revoke permission after proposal generation and before confirmation; execution fails without applying any stale changes.</x:v>
      </x:c>
      <x:c r="L215" s="10" t="str">
        <x:v>TC-AI-010-01 / TC-AI-010-02</x:v>
      </x:c>
      <x:c r="M215" s="12" t="str">
        <x:v>No accepted implementation evidence mapped.</x:v>
      </x:c>
      <x:c r="N215" s="10" t="str">
        <x:f>IF(G215="Done",IF(AND(LEN(H215)&gt;0,LEN(M215)&gt;0),"Complete","Evidence required"),"Open")</x:f>
        <x:v>Open</x:v>
      </x:c>
      <x:c r="O215" s="17" t="str">
        <x:v>No complete implementation and acceptance evidence mapped. Retain the original acceptance criteria; this requirement remains open.</x:v>
      </x:c>
      <x:c r="P215" s="17" t="str">
        <x:v>PENDING</x:v>
      </x:c>
    </x:row>
    <x:row r="216" ht="64" customHeight="1">
      <x:c r="A216" s="10" t="str">
        <x:v>FR-AI-011</x:v>
      </x:c>
      <x:c r="B216" s="10" t="str">
        <x:v>R1</x:v>
      </x:c>
      <x:c r="C216" s="10" t="str">
        <x:v>P0</x:v>
      </x:c>
      <x:c r="D216" s="10" t="str">
        <x:v>WP12</x:v>
      </x:c>
      <x:c r="E216" s="10" t="str">
        <x:v>Input and tool isolation</x:v>
      </x:c>
      <x:c r="F216" s="10" t="str">
        <x:v>AI lead</x:v>
      </x:c>
      <x:c r="G216" s="12" t="str">
        <x:v>Not started</x:v>
      </x:c>
      <x:c r="H216" s="12" t="str"/>
      <x:c r="I216" s="10" t="str">
        <x:v>Documents, tool outputs and retrieved pages are evidence, never authority to expand tools or change policy. The allowed tool catalogue and scoped arguments are established independently of model generated instructions. External destinations require explicit policy permission.</x:v>
      </x:c>
      <x:c r="J216" s="10" t="str">
        <x:v>A document cannot instruct the model to reveal credentials, retrieve all tenants or send outputs elsewhere. Unsafe action attempts are blocked and recorded without executing them.</x:v>
      </x:c>
      <x:c r="K216" s="10" t="str">
        <x:v>Include an embedded instruction to export all records in a proposal; extraction treats it as untrusted content and performs no export.</x:v>
      </x:c>
      <x:c r="L216" s="10" t="str">
        <x:v>TC-AI-011-01 / TC-AI-011-02</x:v>
      </x:c>
      <x:c r="M216" s="12" t="str">
        <x:v>No accepted implementation evidence mapped.</x:v>
      </x:c>
      <x:c r="N216" s="10" t="str">
        <x:f>IF(G216="Done",IF(AND(LEN(H216)&gt;0,LEN(M216)&gt;0),"Complete","Evidence required"),"Open")</x:f>
        <x:v>Open</x:v>
      </x:c>
      <x:c r="O216" s="17" t="str">
        <x:v>No complete implementation and acceptance evidence mapped. Retain the original acceptance criteria; this requirement remains open.</x:v>
      </x:c>
      <x:c r="P216" s="17" t="str">
        <x:v>PENDING</x:v>
      </x:c>
    </x:row>
    <x:row r="217" ht="64" customHeight="1">
      <x:c r="A217" s="10" t="str">
        <x:v>FR-AI-012</x:v>
      </x:c>
      <x:c r="B217" s="10" t="str">
        <x:v>R1</x:v>
      </x:c>
      <x:c r="C217" s="10" t="str">
        <x:v>P0</x:v>
      </x:c>
      <x:c r="D217" s="10" t="str">
        <x:v>WP12</x:v>
      </x:c>
      <x:c r="E217" s="10" t="str">
        <x:v>Model data handling</x:v>
      </x:c>
      <x:c r="F217" s="10" t="str">
        <x:v>AI lead</x:v>
      </x:c>
      <x:c r="G217" s="12" t="str">
        <x:v>Not started</x:v>
      </x:c>
      <x:c r="H217" s="12" t="str"/>
      <x:c r="I217" s="10" t="str">
        <x:v>Before transmission, evaluate tenant, use case, purpose, classification, region, provider retention and minimisation policy. Redact or exclude prohibited fields and record the approved destination version. Training reuse is off by default and has no implicit opt in.</x:v>
      </x:c>
      <x:c r="J217" s="10" t="str">
        <x:v>Fallback providers must pass the same checks. Prompts, answers and diagnostics obey their retention schedule; private content is not copied into broad model evaluation datasets automatically.</x:v>
      </x:c>
      <x:c r="K217" s="10" t="str">
        <x:v>Force the primary provider offline for restricted data; no unapproved fallback receives the content and the manual workflow remains usable.</x:v>
      </x:c>
      <x:c r="L217" s="10" t="str">
        <x:v>TC-AI-012-01 / TC-AI-012-02</x:v>
      </x:c>
      <x:c r="M217" s="12" t="str">
        <x:v>No accepted implementation evidence mapped.</x:v>
      </x:c>
      <x:c r="N217" s="10" t="str">
        <x:f>IF(G217="Done",IF(AND(LEN(H217)&gt;0,LEN(M217)&gt;0),"Complete","Evidence required"),"Open")</x:f>
        <x:v>Open</x:v>
      </x:c>
      <x:c r="O217" s="17" t="str">
        <x:v>No complete implementation and acceptance evidence mapped. Retain the original acceptance criteria; this requirement remains open.</x:v>
      </x:c>
      <x:c r="P217" s="17" t="str">
        <x:v>PENDING</x:v>
      </x:c>
    </x:row>
    <x:row r="218" ht="64" customHeight="1">
      <x:c r="A218" s="10" t="str">
        <x:v>FR-AI-013</x:v>
      </x:c>
      <x:c r="B218" s="10" t="str">
        <x:v>R1</x:v>
      </x:c>
      <x:c r="C218" s="10" t="str">
        <x:v>P0</x:v>
      </x:c>
      <x:c r="D218" s="10" t="str">
        <x:v>WP12</x:v>
      </x:c>
      <x:c r="E218" s="10" t="str">
        <x:v>Source access and conversation history</x:v>
      </x:c>
      <x:c r="F218" s="10" t="str">
        <x:v>AI lead</x:v>
      </x:c>
      <x:c r="G218" s="12" t="str">
        <x:v>Not started</x:v>
      </x:c>
      <x:c r="H218" s="12" t="str"/>
      <x:c r="I218" s="10" t="str">
        <x:v>Every answer or saved conversation records source dependencies and its permitted audience. Opening, sharing, summarising or exporting rechecks current access to those dependencies. Inaccessible segments are withheld or the artifact is withdrawn when redaction cannot be safe.</x:v>
      </x:c>
      <x:c r="J218" s="10" t="str">
        <x:v>A conversation summary, cached answer or new prompt cannot reintroduce revoked text. Copying a chat does not create new source rights.</x:v>
      </x:c>
      <x:c r="K218" s="10" t="str">
        <x:v>Revoke a source grant and request a summary of the prior conversation; the assistant cannot reveal the now restricted passages.</x:v>
      </x:c>
      <x:c r="L218" s="10" t="str">
        <x:v>TC-AI-013-01 / TC-AI-013-02</x:v>
      </x:c>
      <x:c r="M218" s="12" t="str">
        <x:v>No accepted implementation evidence mapped.</x:v>
      </x:c>
      <x:c r="N218" s="10" t="str">
        <x:f>IF(G218="Done",IF(AND(LEN(H218)&gt;0,LEN(M218)&gt;0),"Complete","Evidence required"),"Open")</x:f>
        <x:v>Open</x:v>
      </x:c>
      <x:c r="O218" s="17" t="str">
        <x:v>No complete implementation and acceptance evidence mapped. Retain the original acceptance criteria; this requirement remains open.</x:v>
      </x:c>
      <x:c r="P218" s="17" t="str">
        <x:v>PENDING</x:v>
      </x:c>
    </x:row>
    <x:row r="219" ht="64" customHeight="1">
      <x:c r="A219" s="10" t="str">
        <x:v>FR-AI-014</x:v>
      </x:c>
      <x:c r="B219" s="10" t="str">
        <x:v>R1</x:v>
      </x:c>
      <x:c r="C219" s="10" t="str">
        <x:v>P0</x:v>
      </x:c>
      <x:c r="D219" s="10" t="str">
        <x:v>WP12</x:v>
      </x:c>
      <x:c r="E219" s="10" t="str">
        <x:v>Traceability and reproducibility</x:v>
      </x:c>
      <x:c r="F219" s="10" t="str">
        <x:v>AI lead</x:v>
      </x:c>
      <x:c r="G219" s="12" t="str">
        <x:v>Not started</x:v>
      </x:c>
      <x:c r="H219" s="12" t="str"/>
      <x:c r="I219" s="10" t="str">
        <x:v>The task record stores requester, scope, source versions, use case configuration, model identifier, tool receipts, proposed changes, review decisions and applied domain receipts within retention policy. Users inspect concise evidence and decision explanations.</x:v>
      </x:c>
      <x:c r="J219" s="10" t="str">
        <x:v>Do not store or expose hidden model reasoning. Preserve generated output version where lawful, while acknowledging that rerunning a stochastic model may produce different prose.</x:v>
      </x:c>
      <x:c r="K219" s="10" t="str">
        <x:v>Audit an applied mapping suggestion and identify the evidence, model configuration, reviewer and deterministic command without requiring private chain of thought.</x:v>
      </x:c>
      <x:c r="L219" s="10" t="str">
        <x:v>TC-AI-014-01 / TC-AI-014-02</x:v>
      </x:c>
      <x:c r="M219" s="12" t="str">
        <x:v>No accepted implementation evidence mapped.</x:v>
      </x:c>
      <x:c r="N219" s="10" t="str">
        <x:f>IF(G219="Done",IF(AND(LEN(H219)&gt;0,LEN(M219)&gt;0),"Complete","Evidence required"),"Open")</x:f>
        <x:v>Open</x:v>
      </x:c>
      <x:c r="O219" s="17" t="str">
        <x:v>No complete implementation and acceptance evidence mapped. Retain the original acceptance criteria; this requirement remains open.</x:v>
      </x:c>
      <x:c r="P219" s="17" t="str">
        <x:v>PENDING</x:v>
      </x:c>
    </x:row>
    <x:row r="220" ht="51" customHeight="1">
      <x:c r="A220" s="10" t="str">
        <x:v>FR-AI-015</x:v>
      </x:c>
      <x:c r="B220" s="10" t="str">
        <x:v>R1</x:v>
      </x:c>
      <x:c r="C220" s="10" t="str">
        <x:v>P0</x:v>
      </x:c>
      <x:c r="D220" s="10" t="str">
        <x:v>WP12</x:v>
      </x:c>
      <x:c r="E220" s="10" t="str">
        <x:v>Evaluation and release gates</x:v>
      </x:c>
      <x:c r="F220" s="10" t="str">
        <x:v>AI lead</x:v>
      </x:c>
      <x:c r="G220" s="12" t="str">
        <x:v>Not started</x:v>
      </x:c>
      <x:c r="H220" s="12" t="str"/>
      <x:c r="I220" s="10" t="str">
        <x:v>Each use case has an owner, held out dataset, expected judgements, supported language and sector matrix and release report. Changes to model, prompt, retrieval, tools or policy run regression before controlled exposure.</x:v>
      </x:c>
      <x:c r="J220" s="10" t="str">
        <x:v>A critical unsupported claim, leakage or unauthorised action blocks the affected capability despite a passing average score. Specialist evaluation exceptions require recorded justification.</x:v>
      </x:c>
      <x:c r="K220" s="10" t="str">
        <x:v>Evaluate a candidate with higher average quality but one cross tenant leak; it cannot replace the approved configuration.</x:v>
      </x:c>
      <x:c r="L220" s="10" t="str">
        <x:v>TC-AI-015-01 / TC-AI-015-02</x:v>
      </x:c>
      <x:c r="M220" s="12" t="str">
        <x:v>No accepted implementation evidence mapped.</x:v>
      </x:c>
      <x:c r="N220" s="10" t="str">
        <x:f>IF(G220="Done",IF(AND(LEN(H220)&gt;0,LEN(M220)&gt;0),"Complete","Evidence required"),"Open")</x:f>
        <x:v>Open</x:v>
      </x:c>
      <x:c r="O220" s="17" t="str">
        <x:v>No complete implementation and acceptance evidence mapped. Retain the original acceptance criteria; this requirement remains open.</x:v>
      </x:c>
      <x:c r="P220" s="17" t="str">
        <x:v>PENDING</x:v>
      </x:c>
    </x:row>
    <x:row r="221" ht="64" customHeight="1">
      <x:c r="A221" s="10" t="str">
        <x:v>FR-AI-016</x:v>
      </x:c>
      <x:c r="B221" s="10" t="str">
        <x:v>R1</x:v>
      </x:c>
      <x:c r="C221" s="10" t="str">
        <x:v>P0</x:v>
      </x:c>
      <x:c r="D221" s="10" t="str">
        <x:v>WP12</x:v>
      </x:c>
      <x:c r="E221" s="10" t="str">
        <x:v>Cost latency and fallback</x:v>
      </x:c>
      <x:c r="F221" s="10" t="str">
        <x:v>AI lead</x:v>
      </x:c>
      <x:c r="G221" s="12" t="str">
        <x:v>Not started</x:v>
      </x:c>
      <x:c r="H221" s="12" t="str"/>
      <x:c r="I221" s="10" t="str">
        <x:v>AI requests estimate job class and usage, reserve permitted budget and expose progress, timeout and cancellation. Proposed defaults: standard extraction timeout 15 minutes and report draft timeout 20 minutes; partial drafts remain labelled incomplete. Ordinary QA follows the BRD latency target.</x:v>
      </x:c>
      <x:c r="J221" s="10" t="str">
        <x:v>Budget exhaustion returns a clear limit state without losing user input. Cancellation stops new model and tool calls where controllable; provider work already accepted is accounted separately.</x:v>
      </x:c>
      <x:c r="K221" s="10" t="str">
        <x:v>Exhaust the AI budget during close; the user can still approve data, calculate results and generate a non-AI report.</x:v>
      </x:c>
      <x:c r="L221" s="10" t="str">
        <x:v>TC-AI-016-01 / TC-AI-016-02</x:v>
      </x:c>
      <x:c r="M221" s="12" t="str">
        <x:v>No accepted implementation evidence mapped.</x:v>
      </x:c>
      <x:c r="N221" s="10" t="str">
        <x:f>IF(G221="Done",IF(AND(LEN(H221)&gt;0,LEN(M221)&gt;0),"Complete","Evidence required"),"Open")</x:f>
        <x:v>Open</x:v>
      </x:c>
      <x:c r="O221" s="17" t="str">
        <x:v>No complete implementation and acceptance evidence mapped. Retain the original acceptance criteria; this requirement remains open.</x:v>
      </x:c>
      <x:c r="P221" s="17" t="str">
        <x:v>PENDING</x:v>
      </x:c>
    </x:row>
    <x:row r="222" ht="64" customHeight="1">
      <x:c r="A222" s="10" t="str">
        <x:v>FR-AI-017</x:v>
      </x:c>
      <x:c r="B222" s="10" t="str">
        <x:v>R3</x:v>
      </x:c>
      <x:c r="C222" s="10" t="str">
        <x:v>P2</x:v>
      </x:c>
      <x:c r="D222" s="10" t="str">
        <x:v>WP12</x:v>
      </x:c>
      <x:c r="E222" s="10" t="str">
        <x:v>Forecasts and scenario assistance</x:v>
      </x:c>
      <x:c r="F222" s="10" t="str">
        <x:v>AI lead</x:v>
      </x:c>
      <x:c r="G222" s="12" t="str">
        <x:v>Not started</x:v>
      </x:c>
      <x:c r="H222" s="12" t="str"/>
      <x:c r="I222" s="10" t="str">
        <x:v>Forecasting selects approved input versions, forecast horizon, method, assumptions and validation history. Outputs include uncertainty and scenario label and remain separate from actuals and committed targets. Review controls any adoption as a planning assumption.</x:v>
      </x:c>
      <x:c r="J222" s="10" t="str">
        <x:v>Insufficient evidence produces a withheld forecast or explicitly bounded exploratory output. Changing model or assumptions creates a new scenario version.</x:v>
      </x:c>
      <x:c r="K222" s="10" t="str">
        <x:v>Export actuals and a projection together and verify distinct series, horizon, uncertainty and no automatic overwrite of approved targets.</x:v>
      </x:c>
      <x:c r="L222" s="10" t="str">
        <x:v>TC-AI-017-01 / TC-AI-017-02</x:v>
      </x:c>
      <x:c r="M222" s="12" t="str">
        <x:v>No accepted implementation evidence mapped.</x:v>
      </x:c>
      <x:c r="N222" s="10" t="str">
        <x:f>IF(G222="Done",IF(AND(LEN(H222)&gt;0,LEN(M222)&gt;0),"Complete","Evidence required"),"Open")</x:f>
        <x:v>Open</x:v>
      </x:c>
      <x:c r="O222" s="17" t="str">
        <x:v>No complete implementation and acceptance evidence mapped. Retain the original acceptance criteria; this requirement remains open.</x:v>
      </x:c>
      <x:c r="P222" s="17" t="str">
        <x:v>PENDING</x:v>
      </x:c>
    </x:row>
    <x:row r="223" ht="64" customHeight="1">
      <x:c r="A223" s="10" t="str">
        <x:v>FR-AI-018</x:v>
      </x:c>
      <x:c r="B223" s="10" t="str">
        <x:v>R1</x:v>
      </x:c>
      <x:c r="C223" s="10" t="str">
        <x:v>P0</x:v>
      </x:c>
      <x:c r="D223" s="10" t="str">
        <x:v>WP12</x:v>
      </x:c>
      <x:c r="E223" s="10" t="str">
        <x:v>Safety feedback and shutdown</x:v>
      </x:c>
      <x:c r="F223" s="10" t="str">
        <x:v>AI lead</x:v>
      </x:c>
      <x:c r="G223" s="12" t="str">
        <x:v>Not started</x:v>
      </x:c>
      <x:c r="H223" s="12" t="str"/>
      <x:c r="I223" s="10" t="str">
        <x:v>Feedback captures affected output, category, safe supporting detail and reviewer. Administrators may disable a use case, configuration or destination immediately. Shutdown stops new affected jobs, identifies queued work and lists generated artifacts for review.</x:v>
      </x:c>
      <x:c r="J223" s="10" t="str">
        <x:v>Preserve lawful incident evidence without retaining prohibited source payloads. Disabling AI must not disable independent core workflows. Reenable requires fix evidence and regression approval.</x:v>
      </x:c>
      <x:c r="K223" s="10" t="str">
        <x:v>Simulate an exposed sensitive citation, stop the use case and identify every affected saved answer while manual report workflows continue.</x:v>
      </x:c>
      <x:c r="L223" s="10" t="str">
        <x:v>TC-AI-018-01 / TC-AI-018-02</x:v>
      </x:c>
      <x:c r="M223" s="12" t="str">
        <x:v>No accepted implementation evidence mapped.</x:v>
      </x:c>
      <x:c r="N223" s="10" t="str">
        <x:f>IF(G223="Done",IF(AND(LEN(H223)&gt;0,LEN(M223)&gt;0),"Complete","Evidence required"),"Open")</x:f>
        <x:v>Open</x:v>
      </x:c>
      <x:c r="O223" s="17" t="str">
        <x:v>No complete implementation and acceptance evidence mapped. Retain the original acceptance criteria; this requirement remains open.</x:v>
      </x:c>
      <x:c r="P223" s="17" t="str">
        <x:v>PENDING</x:v>
      </x:c>
    </x:row>
    <x:row r="224" ht="64" customHeight="1">
      <x:c r="A224" s="10" t="str">
        <x:v>FR-SEC-001</x:v>
      </x:c>
      <x:c r="B224" s="10" t="str">
        <x:v>R1</x:v>
      </x:c>
      <x:c r="C224" s="10" t="str">
        <x:v>P0</x:v>
      </x:c>
      <x:c r="D224" s="10" t="str">
        <x:v>WP14</x:v>
      </x:c>
      <x:c r="E224" s="10" t="str">
        <x:v>Security threat assessment</x:v>
      </x:c>
      <x:c r="F224" s="10" t="str">
        <x:v>Platform security lead</x:v>
      </x:c>
      <x:c r="G224" s="12" t="str">
        <x:v>Not started</x:v>
      </x:c>
      <x:c r="H224" s="12" t="str"/>
      <x:c r="I224" s="10" t="str">
        <x:v>The release review records threat scenarios for identity, tenant boundaries, source data, files, offline devices, publication, AI and support. Each threat links to a functional control, owner, test and residual decision. Material feature changes trigger an impact review.</x:v>
      </x:c>
      <x:c r="J224" s="10" t="str">
        <x:v>An unresolved critical path cannot be hidden by a general security signoff. Tests must include chained abuse across modules, not only isolated input checks.</x:v>
      </x:c>
      <x:c r="K224" s="10" t="str">
        <x:v>Review a document injection leading to export and a support access escalation; identify the independent controls and verification evidence for both paths.</x:v>
      </x:c>
      <x:c r="L224" s="10" t="str">
        <x:v>TC-SEC-001-01 / TC-SEC-001-02</x:v>
      </x:c>
      <x:c r="M224" s="12" t="str">
        <x:v>No accepted implementation evidence mapped.</x:v>
      </x:c>
      <x:c r="N224" s="10" t="str">
        <x:f>IF(G224="Done",IF(AND(LEN(H224)&gt;0,LEN(M224)&gt;0),"Complete","Evidence required"),"Open")</x:f>
        <x:v>Open</x:v>
      </x:c>
      <x:c r="O224" s="17" t="str">
        <x:v>No complete implementation and acceptance evidence mapped. Retain the original acceptance criteria; this requirement remains open.</x:v>
      </x:c>
      <x:c r="P224" s="17" t="str">
        <x:v>PENDING</x:v>
      </x:c>
    </x:row>
    <x:row r="225" ht="64" customHeight="1">
      <x:c r="A225" s="10" t="str">
        <x:v>FR-SEC-002</x:v>
      </x:c>
      <x:c r="B225" s="10" t="str">
        <x:v>R1</x:v>
      </x:c>
      <x:c r="C225" s="10" t="str">
        <x:v>P0</x:v>
      </x:c>
      <x:c r="D225" s="10" t="str">
        <x:v>WP14</x:v>
      </x:c>
      <x:c r="E225" s="10" t="str">
        <x:v>Encryption and key governance</x:v>
      </x:c>
      <x:c r="F225" s="10" t="str">
        <x:v>Platform security lead</x:v>
      </x:c>
      <x:c r="G225" s="12" t="str">
        <x:v>Not started</x:v>
      </x:c>
      <x:c r="H225" s="12" t="str"/>
      <x:c r="I225" s="10" t="str">
        <x:v>The security inventory covers every permitted data location and transport, including temporary artifacts, backups and offline packages. Operational interfaces expose key ownership, status, expiry and rotation evidence without displaying key material.</x:v>
      </x:c>
      <x:c r="J225" s="10" t="str">
        <x:v>HLD selects qualified cryptography and key custody. Loss or revocation of a required key returns controlled unavailable state, never a plaintext fallback. Rotation preserves authorised recoverability.</x:v>
      </x:c>
      <x:c r="K225" s="10" t="str">
        <x:v>Rotate a test data protection key and verify approved records and backups remain accessible only through authorised paths, with no exposed key values.</x:v>
      </x:c>
      <x:c r="L225" s="10" t="str">
        <x:v>TC-SEC-002-01 / TC-SEC-002-02</x:v>
      </x:c>
      <x:c r="M225" s="12" t="str">
        <x:v>No accepted implementation evidence mapped.</x:v>
      </x:c>
      <x:c r="N225" s="10" t="str">
        <x:f>IF(G225="Done",IF(AND(LEN(H225)&gt;0,LEN(M225)&gt;0),"Complete","Evidence required"),"Open")</x:f>
        <x:v>Open</x:v>
      </x:c>
      <x:c r="O225" s="17" t="str">
        <x:v>No complete implementation and acceptance evidence mapped. Retain the original acceptance criteria; this requirement remains open.</x:v>
      </x:c>
      <x:c r="P225" s="17" t="str">
        <x:v>PENDING</x:v>
      </x:c>
    </x:row>
    <x:row r="226" ht="64" customHeight="1">
      <x:c r="A226" s="10" t="str">
        <x:v>FR-SEC-003</x:v>
      </x:c>
      <x:c r="B226" s="10" t="str">
        <x:v>R1</x:v>
      </x:c>
      <x:c r="C226" s="10" t="str">
        <x:v>P0</x:v>
      </x:c>
      <x:c r="D226" s="10" t="str">
        <x:v>WP14</x:v>
      </x:c>
      <x:c r="E226" s="10" t="str">
        <x:v>Tenant isolation verification</x:v>
      </x:c>
      <x:c r="F226" s="10" t="str">
        <x:v>Platform security lead</x:v>
      </x:c>
      <x:c r="G226" s="12" t="str">
        <x:v>In progress</x:v>
      </x:c>
      <x:c r="H226" s="12" t="str"/>
      <x:c r="I226" s="10" t="str">
        <x:v>Every release affecting tenancy runs isolation fixtures across records, attachments, async jobs, caches, search, AI and support. Each fixture uses distinct synthetic tenant markers and principals with differing roles. Findings record the specific exposed path.</x:v>
      </x:c>
      <x:c r="J226" s="10" t="str">
        <x:v>Shared infrastructure or reused cache entries cannot imply shared authorisation. Isolation failure blocks the affected release regardless of a successful ordinary workflow.</x:v>
      </x:c>
      <x:c r="K226" s="10" t="str">
        <x:v>Guess another tenant's artifact, request it through a background job and ask AI for its contents; no path returns the synthetic marker.</x:v>
      </x:c>
      <x:c r="L226" s="10" t="str">
        <x:v>TC-SEC-003-01 / TC-SEC-003-02</x:v>
      </x:c>
      <x:c r="M226" s="12" t="str">
        <x:v>apps/api/impact_api/store.py; apps/api/impact_api/auth.py; qualification/test_live_application.py</x:v>
      </x:c>
      <x:c r="N226" s="10" t="str">
        <x:f>IF(G226="Done",IF(AND(LEN(H226)&gt;0,LEN(M226)&gt;0),"Complete","Evidence required"),"Open")</x:f>
        <x:v>Open</x:v>
      </x:c>
      <x:c r="O226" s="17" t="str">
        <x:v>Implemented routes enforce explicit grants, tenant fences, natural-person independence, revisions and retry receipts. Native database concurrency, every future module, audit tamper evidence and production assurance remain open.</x:v>
      </x:c>
      <x:c r="P226" s="17" t="str">
        <x:v>PARTIAL</x:v>
      </x:c>
    </x:row>
    <x:row r="227" ht="77" customHeight="1">
      <x:c r="A227" s="10" t="str">
        <x:v>FR-SEC-004</x:v>
      </x:c>
      <x:c r="B227" s="10" t="str">
        <x:v>R1</x:v>
      </x:c>
      <x:c r="C227" s="10" t="str">
        <x:v>P0</x:v>
      </x:c>
      <x:c r="D227" s="10" t="str">
        <x:v>WP14</x:v>
      </x:c>
      <x:c r="E227" s="10" t="str">
        <x:v>Application and API protection</x:v>
      </x:c>
      <x:c r="F227" s="10" t="str">
        <x:v>Platform security lead</x:v>
      </x:c>
      <x:c r="G227" s="12" t="str">
        <x:v>In progress</x:v>
      </x:c>
      <x:c r="H227" s="12" t="str"/>
      <x:c r="I227" s="10" t="str">
        <x:v>The product validates bounded typed input, safely renders text, protects authenticated mutations and verifies outbound destinations. Public and authenticated surfaces share domain authorisation and safe error contracts. Security verification maps applicable ASVS 5.0 controls through Level 2 including Level 1.</x:v>
      </x:c>
      <x:c r="J227" s="10" t="str">
        <x:v>Security tests cover uploads, rich text, links, filtering, exports and API references. No broad assertion of immunity replaces passing evidence and independent review.</x:v>
      </x:c>
      <x:c r="K227" s="10" t="str">
        <x:v>Submit script-like text, a cross tenant object reference and an internal network URL; each is safely rendered or rejected at the relevant boundary.</x:v>
      </x:c>
      <x:c r="L227" s="10" t="str">
        <x:v>TC-SEC-004-01 / TC-SEC-004-02</x:v>
      </x:c>
      <x:c r="M227" s="12" t="str">
        <x:v>apps/api/impact_api/store.py; apps/api/impact_api/auth.py; qualification/test_live_application.py</x:v>
      </x:c>
      <x:c r="N227" s="10" t="str">
        <x:f>IF(G227="Done",IF(AND(LEN(H227)&gt;0,LEN(M227)&gt;0),"Complete","Evidence required"),"Open")</x:f>
        <x:v>Open</x:v>
      </x:c>
      <x:c r="O227" s="17" t="str">
        <x:v>Implemented routes enforce explicit grants, tenant fences, natural-person independence, revisions and retry receipts. Native database concurrency, every future module, audit tamper evidence and production assurance remain open.</x:v>
      </x:c>
      <x:c r="P227" s="17" t="str">
        <x:v>PARTIAL</x:v>
      </x:c>
    </x:row>
    <x:row r="228" ht="64" customHeight="1">
      <x:c r="A228" s="10" t="str">
        <x:v>FR-SEC-005</x:v>
      </x:c>
      <x:c r="B228" s="10" t="str">
        <x:v>R1</x:v>
      </x:c>
      <x:c r="C228" s="10" t="str">
        <x:v>P0</x:v>
      </x:c>
      <x:c r="D228" s="10" t="str">
        <x:v>WP14</x:v>
      </x:c>
      <x:c r="E228" s="10" t="str">
        <x:v>File and content safety</x:v>
      </x:c>
      <x:c r="F228" s="10" t="str">
        <x:v>Platform security lead</x:v>
      </x:c>
      <x:c r="G228" s="12" t="str">
        <x:v>Not started</x:v>
      </x:c>
      <x:c r="H228" s="12" t="str"/>
      <x:c r="I228" s="10" t="str">
        <x:v>File receipt identifies actual content type, size, expansion limits and permitted processing. Files remain quarantined until checks complete. Previews execute no active content. External fetches validate destination before request and after redirects.</x:v>
      </x:c>
      <x:c r="J228" s="10" t="str">
        <x:v>R1 excludes executables and macro enabled documents. Password protected unscannable files remain quarantined or are rejected; archives need a specifically qualified bounded profile.</x:v>
      </x:c>
      <x:c r="K228" s="10" t="str">
        <x:v>Upload a misleading extension, malicious document and archive expansion fixture; none reaches normal preview or satisfies mandatory evidence requirements.</x:v>
      </x:c>
      <x:c r="L228" s="10" t="str">
        <x:v>TC-SEC-005-01 / TC-SEC-005-02</x:v>
      </x:c>
      <x:c r="M228" s="12" t="str">
        <x:v>No accepted implementation evidence mapped.</x:v>
      </x:c>
      <x:c r="N228" s="10" t="str">
        <x:f>IF(G228="Done",IF(AND(LEN(H228)&gt;0,LEN(M228)&gt;0),"Complete","Evidence required"),"Open")</x:f>
        <x:v>Open</x:v>
      </x:c>
      <x:c r="O228" s="17" t="str">
        <x:v>No complete implementation and acceptance evidence mapped. Retain the original acceptance criteria; this requirement remains open.</x:v>
      </x:c>
      <x:c r="P228" s="17" t="str">
        <x:v>PENDING</x:v>
      </x:c>
    </x:row>
    <x:row r="229" ht="51" customHeight="1">
      <x:c r="A229" s="10" t="str">
        <x:v>FR-SEC-006</x:v>
      </x:c>
      <x:c r="B229" s="10" t="str">
        <x:v>R1</x:v>
      </x:c>
      <x:c r="C229" s="10" t="str">
        <x:v>P0</x:v>
      </x:c>
      <x:c r="D229" s="10" t="str">
        <x:v>WP14</x:v>
      </x:c>
      <x:c r="E229" s="10" t="str">
        <x:v>Secrets management</x:v>
      </x:c>
      <x:c r="F229" s="10" t="str">
        <x:v>Platform security lead</x:v>
      </x:c>
      <x:c r="G229" s="12" t="str">
        <x:v>Not started</x:v>
      </x:c>
      <x:c r="H229" s="12" t="str"/>
      <x:c r="I229" s="10" t="str">
        <x:v>Secret entry returns only a credential reference and safe fingerprint. Rotation and revocation are explicit operations with owner, scope and audit. Configuration export omits values and marks required reconfiguration on import.</x:v>
      </x:c>
      <x:c r="J229" s="10" t="str">
        <x:v>Secrets cannot appear in ordinary admin views, client storage, generated reports or diagnostics. An export of a connection never exports a reusable credential.</x:v>
      </x:c>
      <x:c r="K229" s="10" t="str">
        <x:v>Rotate a connector credential, export its configuration and inspect permitted logs; the old credential is rejected and neither secret is present in the artifacts.</x:v>
      </x:c>
      <x:c r="L229" s="10" t="str">
        <x:v>TC-SEC-006-01 / TC-SEC-006-02</x:v>
      </x:c>
      <x:c r="M229" s="12" t="str">
        <x:v>No accepted implementation evidence mapped.</x:v>
      </x:c>
      <x:c r="N229" s="10" t="str">
        <x:f>IF(G229="Done",IF(AND(LEN(H229)&gt;0,LEN(M229)&gt;0),"Complete","Evidence required"),"Open")</x:f>
        <x:v>Open</x:v>
      </x:c>
      <x:c r="O229" s="17" t="str">
        <x:v>No complete implementation and acceptance evidence mapped. Retain the original acceptance criteria; this requirement remains open.</x:v>
      </x:c>
      <x:c r="P229" s="17" t="str">
        <x:v>PENDING</x:v>
      </x:c>
    </x:row>
    <x:row r="230" ht="64" customHeight="1">
      <x:c r="A230" s="10" t="str">
        <x:v>FR-SEC-007</x:v>
      </x:c>
      <x:c r="B230" s="10" t="str">
        <x:v>R1</x:v>
      </x:c>
      <x:c r="C230" s="10" t="str">
        <x:v>P0</x:v>
      </x:c>
      <x:c r="D230" s="10" t="str">
        <x:v>WP14</x:v>
      </x:c>
      <x:c r="E230" s="10" t="str">
        <x:v>Tamper evident audit</x:v>
      </x:c>
      <x:c r="F230" s="10" t="str">
        <x:v>Platform security lead</x:v>
      </x:c>
      <x:c r="G230" s="12" t="str">
        <x:v>In progress</x:v>
      </x:c>
      <x:c r="H230" s="12" t="str"/>
      <x:c r="I230" s="10" t="str">
        <x:v>Audit events follow the event catalogue and contain real actor, delegated capacity, tenant, action, object version, outcome, time and correlation. Privileged reads and decisions are covered. Search and export are restricted to authorised audit scopes.</x:v>
      </x:c>
      <x:c r="J230" s="10" t="str">
        <x:v>Audit correction is an additional event, not an edit of past history. Retention and lawful minimisation are governed processes; administrators cannot erase inconvenient entries.</x:v>
      </x:c>
      <x:c r="K230" s="10" t="str">
        <x:v>Attempt to change an approval event through ordinary administration; it fails, and the attempt plus original decision remain attributable.</x:v>
      </x:c>
      <x:c r="L230" s="10" t="str">
        <x:v>TC-SEC-007-01 / TC-SEC-007-02</x:v>
      </x:c>
      <x:c r="M230" s="12" t="str">
        <x:v>apps/api/impact_api/store.py; apps/api/impact_api/auth.py; qualification/test_live_application.py</x:v>
      </x:c>
      <x:c r="N230" s="10" t="str">
        <x:f>IF(G230="Done",IF(AND(LEN(H230)&gt;0,LEN(M230)&gt;0),"Complete","Evidence required"),"Open")</x:f>
        <x:v>Open</x:v>
      </x:c>
      <x:c r="O230" s="17" t="str">
        <x:v>Implemented routes enforce explicit grants, tenant fences, natural-person independence, revisions and retry receipts. Native database concurrency, every future module, audit tamper evidence and production assurance remain open.</x:v>
      </x:c>
      <x:c r="P230" s="17" t="str">
        <x:v>PARTIAL</x:v>
      </x:c>
    </x:row>
    <x:row r="231" ht="64" customHeight="1">
      <x:c r="A231" s="10" t="str">
        <x:v>FR-SEC-008</x:v>
      </x:c>
      <x:c r="B231" s="10" t="str">
        <x:v>R1</x:v>
      </x:c>
      <x:c r="C231" s="10" t="str">
        <x:v>P0</x:v>
      </x:c>
      <x:c r="D231" s="10" t="str">
        <x:v>WP14</x:v>
      </x:c>
      <x:c r="E231" s="10" t="str">
        <x:v>Secure engineering lifecycle</x:v>
      </x:c>
      <x:c r="F231" s="10" t="str">
        <x:v>Platform security lead</x:v>
      </x:c>
      <x:c r="G231" s="12" t="str">
        <x:v>Not started</x:v>
      </x:c>
      <x:c r="H231" s="12" t="str"/>
      <x:c r="I231" s="10" t="str">
        <x:v>A release record links requirement and specification changes, reviewed code, dependency and licence inventory, security checks, migration results and approvers. Security relevant changes identify their affected threat and regression cases.</x:v>
      </x:c>
      <x:c r="J231" s="10" t="str">
        <x:v>A feature flag is not a security exemption. Production promotion requires the declared gate evidence; unsupported dependencies receive an owned risk and resolution decision.</x:v>
      </x:c>
      <x:c r="K231" s="10" t="str">
        <x:v>Select a production version and trace a changed export rule to its FSD parent, reviewed change, negative tests and release approval.</x:v>
      </x:c>
      <x:c r="L231" s="10" t="str">
        <x:v>TC-SEC-008-01 / TC-SEC-008-02</x:v>
      </x:c>
      <x:c r="M231" s="12" t="str">
        <x:v>No accepted implementation evidence mapped.</x:v>
      </x:c>
      <x:c r="N231" s="10" t="str">
        <x:f>IF(G231="Done",IF(AND(LEN(H231)&gt;0,LEN(M231)&gt;0),"Complete","Evidence required"),"Open")</x:f>
        <x:v>Open</x:v>
      </x:c>
      <x:c r="O231" s="17" t="str">
        <x:v>No complete implementation and acceptance evidence mapped. Retain the original acceptance criteria; this requirement remains open.</x:v>
      </x:c>
      <x:c r="P231" s="17" t="str">
        <x:v>PENDING</x:v>
      </x:c>
    </x:row>
    <x:row r="232" ht="64" customHeight="1">
      <x:c r="A232" s="10" t="str">
        <x:v>FR-SEC-009</x:v>
      </x:c>
      <x:c r="B232" s="10" t="str">
        <x:v>R1</x:v>
      </x:c>
      <x:c r="C232" s="10" t="str">
        <x:v>P0</x:v>
      </x:c>
      <x:c r="D232" s="10" t="str">
        <x:v>WP14</x:v>
      </x:c>
      <x:c r="E232" s="10" t="str">
        <x:v>Vulnerability management</x:v>
      </x:c>
      <x:c r="F232" s="10" t="str">
        <x:v>Platform security lead</x:v>
      </x:c>
      <x:c r="G232" s="12" t="str">
        <x:v>Not started</x:v>
      </x:c>
      <x:c r="H232" s="12" t="str"/>
      <x:c r="I232" s="10" t="str">
        <x:v>Vulnerability intake creates a restricted case with reported scope, severity, affected versions, owner and timing targets. Triage distinguishes confirmed exposure from suspected risk; mitigation, fix, independent retest and closure are separate milestones.</x:v>
      </x:c>
      <x:c r="J232" s="10" t="str">
        <x:v>Critical and high findings affecting confidentiality, integrity or access follow the BRD release block and timing targets. Exceptions never silently downgrade severity.</x:v>
      </x:c>
      <x:c r="K232" s="10" t="str">
        <x:v>Simulate a credential exposure and record report, acknowledgement, containment, rotation, fix and retest times against the applicable targets.</x:v>
      </x:c>
      <x:c r="L232" s="10" t="str">
        <x:v>TC-SEC-009-01 / TC-SEC-009-02</x:v>
      </x:c>
      <x:c r="M232" s="12" t="str">
        <x:v>No accepted implementation evidence mapped.</x:v>
      </x:c>
      <x:c r="N232" s="10" t="str">
        <x:f>IF(G232="Done",IF(AND(LEN(H232)&gt;0,LEN(M232)&gt;0),"Complete","Evidence required"),"Open")</x:f>
        <x:v>Open</x:v>
      </x:c>
      <x:c r="O232" s="17" t="str">
        <x:v>No complete implementation and acceptance evidence mapped. Retain the original acceptance criteria; this requirement remains open.</x:v>
      </x:c>
      <x:c r="P232" s="17" t="str">
        <x:v>PENDING</x:v>
      </x:c>
    </x:row>
    <x:row r="233" ht="64" customHeight="1">
      <x:c r="A233" s="10" t="str">
        <x:v>FR-SEC-010</x:v>
      </x:c>
      <x:c r="B233" s="10" t="str">
        <x:v>R1</x:v>
      </x:c>
      <x:c r="C233" s="10" t="str">
        <x:v>P0</x:v>
      </x:c>
      <x:c r="D233" s="10" t="str">
        <x:v>WP14</x:v>
      </x:c>
      <x:c r="E233" s="10" t="str">
        <x:v>Independent assurance</x:v>
      </x:c>
      <x:c r="F233" s="10" t="str">
        <x:v>Platform security lead</x:v>
      </x:c>
      <x:c r="G233" s="12" t="str">
        <x:v>Not started</x:v>
      </x:c>
      <x:c r="H233" s="12" t="str"/>
      <x:c r="I233" s="10" t="str">
        <x:v>The assurance record names the assessment scope, deployment profile, assessor independence, dates, findings and retest evidence. General production release requires the defined independent assessment; material changes or annual recurrence create another obligation.</x:v>
      </x:c>
      <x:c r="J233" s="10" t="str">
        <x:v>Do not label a partial review as whole product certification. Unresolved critical or high exposure needs an effective verified mitigation before release.</x:v>
      </x:c>
      <x:c r="K233" s="10" t="str">
        <x:v>Attempt release with an unretired high object-authorisation finding; the gate remains blocked until independently retested mitigation is recorded.</x:v>
      </x:c>
      <x:c r="L233" s="10" t="str">
        <x:v>TC-SEC-010-01 / TC-SEC-010-02</x:v>
      </x:c>
      <x:c r="M233" s="12" t="str">
        <x:v>No accepted implementation evidence mapped.</x:v>
      </x:c>
      <x:c r="N233" s="10" t="str">
        <x:f>IF(G233="Done",IF(AND(LEN(H233)&gt;0,LEN(M233)&gt;0),"Complete","Evidence required"),"Open")</x:f>
        <x:v>Open</x:v>
      </x:c>
      <x:c r="O233" s="17" t="str">
        <x:v>No complete implementation and acceptance evidence mapped. Retain the original acceptance criteria; this requirement remains open.</x:v>
      </x:c>
      <x:c r="P233" s="17" t="str">
        <x:v>PENDING</x:v>
      </x:c>
    </x:row>
    <x:row r="234" ht="77" customHeight="1">
      <x:c r="A234" s="10" t="str">
        <x:v>FR-SEC-011</x:v>
      </x:c>
      <x:c r="B234" s="10" t="str">
        <x:v>R1</x:v>
      </x:c>
      <x:c r="C234" s="10" t="str">
        <x:v>P0</x:v>
      </x:c>
      <x:c r="D234" s="10" t="str">
        <x:v>WP14</x:v>
      </x:c>
      <x:c r="E234" s="10" t="str">
        <x:v>Detection and incident response</x:v>
      </x:c>
      <x:c r="F234" s="10" t="str">
        <x:v>Platform security lead</x:v>
      </x:c>
      <x:c r="G234" s="12" t="str">
        <x:v>Not started</x:v>
      </x:c>
      <x:c r="H234" s="12" t="str"/>
      <x:c r="I234" s="10" t="str">
        <x:v>Detection rules generate restricted incident records for suspicious identity changes, bulk extraction, service misuse and failed controls. On call receives safe context and correlation references. Incident handling records containment, affected tenants, evidence preservation, recovery and communications decisions.</x:v>
      </x:c>
      <x:c r="J234" s="10" t="str">
        <x:v>Notifications use the approved legal and contractual policy, not an invented universal deadline. Investigation access follows exceptional support controls.</x:v>
      </x:c>
      <x:c r="K234" s="10" t="str">
        <x:v>A simulated compromised service identity triggers detection and revocation; the incident identifies affected jobs and potential disclosures without exposing payloads in general alerts.</x:v>
      </x:c>
      <x:c r="L234" s="10" t="str">
        <x:v>TC-SEC-011-01 / TC-SEC-011-02</x:v>
      </x:c>
      <x:c r="M234" s="12" t="str">
        <x:v>No accepted implementation evidence mapped.</x:v>
      </x:c>
      <x:c r="N234" s="10" t="str">
        <x:f>IF(G234="Done",IF(AND(LEN(H234)&gt;0,LEN(M234)&gt;0),"Complete","Evidence required"),"Open")</x:f>
        <x:v>Open</x:v>
      </x:c>
      <x:c r="O234" s="17" t="str">
        <x:v>No complete implementation and acceptance evidence mapped. Retain the original acceptance criteria; this requirement remains open.</x:v>
      </x:c>
      <x:c r="P234" s="17" t="str">
        <x:v>PENDING</x:v>
      </x:c>
    </x:row>
    <x:row r="235" ht="64" customHeight="1">
      <x:c r="A235" s="10" t="str">
        <x:v>FR-SEC-012</x:v>
      </x:c>
      <x:c r="B235" s="10" t="str">
        <x:v>R1</x:v>
      </x:c>
      <x:c r="C235" s="10" t="str">
        <x:v>P0</x:v>
      </x:c>
      <x:c r="D235" s="10" t="str">
        <x:v>WP14</x:v>
      </x:c>
      <x:c r="E235" s="10" t="str">
        <x:v>Environment separation</x:v>
      </x:c>
      <x:c r="F235" s="10" t="str">
        <x:v>Platform security lead</x:v>
      </x:c>
      <x:c r="G235" s="12" t="str">
        <x:v>In progress</x:v>
      </x:c>
      <x:c r="H235" s="12" t="str"/>
      <x:c r="I235" s="10" t="str">
        <x:v>Environment identity is visible to operators and integration developers. Test and production credentials are distinct and cannot cross authenticate. Synthetic data is the default for lower environments; exceptional production samples require approved minimisation and expiry.</x:v>
      </x:c>
      <x:c r="J235" s="10" t="str">
        <x:v>No hidden production test users or bypass roles. A copied configuration omits production secrets, external recipients and active schedules.</x:v>
      </x:c>
      <x:c r="K235" s="10" t="str">
        <x:v>Use a test credential against production and attempt to activate copied report schedules in a sandbox; both are prevented.</x:v>
      </x:c>
      <x:c r="L235" s="10" t="str">
        <x:v>TC-SEC-012-01 / TC-SEC-012-02</x:v>
      </x:c>
      <x:c r="M235" s="12" t="str">
        <x:v>apps/api/impact_api/store.py; apps/api/impact_api/auth.py; qualification/test_live_application.py</x:v>
      </x:c>
      <x:c r="N235" s="10" t="str">
        <x:f>IF(G235="Done",IF(AND(LEN(H235)&gt;0,LEN(M235)&gt;0),"Complete","Evidence required"),"Open")</x:f>
        <x:v>Open</x:v>
      </x:c>
      <x:c r="O235" s="17" t="str">
        <x:v>Implemented routes enforce explicit grants, tenant fences, natural-person independence, revisions and retry receipts. Native database concurrency, every future module, audit tamper evidence and production assurance remain open.</x:v>
      </x:c>
      <x:c r="P235" s="17" t="str">
        <x:v>PARTIAL</x:v>
      </x:c>
    </x:row>
    <x:row r="236" ht="64" customHeight="1">
      <x:c r="A236" s="10" t="str">
        <x:v>FR-SEC-013</x:v>
      </x:c>
      <x:c r="B236" s="10" t="str">
        <x:v>R1</x:v>
      </x:c>
      <x:c r="C236" s="10" t="str">
        <x:v>P0</x:v>
      </x:c>
      <x:c r="D236" s="10" t="str">
        <x:v>WP14</x:v>
      </x:c>
      <x:c r="E236" s="10" t="str">
        <x:v>Privileged operations</x:v>
      </x:c>
      <x:c r="F236" s="10" t="str">
        <x:v>Platform security lead</x:v>
      </x:c>
      <x:c r="G236" s="12" t="str">
        <x:v>Not started</x:v>
      </x:c>
      <x:c r="H236" s="12" t="str"/>
      <x:c r="I236" s="10" t="str">
        <x:v>Operators request elevation for a named incident or maintenance task, exact capability scope and duration. A distinct reviewer approves where required; emergency activation creates mandatory retrospective review. Sessions retain real actor and expire automatically.</x:v>
      </x:c>
      <x:c r="J236" s="10" t="str">
        <x:v>Standing broad content access is prohibited by default. A privileged operation rechecks current elevation and cannot continue from an expired job credential.</x:v>
      </x:c>
      <x:c r="K236" s="10" t="str">
        <x:v>Elevate an operator for recovery diagnostics, expire the grant and verify further reads and queued sensitive operations are denied.</x:v>
      </x:c>
      <x:c r="L236" s="10" t="str">
        <x:v>TC-SEC-013-01 / TC-SEC-013-02</x:v>
      </x:c>
      <x:c r="M236" s="12" t="str">
        <x:v>No accepted implementation evidence mapped.</x:v>
      </x:c>
      <x:c r="N236" s="10" t="str">
        <x:f>IF(G236="Done",IF(AND(LEN(H236)&gt;0,LEN(M236)&gt;0),"Complete","Evidence required"),"Open")</x:f>
        <x:v>Open</x:v>
      </x:c>
      <x:c r="O236" s="17" t="str">
        <x:v>No complete implementation and acceptance evidence mapped. Retain the original acceptance criteria; this requirement remains open.</x:v>
      </x:c>
      <x:c r="P236" s="17" t="str">
        <x:v>PENDING</x:v>
      </x:c>
    </x:row>
    <x:row r="237" ht="64" customHeight="1">
      <x:c r="A237" s="10" t="str">
        <x:v>FR-SEC-014</x:v>
      </x:c>
      <x:c r="B237" s="10" t="str">
        <x:v>R1</x:v>
      </x:c>
      <x:c r="C237" s="10" t="str">
        <x:v>P0</x:v>
      </x:c>
      <x:c r="D237" s="10" t="str">
        <x:v>WP14</x:v>
      </x:c>
      <x:c r="E237" s="10" t="str">
        <x:v>Resilience to abusive traffic</x:v>
      </x:c>
      <x:c r="F237" s="10" t="str">
        <x:v>Platform security lead</x:v>
      </x:c>
      <x:c r="G237" s="12" t="str">
        <x:v>Not started</x:v>
      </x:c>
      <x:c r="H237" s="12" t="str"/>
      <x:c r="I237" s="10" t="str">
        <x:v>Abuse controls separately govern login, public collection, search, exports and AI. Affected users see a safe wait or recovery route. Limits use tenant and credential context so one abusive source does not indiscriminately lock out unrelated organisations.</x:v>
      </x:c>
      <x:c r="J237" s="10" t="str">
        <x:v>Accessible challenges and assisted recovery are available where needed. Denial controls cannot expose account existence or participant lookup results.</x:v>
      </x:c>
      <x:c r="K237" s="10" t="str">
        <x:v>Apply a burst to one public form and verify bounded rejection there while other tenants continue collecting and approving records.</x:v>
      </x:c>
      <x:c r="L237" s="10" t="str">
        <x:v>TC-SEC-014-01 / TC-SEC-014-02</x:v>
      </x:c>
      <x:c r="M237" s="12" t="str">
        <x:v>No accepted implementation evidence mapped.</x:v>
      </x:c>
      <x:c r="N237" s="10" t="str">
        <x:f>IF(G237="Done",IF(AND(LEN(H237)&gt;0,LEN(M237)&gt;0),"Complete","Evidence required"),"Open")</x:f>
        <x:v>Open</x:v>
      </x:c>
      <x:c r="O237" s="17" t="str">
        <x:v>No complete implementation and acceptance evidence mapped. Retain the original acceptance criteria; this requirement remains open.</x:v>
      </x:c>
      <x:c r="P237" s="17" t="str">
        <x:v>PENDING</x:v>
      </x:c>
    </x:row>
    <x:row r="238" ht="64" customHeight="1">
      <x:c r="A238" s="10" t="str">
        <x:v>FR-SEC-015</x:v>
      </x:c>
      <x:c r="B238" s="10" t="str">
        <x:v>R3</x:v>
      </x:c>
      <x:c r="C238" s="10" t="str">
        <x:v>P2</x:v>
      </x:c>
      <x:c r="D238" s="10" t="str">
        <x:v>WP14</x:v>
      </x:c>
      <x:c r="E238" s="10" t="str">
        <x:v>Enterprise assurance options</x:v>
      </x:c>
      <x:c r="F238" s="10" t="str">
        <x:v>Platform security lead</x:v>
      </x:c>
      <x:c r="G238" s="12" t="str">
        <x:v>Not started</x:v>
      </x:c>
      <x:c r="H238" s="12" t="str"/>
      <x:c r="I238" s="10" t="str">
        <x:v>A deployment variant has a named capability profile, region and recovery constraints, responsibilities, upgrade process, key custody and exit process. Product screens show supported and unsupported features for that qualified profile.</x:v>
      </x:c>
      <x:c r="J238" s="10" t="str">
        <x:v>Dedicated deployment and customer controlled keys are not available merely by selecting a commercial checkbox. Each offered variant must pass equivalent functional, isolation and recovery gates.</x:v>
      </x:c>
      <x:c r="K238" s="10" t="str">
        <x:v>Qualify one dedicated profile, lose its customer controlled key and verify the documented unavailable and recovery behaviour without silently moving data elsewhere.</x:v>
      </x:c>
      <x:c r="L238" s="10" t="str">
        <x:v>TC-SEC-015-01 / TC-SEC-015-02</x:v>
      </x:c>
      <x:c r="M238" s="12" t="str">
        <x:v>No accepted implementation evidence mapped.</x:v>
      </x:c>
      <x:c r="N238" s="10" t="str">
        <x:f>IF(G238="Done",IF(AND(LEN(H238)&gt;0,LEN(M238)&gt;0),"Complete","Evidence required"),"Open")</x:f>
        <x:v>Open</x:v>
      </x:c>
      <x:c r="O238" s="17" t="str">
        <x:v>No complete implementation and acceptance evidence mapped. Retain the original acceptance criteria; this requirement remains open.</x:v>
      </x:c>
      <x:c r="P238" s="17" t="str">
        <x:v>PENDING</x:v>
      </x:c>
    </x:row>
    <x:row r="239" ht="64" customHeight="1">
      <x:c r="A239" s="10" t="str">
        <x:v>FR-PRV-001</x:v>
      </x:c>
      <x:c r="B239" s="10" t="str">
        <x:v>R1</x:v>
      </x:c>
      <x:c r="C239" s="10" t="str">
        <x:v>P0</x:v>
      </x:c>
      <x:c r="D239" s="10" t="str">
        <x:v>WP13</x:v>
      </x:c>
      <x:c r="E239" s="10" t="str">
        <x:v>Data inventory and classification</x:v>
      </x:c>
      <x:c r="F239" s="10" t="str">
        <x:v>Privacy engineering lead</x:v>
      </x:c>
      <x:c r="G239" s="12" t="str">
        <x:v>Not started</x:v>
      </x:c>
      <x:c r="H239" s="12" t="str"/>
      <x:c r="I239" s="10" t="str">
        <x:v>Every new data field and source receives classification, purpose, owner and retention. Default inheritance uses the stricter source classification; explicit reclassification requires review and shows affected forms, exports, indexes and AI policies.</x:v>
      </x:c>
      <x:c r="J239" s="10" t="str">
        <x:v>Derived data cannot downgrade itself. Credentials are excluded from ordinary content classification and handled as secrets. Unclassified sensitive production collection is blocked.</x:v>
      </x:c>
      <x:c r="K239" s="10" t="str">
        <x:v>Add a restricted participant field and verify its values are absent from ordinary logs, analyst views, exports and unapproved model inputs.</x:v>
      </x:c>
      <x:c r="L239" s="10" t="str">
        <x:v>TC-PRV-001-01 / TC-PRV-001-02</x:v>
      </x:c>
      <x:c r="M239" s="12" t="str">
        <x:v>No accepted implementation evidence mapped.</x:v>
      </x:c>
      <x:c r="N239" s="10" t="str">
        <x:f>IF(G239="Done",IF(AND(LEN(H239)&gt;0,LEN(M239)&gt;0),"Complete","Evidence required"),"Open")</x:f>
        <x:v>Open</x:v>
      </x:c>
      <x:c r="O239" s="17" t="str">
        <x:v>No complete implementation and acceptance evidence mapped. Retain the original acceptance criteria; this requirement remains open.</x:v>
      </x:c>
      <x:c r="P239" s="17" t="str">
        <x:v>PENDING</x:v>
      </x:c>
    </x:row>
    <x:row r="240" ht="64" customHeight="1">
      <x:c r="A240" s="10" t="str">
        <x:v>FR-PRV-002</x:v>
      </x:c>
      <x:c r="B240" s="10" t="str">
        <x:v>R1</x:v>
      </x:c>
      <x:c r="C240" s="10" t="str">
        <x:v>P0</x:v>
      </x:c>
      <x:c r="D240" s="10" t="str">
        <x:v>WP13</x:v>
      </x:c>
      <x:c r="E240" s="10" t="str">
        <x:v>Minimisation and purpose controls</x:v>
      </x:c>
      <x:c r="F240" s="10" t="str">
        <x:v>Privacy engineering lead</x:v>
      </x:c>
      <x:c r="G240" s="12" t="str">
        <x:v>Not started</x:v>
      </x:c>
      <x:c r="H240" s="12" t="str"/>
      <x:c r="I240" s="10" t="str">
        <x:v>Programme setup records why each personal field is necessary and which uses are allowed. New research, linkage or model improvement creates a separate purpose review and data scope selection. Optional fields remain optional in collection.</x:v>
      </x:c>
      <x:c r="J240" s="10" t="str">
        <x:v>A broad project permission does not authorise every reuse. Rejected purposes cannot be enabled by copying the dataset or changing its label.</x:v>
      </x:c>
      <x:c r="K240" s="10" t="str">
        <x:v>Attempt to send service delivery identities for shared model training under a monitoring purpose; policy denies the transfer before transmission.</x:v>
      </x:c>
      <x:c r="L240" s="10" t="str">
        <x:v>TC-PRV-002-01 / TC-PRV-002-02</x:v>
      </x:c>
      <x:c r="M240" s="12" t="str">
        <x:v>No accepted implementation evidence mapped.</x:v>
      </x:c>
      <x:c r="N240" s="10" t="str">
        <x:f>IF(G240="Done",IF(AND(LEN(H240)&gt;0,LEN(M240)&gt;0),"Complete","Evidence required"),"Open")</x:f>
        <x:v>Open</x:v>
      </x:c>
      <x:c r="O240" s="17" t="str">
        <x:v>No complete implementation and acceptance evidence mapped. Retain the original acceptance criteria; this requirement remains open.</x:v>
      </x:c>
      <x:c r="P240" s="17" t="str">
        <x:v>PENDING</x:v>
      </x:c>
    </x:row>
    <x:row r="241" ht="64" customHeight="1">
      <x:c r="A241" s="10" t="str">
        <x:v>FR-PRV-003</x:v>
      </x:c>
      <x:c r="B241" s="10" t="str">
        <x:v>R1</x:v>
      </x:c>
      <x:c r="C241" s="10" t="str">
        <x:v>P0</x:v>
      </x:c>
      <x:c r="D241" s="10" t="str">
        <x:v>WP13</x:v>
      </x:c>
      <x:c r="E241" s="10" t="str">
        <x:v>Hosting and transfer policy</x:v>
      </x:c>
      <x:c r="F241" s="10" t="str">
        <x:v>Privacy engineering lead</x:v>
      </x:c>
      <x:c r="G241" s="12" t="str">
        <x:v>Not started</x:v>
      </x:c>
      <x:c r="H241" s="12" t="str"/>
      <x:c r="I241" s="10" t="str">
        <x:v>The tenant policy lists permitted regions and destinations for primary data, recovery, support and models. Adding a destination requires the applicable approval and impact notice. Processing checks destination eligibility before transfer.</x:v>
      </x:c>
      <x:c r="J241" s="10" t="str">
        <x:v>Failover cannot override residency. If no permitted recovery destination is available, maintain a controlled outage and communicate the restriction rather than moving data silently.</x:v>
      </x:c>
      <x:c r="K241" s="10" t="str">
        <x:v>Fail the primary region and request recovery in a prohibited region; recovery is blocked and the incident records the approved alternative or continued outage.</x:v>
      </x:c>
      <x:c r="L241" s="10" t="str">
        <x:v>TC-PRV-003-01 / TC-PRV-003-02</x:v>
      </x:c>
      <x:c r="M241" s="12" t="str">
        <x:v>No accepted implementation evidence mapped.</x:v>
      </x:c>
      <x:c r="N241" s="10" t="str">
        <x:f>IF(G241="Done",IF(AND(LEN(H241)&gt;0,LEN(M241)&gt;0),"Complete","Evidence required"),"Open")</x:f>
        <x:v>Open</x:v>
      </x:c>
      <x:c r="O241" s="17" t="str">
        <x:v>No complete implementation and acceptance evidence mapped. Retain the original acceptance criteria; this requirement remains open.</x:v>
      </x:c>
      <x:c r="P241" s="17" t="str">
        <x:v>PENDING</x:v>
      </x:c>
    </x:row>
    <x:row r="242" ht="64" customHeight="1">
      <x:c r="A242" s="10" t="str">
        <x:v>FR-PRV-004</x:v>
      </x:c>
      <x:c r="B242" s="10" t="str">
        <x:v>R1</x:v>
      </x:c>
      <x:c r="C242" s="10" t="str">
        <x:v>P0</x:v>
      </x:c>
      <x:c r="D242" s="10" t="str">
        <x:v>WP13</x:v>
      </x:c>
      <x:c r="E242" s="10" t="str">
        <x:v>Retention schedules</x:v>
      </x:c>
      <x:c r="F242" s="10" t="str">
        <x:v>Privacy engineering lead</x:v>
      </x:c>
      <x:c r="G242" s="12" t="str">
        <x:v>Not started</x:v>
      </x:c>
      <x:c r="H242" s="12" t="str"/>
      <x:c r="I242" s="10" t="str">
        <x:v>Retention policies specify data class, purpose, trigger, duration, expiry action and owner. A preview calculates affected objects and holds. Collection activation requires approved record and evidence policies; operational defaults inherit the BRD bounds.</x:v>
      </x:c>
      <x:c r="J242" s="10" t="str">
        <x:v>A generic tenant retention value cannot accidentally cover every class. Policy changes must disclose earlier or later deletion impact and preserve valid holds.</x:v>
      </x:c>
      <x:c r="K242" s="10" t="str">
        <x:v>Configure 90 day diagnostic logs and a separate approved evidence term; each expires through its own schedule with accountable exceptions.</x:v>
      </x:c>
      <x:c r="L242" s="10" t="str">
        <x:v>TC-PRV-004-01 / TC-PRV-004-02</x:v>
      </x:c>
      <x:c r="M242" s="12" t="str">
        <x:v>No accepted implementation evidence mapped.</x:v>
      </x:c>
      <x:c r="N242" s="10" t="str">
        <x:f>IF(G242="Done",IF(AND(LEN(H242)&gt;0,LEN(M242)&gt;0),"Complete","Evidence required"),"Open")</x:f>
        <x:v>Open</x:v>
      </x:c>
      <x:c r="O242" s="17" t="str">
        <x:v>No complete implementation and acceptance evidence mapped. Retain the original acceptance criteria; this requirement remains open.</x:v>
      </x:c>
      <x:c r="P242" s="17" t="str">
        <x:v>PENDING</x:v>
      </x:c>
    </x:row>
    <x:row r="243" ht="64" customHeight="1">
      <x:c r="A243" s="10" t="str">
        <x:v>FR-PRV-005</x:v>
      </x:c>
      <x:c r="B243" s="10" t="str">
        <x:v>R1</x:v>
      </x:c>
      <x:c r="C243" s="10" t="str">
        <x:v>P0</x:v>
      </x:c>
      <x:c r="D243" s="10" t="str">
        <x:v>WP13</x:v>
      </x:c>
      <x:c r="E243" s="10" t="str">
        <x:v>Deletion restriction and holds</x:v>
      </x:c>
      <x:c r="F243" s="10" t="str">
        <x:v>Privacy engineering lead</x:v>
      </x:c>
      <x:c r="G243" s="12" t="str">
        <x:v>Not started</x:v>
      </x:c>
      <x:c r="H243" s="12" t="str"/>
      <x:c r="I243" s="10" t="str">
        <x:v>An authorised request first restricts eligible content where needed, then enumerates primary records, derivatives, indexes, generated artifacts and disclosures. Execution records per store outcome, hold, retry and completion time. Anonymisation is a separately verified transformation.</x:v>
      </x:c>
      <x:c r="J243" s="10" t="str">
        <x:v>Deletion cannot be marked complete while active accessible copies remain. Held content is isolated for the approved purpose; a hold is not general continued operational use.</x:v>
      </x:c>
      <x:c r="K243" s="10" t="str">
        <x:v>Delete a participant record with one held attachment; active data disappears within the target and the case explicitly reports the held item and review date.</x:v>
      </x:c>
      <x:c r="L243" s="10" t="str">
        <x:v>TC-PRV-005-01 / TC-PRV-005-02</x:v>
      </x:c>
      <x:c r="M243" s="12" t="str">
        <x:v>No accepted implementation evidence mapped.</x:v>
      </x:c>
      <x:c r="N243" s="10" t="str">
        <x:f>IF(G243="Done",IF(AND(LEN(H243)&gt;0,LEN(M243)&gt;0),"Complete","Evidence required"),"Open")</x:f>
        <x:v>Open</x:v>
      </x:c>
      <x:c r="O243" s="17" t="str">
        <x:v>No complete implementation and acceptance evidence mapped. Retain the original acceptance criteria; this requirement remains open.</x:v>
      </x:c>
      <x:c r="P243" s="17" t="str">
        <x:v>PENDING</x:v>
      </x:c>
    </x:row>
    <x:row r="244" ht="64" customHeight="1">
      <x:c r="A244" s="10" t="str">
        <x:v>FR-PRV-006</x:v>
      </x:c>
      <x:c r="B244" s="10" t="str">
        <x:v>R1</x:v>
      </x:c>
      <x:c r="C244" s="10" t="str">
        <x:v>P0</x:v>
      </x:c>
      <x:c r="D244" s="10" t="str">
        <x:v>WP13</x:v>
      </x:c>
      <x:c r="E244" s="10" t="str">
        <x:v>Backup deletion handling</x:v>
      </x:c>
      <x:c r="F244" s="10" t="str">
        <x:v>Privacy engineering lead</x:v>
      </x:c>
      <x:c r="G244" s="12" t="str">
        <x:v>Not started</x:v>
      </x:c>
      <x:c r="H244" s="12" t="str"/>
      <x:c r="I244" s="10" t="str">
        <x:v>The deletion ledger records minimal object identifiers and restriction instructions needed to prevent restoration. Restore remains closed to ordinary users until these instructions and current grants are reapplied and verified. Backup expiry is recorded separately.</x:v>
      </x:c>
      <x:c r="J244" s="10" t="str">
        <x:v>Do not claim instant physical erasure from immutable backups when only bounded expiry is supported. A restored historic grant cannot reopen revoked access.</x:v>
      </x:c>
      <x:c r="K244" s="10" t="str">
        <x:v>Restore a backup from before a deletion and verify the participant is still unavailable before any user or AI query is admitted.</x:v>
      </x:c>
      <x:c r="L244" s="10" t="str">
        <x:v>TC-PRV-006-01 / TC-PRV-006-02</x:v>
      </x:c>
      <x:c r="M244" s="12" t="str">
        <x:v>No accepted implementation evidence mapped.</x:v>
      </x:c>
      <x:c r="N244" s="10" t="str">
        <x:f>IF(G244="Done",IF(AND(LEN(H244)&gt;0,LEN(M244)&gt;0),"Complete","Evidence required"),"Open")</x:f>
        <x:v>Open</x:v>
      </x:c>
      <x:c r="O244" s="17" t="str">
        <x:v>No complete implementation and acceptance evidence mapped. Retain the original acceptance criteria; this requirement remains open.</x:v>
      </x:c>
      <x:c r="P244" s="17" t="str">
        <x:v>PENDING</x:v>
      </x:c>
    </x:row>
    <x:row r="245" ht="64" customHeight="1">
      <x:c r="A245" s="10" t="str">
        <x:v>FR-PRV-007</x:v>
      </x:c>
      <x:c r="B245" s="10" t="str">
        <x:v>R1</x:v>
      </x:c>
      <x:c r="C245" s="10" t="str">
        <x:v>P0</x:v>
      </x:c>
      <x:c r="D245" s="10" t="str">
        <x:v>WP13</x:v>
      </x:c>
      <x:c r="E245" s="10" t="str">
        <x:v>Data subject request handling</x:v>
      </x:c>
      <x:c r="F245" s="10" t="str">
        <x:v>Privacy engineering lead</x:v>
      </x:c>
      <x:c r="G245" s="12" t="str">
        <x:v>Not started</x:v>
      </x:c>
      <x:c r="H245" s="12" t="str"/>
      <x:c r="I245" s="10" t="str">
        <x:v>A privacy case selects request type, verified subject scope, deadline policy and authorised handler. Search and response preparation exclude other persons' information. Outcome may be completed, partially completed, rejected or on hold with reason and review evidence.</x:v>
      </x:c>
      <x:c r="J245" s="10" t="str">
        <x:v>Do not hardcode one jurisdiction's response deadline as universal. Verification collects minimal evidence and never creates a public participant lookup.</x:v>
      </x:c>
      <x:c r="K245" s="10" t="str">
        <x:v>Process one household member's access request and deliver only their permitted information, excluding another member's confidential answers.</x:v>
      </x:c>
      <x:c r="L245" s="10" t="str">
        <x:v>TC-PRV-007-01 / TC-PRV-007-02</x:v>
      </x:c>
      <x:c r="M245" s="12" t="str">
        <x:v>No accepted implementation evidence mapped.</x:v>
      </x:c>
      <x:c r="N245" s="10" t="str">
        <x:f>IF(G245="Done",IF(AND(LEN(H245)&gt;0,LEN(M245)&gt;0),"Complete","Evidence required"),"Open")</x:f>
        <x:v>Open</x:v>
      </x:c>
      <x:c r="O245" s="17" t="str">
        <x:v>No complete implementation and acceptance evidence mapped. Retain the original acceptance criteria; this requirement remains open.</x:v>
      </x:c>
      <x:c r="P245" s="17" t="str">
        <x:v>PENDING</x:v>
      </x:c>
    </x:row>
    <x:row r="246" ht="64" customHeight="1">
      <x:c r="A246" s="10" t="str">
        <x:v>FR-PRV-008</x:v>
      </x:c>
      <x:c r="B246" s="10" t="str">
        <x:v>R1</x:v>
      </x:c>
      <x:c r="C246" s="10" t="str">
        <x:v>P1</x:v>
      </x:c>
      <x:c r="D246" s="10" t="str">
        <x:v>WP13</x:v>
      </x:c>
      <x:c r="E246" s="10" t="str">
        <x:v>Sharing register and agreements</x:v>
      </x:c>
      <x:c r="F246" s="10" t="str">
        <x:v>Privacy engineering lead</x:v>
      </x:c>
      <x:c r="G246" s="12" t="str">
        <x:v>Not started</x:v>
      </x:c>
      <x:c r="H246" s="12" t="str"/>
      <x:c r="I246" s="10" t="str">
        <x:v>Every disclosure records recipient, purpose, source or artifact version, allowed reuse, expiry and owner. A selected source can list active disclosures within authorised scope. Correction or withdrawal starts recipient notice tasks and tracks acknowledgement where available.</x:v>
      </x:c>
      <x:c r="J246" s="10" t="str">
        <x:v>External data deletion is not asserted solely because a notice was sent. Live platform grants and retained external copies have separate statuses.</x:v>
      </x:c>
      <x:c r="K246" s="10" t="str">
        <x:v>Correct a shared dataset and identify its two partner disclosures, revoke live access where required and record each correction notice outcome.</x:v>
      </x:c>
      <x:c r="L246" s="10" t="str">
        <x:v>TC-PRV-008-01 / TC-PRV-008-02</x:v>
      </x:c>
      <x:c r="M246" s="12" t="str">
        <x:v>No accepted implementation evidence mapped.</x:v>
      </x:c>
      <x:c r="N246" s="10" t="str">
        <x:f>IF(G246="Done",IF(AND(LEN(H246)&gt;0,LEN(M246)&gt;0),"Complete","Evidence required"),"Open")</x:f>
        <x:v>Open</x:v>
      </x:c>
      <x:c r="O246" s="17" t="str">
        <x:v>No complete implementation and acceptance evidence mapped. Retain the original acceptance criteria; this requirement remains open.</x:v>
      </x:c>
      <x:c r="P246" s="17" t="str">
        <x:v>PENDING</x:v>
      </x:c>
    </x:row>
    <x:row r="247" ht="64" customHeight="1">
      <x:c r="A247" s="10" t="str">
        <x:v>FR-PRV-009</x:v>
      </x:c>
      <x:c r="B247" s="10" t="str">
        <x:v>R1</x:v>
      </x:c>
      <x:c r="C247" s="10" t="str">
        <x:v>P0</x:v>
      </x:c>
      <x:c r="D247" s="10" t="str">
        <x:v>WP13</x:v>
      </x:c>
      <x:c r="E247" s="10" t="str">
        <x:v>Privacy review and country policy</x:v>
      </x:c>
      <x:c r="F247" s="10" t="str">
        <x:v>Privacy engineering lead</x:v>
      </x:c>
      <x:c r="G247" s="12" t="str">
        <x:v>Not started</x:v>
      </x:c>
      <x:c r="H247" s="12" t="str"/>
      <x:c r="I247" s="10" t="str">
        <x:v>New jurisdiction or high sensitivity use creates a policy review covering handling basis, transfers, notices, incident commitments, vulnerable populations and safeguards. Approval records qualified policy inputs rather than an application-generated legal conclusion.</x:v>
      </x:c>
      <x:c r="J247" s="10" t="str">
        <x:v>Activation is blocked when mandatory decisions are absent. Product controls enforce expressible restrictions; unautomated obligations receive owners and evidence tasks.</x:v>
      </x:c>
      <x:c r="K247" s="10" t="str">
        <x:v>Enable a children's location programme without a guardian or safe-contact decision; the use case stays inactive until approved policy is supplied.</x:v>
      </x:c>
      <x:c r="L247" s="10" t="str">
        <x:v>TC-PRV-009-01 / TC-PRV-009-02</x:v>
      </x:c>
      <x:c r="M247" s="12" t="str">
        <x:v>No accepted implementation evidence mapped.</x:v>
      </x:c>
      <x:c r="N247" s="10" t="str">
        <x:f>IF(G247="Done",IF(AND(LEN(H247)&gt;0,LEN(M247)&gt;0),"Complete","Evidence required"),"Open")</x:f>
        <x:v>Open</x:v>
      </x:c>
      <x:c r="O247" s="17" t="str">
        <x:v>No complete implementation and acceptance evidence mapped. Retain the original acceptance criteria; this requirement remains open.</x:v>
      </x:c>
      <x:c r="P247" s="17" t="str">
        <x:v>PENDING</x:v>
      </x:c>
    </x:row>
    <x:row r="248" ht="64" customHeight="1">
      <x:c r="A248" s="10" t="str">
        <x:v>FR-PRV-010</x:v>
      </x:c>
      <x:c r="B248" s="10" t="str">
        <x:v>R1</x:v>
      </x:c>
      <x:c r="C248" s="10" t="str">
        <x:v>P0</x:v>
      </x:c>
      <x:c r="D248" s="10" t="str">
        <x:v>WP13</x:v>
      </x:c>
      <x:c r="E248" s="10" t="str">
        <x:v>Telemetry and analytics privacy</x:v>
      </x:c>
      <x:c r="F248" s="10" t="str">
        <x:v>Privacy engineering lead</x:v>
      </x:c>
      <x:c r="G248" s="12" t="str">
        <x:v>Not started</x:v>
      </x:c>
      <x:c r="H248" s="12" t="str"/>
      <x:c r="I248" s="10" t="str">
        <x:v>Telemetry schemas allow correlation, error category, timings and bounded operational metadata. Sensitive payload fields, credentials and unrestricted document text are excluded or redacted before general logging. Product analytics obey tenant opt-in or approved policy.</x:v>
      </x:c>
      <x:c r="J248" s="10" t="str">
        <x:v>Support diagnostics are a separate controlled export with expiry. Model evaluation samples do not inherit permission from routine operational logging.</x:v>
      </x:c>
      <x:c r="K248" s="10" t="str">
        <x:v>Trigger import and AI failures containing synthetic personal markers and confirm none appears in general traces or analytics events.</x:v>
      </x:c>
      <x:c r="L248" s="10" t="str">
        <x:v>TC-PRV-010-01 / TC-PRV-010-02</x:v>
      </x:c>
      <x:c r="M248" s="12" t="str">
        <x:v>No accepted implementation evidence mapped.</x:v>
      </x:c>
      <x:c r="N248" s="10" t="str">
        <x:f>IF(G248="Done",IF(AND(LEN(H248)&gt;0,LEN(M248)&gt;0),"Complete","Evidence required"),"Open")</x:f>
        <x:v>Open</x:v>
      </x:c>
      <x:c r="O248" s="17" t="str">
        <x:v>No complete implementation and acceptance evidence mapped. Retain the original acceptance criteria; this requirement remains open.</x:v>
      </x:c>
      <x:c r="P248" s="17" t="str">
        <x:v>PENDING</x:v>
      </x:c>
    </x:row>
    <x:row r="249" ht="64" customHeight="1">
      <x:c r="A249" s="10" t="str">
        <x:v>FR-OPS-001</x:v>
      </x:c>
      <x:c r="B249" s="10" t="str">
        <x:v>R1</x:v>
      </x:c>
      <x:c r="C249" s="10" t="str">
        <x:v>P0</x:v>
      </x:c>
      <x:c r="D249" s="10" t="str">
        <x:v>WP14</x:v>
      </x:c>
      <x:c r="E249" s="10" t="str">
        <x:v>Service administration console</x:v>
      </x:c>
      <x:c r="F249" s="10" t="str">
        <x:v>Platform security lead</x:v>
      </x:c>
      <x:c r="G249" s="12" t="str">
        <x:v>Not started</x:v>
      </x:c>
      <x:c r="H249" s="12" t="str"/>
      <x:c r="I249" s="10" t="str">
        <x:v>The operations console exposes tenant identity, lifecycle, plan, health and limits without programme content. High impact actions show exact tenant and effect, require reason and appropriate assurance, and record an operation receipt.</x:v>
      </x:c>
      <x:c r="J249" s="10" t="str">
        <x:v>Searching operational metadata cannot reveal participant names. Suspending one tenant does not change another tenant's access or jobs.</x:v>
      </x:c>
      <x:c r="K249" s="10" t="str">
        <x:v>Suspend the intended synthetic tenant after preview and verify only its permitted lifecycle effects occur.</x:v>
      </x:c>
      <x:c r="L249" s="10" t="str">
        <x:v>TC-OPS-001-01 / TC-OPS-001-02</x:v>
      </x:c>
      <x:c r="M249" s="12" t="str">
        <x:v>No accepted implementation evidence mapped.</x:v>
      </x:c>
      <x:c r="N249" s="10" t="str">
        <x:f>IF(G249="Done",IF(AND(LEN(H249)&gt;0,LEN(M249)&gt;0),"Complete","Evidence required"),"Open")</x:f>
        <x:v>Open</x:v>
      </x:c>
      <x:c r="O249" s="17" t="str">
        <x:v>No complete implementation and acceptance evidence mapped. Retain the original acceptance criteria; this requirement remains open.</x:v>
      </x:c>
      <x:c r="P249" s="17" t="str">
        <x:v>PENDING</x:v>
      </x:c>
    </x:row>
    <x:row r="250" ht="64" customHeight="1">
      <x:c r="A250" s="10" t="str">
        <x:v>FR-OPS-002</x:v>
      </x:c>
      <x:c r="B250" s="10" t="str">
        <x:v>R1</x:v>
      </x:c>
      <x:c r="C250" s="10" t="str">
        <x:v>P1</x:v>
      </x:c>
      <x:c r="D250" s="10" t="str">
        <x:v>WP14</x:v>
      </x:c>
      <x:c r="E250" s="10" t="str">
        <x:v>Entitlements and limits</x:v>
      </x:c>
      <x:c r="F250" s="10" t="str">
        <x:v>Platform security lead</x:v>
      </x:c>
      <x:c r="G250" s="12" t="str">
        <x:v>Not started</x:v>
      </x:c>
      <x:c r="H250" s="12" t="str"/>
      <x:c r="I250" s="10" t="str">
        <x:v>Entitlement checks distinguish storage, seats, projects, connectors, API workload and AI budget. Warnings begin at 80 percent of a finite allowance and show usage basis. At the limit, block new excess work while preserving read, correction, security and authorised exit paths.</x:v>
      </x:c>
      <x:c r="J250" s="10" t="str">
        <x:v>A commercial quota is not a data permission. Reaching a limit cannot remove MFA, delete stored data or expose protected information. Security repairs and privacy obligations remain executable.</x:v>
      </x:c>
      <x:c r="K250" s="10" t="str">
        <x:v>Fill storage allowance, attempt a new media upload and then export existing data; the upload is blocked safely while permitted export remains available.</x:v>
      </x:c>
      <x:c r="L250" s="10" t="str">
        <x:v>TC-OPS-002-01 / TC-OPS-002-02</x:v>
      </x:c>
      <x:c r="M250" s="12" t="str">
        <x:v>No accepted implementation evidence mapped.</x:v>
      </x:c>
      <x:c r="N250" s="10" t="str">
        <x:f>IF(G250="Done",IF(AND(LEN(H250)&gt;0,LEN(M250)&gt;0),"Complete","Evidence required"),"Open")</x:f>
        <x:v>Open</x:v>
      </x:c>
      <x:c r="O250" s="17" t="str">
        <x:v>No complete implementation and acceptance evidence mapped. Retain the original acceptance criteria; this requirement remains open.</x:v>
      </x:c>
      <x:c r="P250" s="17" t="str">
        <x:v>PENDING</x:v>
      </x:c>
    </x:row>
    <x:row r="251" ht="64" customHeight="1">
      <x:c r="A251" s="10" t="str">
        <x:v>FR-OPS-003</x:v>
      </x:c>
      <x:c r="B251" s="10" t="str">
        <x:v>R2</x:v>
      </x:c>
      <x:c r="C251" s="10" t="str">
        <x:v>P1</x:v>
      </x:c>
      <x:c r="D251" s="10" t="str">
        <x:v>WP14</x:v>
      </x:c>
      <x:c r="E251" s="10" t="str">
        <x:v>Subscription administration</x:v>
      </x:c>
      <x:c r="F251" s="10" t="str">
        <x:v>Platform security lead</x:v>
      </x:c>
      <x:c r="G251" s="12" t="str">
        <x:v>Not started</x:v>
      </x:c>
      <x:c r="H251" s="12" t="str"/>
      <x:c r="I251" s="10" t="str">
        <x:v>Subscription changes preview plan limits, overage, renewal date and affected optional capabilities. Downgrade with excess usage creates a resolution plan and grace terms drawn from the contract. Billing contacts do not become programme administrators.</x:v>
      </x:c>
      <x:c r="J251" s="10" t="str">
        <x:v>Payment provider failure does not alter approved results. Tenant closure and deletion require their own authorised workflow; no payment secret is retained unnecessarily.</x:v>
      </x:c>
      <x:c r="K251" s="10" t="str">
        <x:v>Downgrade below current project count and verify existing records remain readable while creation beyond the new limit is controlled.</x:v>
      </x:c>
      <x:c r="L251" s="10" t="str">
        <x:v>TC-OPS-003-01 / TC-OPS-003-02</x:v>
      </x:c>
      <x:c r="M251" s="12" t="str">
        <x:v>No accepted implementation evidence mapped.</x:v>
      </x:c>
      <x:c r="N251" s="10" t="str">
        <x:f>IF(G251="Done",IF(AND(LEN(H251)&gt;0,LEN(M251)&gt;0),"Complete","Evidence required"),"Open")</x:f>
        <x:v>Open</x:v>
      </x:c>
      <x:c r="O251" s="17" t="str">
        <x:v>No complete implementation and acceptance evidence mapped. Retain the original acceptance criteria; this requirement remains open.</x:v>
      </x:c>
      <x:c r="P251" s="17" t="str">
        <x:v>PENDING</x:v>
      </x:c>
    </x:row>
    <x:row r="252" ht="64" customHeight="1">
      <x:c r="A252" s="10" t="str">
        <x:v>FR-OPS-004</x:v>
      </x:c>
      <x:c r="B252" s="10" t="str">
        <x:v>R1</x:v>
      </x:c>
      <x:c r="C252" s="10" t="str">
        <x:v>P1</x:v>
      </x:c>
      <x:c r="D252" s="10" t="str">
        <x:v>WP14</x:v>
      </x:c>
      <x:c r="E252" s="10" t="str">
        <x:v>Support case management</x:v>
      </x:c>
      <x:c r="F252" s="10" t="str">
        <x:v>Platform security lead</x:v>
      </x:c>
      <x:c r="G252" s="12" t="str">
        <x:v>Not started</x:v>
      </x:c>
      <x:c r="H252" s="12" t="str"/>
      <x:c r="I252" s="10" t="str">
        <x:v>Support cases capture tenant, problem category, severity, safe correlation IDs, owner and communication history. Attaching diagnostics shows classification and scope. Content access, when necessary, starts a separate approved support session.</x:v>
      </x:c>
      <x:c r="J252" s="10" t="str">
        <x:v>A support ticket does not itself authorise unrestricted data browsing. Closed case attachments expire under the applicable retention policy.</x:v>
      </x:c>
      <x:c r="K252" s="10" t="str">
        <x:v>Resolve a failed import using safe error references; if content inspection becomes necessary, retain the explicit approved access grant and its expiry.</x:v>
      </x:c>
      <x:c r="L252" s="10" t="str">
        <x:v>TC-OPS-004-01 / TC-OPS-004-02</x:v>
      </x:c>
      <x:c r="M252" s="12" t="str">
        <x:v>No accepted implementation evidence mapped.</x:v>
      </x:c>
      <x:c r="N252" s="10" t="str">
        <x:f>IF(G252="Done",IF(AND(LEN(H252)&gt;0,LEN(M252)&gt;0),"Complete","Evidence required"),"Open")</x:f>
        <x:v>Open</x:v>
      </x:c>
      <x:c r="O252" s="17" t="str">
        <x:v>No complete implementation and acceptance evidence mapped. Retain the original acceptance criteria; this requirement remains open.</x:v>
      </x:c>
      <x:c r="P252" s="17" t="str">
        <x:v>PENDING</x:v>
      </x:c>
    </x:row>
    <x:row r="253" ht="51" customHeight="1">
      <x:c r="A253" s="10" t="str">
        <x:v>FR-OPS-005</x:v>
      </x:c>
      <x:c r="B253" s="10" t="str">
        <x:v>R1</x:v>
      </x:c>
      <x:c r="C253" s="10" t="str">
        <x:v>P0</x:v>
      </x:c>
      <x:c r="D253" s="10" t="str">
        <x:v>WP14</x:v>
      </x:c>
      <x:c r="E253" s="10" t="str">
        <x:v>Monitoring and service visibility</x:v>
      </x:c>
      <x:c r="F253" s="10" t="str">
        <x:v>Platform security lead</x:v>
      </x:c>
      <x:c r="G253" s="12" t="str">
        <x:v>In progress</x:v>
      </x:c>
      <x:c r="H253" s="12" t="str"/>
      <x:c r="I253" s="10" t="str">
        <x:v>Health views separate core service, connectors, asynchronous processing and AI. Monitor journey success, latency, backlog, freshness and quota pressure by permitted tenant cohort. Incidents link affected function and owner.</x:v>
      </x:c>
      <x:c r="J253" s="10" t="str">
        <x:v>Do not report core outage solely because one model provider failed, or healthy data freshness because the web interface is responsive. Tenant views expose only relevant incident details.</x:v>
      </x:c>
      <x:c r="K253" s="10" t="str">
        <x:v>Fail a connector while the core remains healthy; show integration delay and stale results without falsely declaring all programme operations unavailable.</x:v>
      </x:c>
      <x:c r="L253" s="10" t="str">
        <x:v>TC-OPS-005-01 / TC-OPS-005-02</x:v>
      </x:c>
      <x:c r="M253" s="12" t="str">
        <x:v>apps/web/src/main.tsx; tools/browser/reporting-check.mjs; docs/IMPLEMENTATION.md</x:v>
      </x:c>
      <x:c r="N253" s="10" t="str">
        <x:f>IF(G253="Done",IF(AND(LEN(H253)&gt;0,LEN(M253)&gt;0),"Complete","Evidence required"),"Open")</x:f>
        <x:v>Open</x:v>
      </x:c>
      <x:c r="O253"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53" s="17" t="str">
        <x:v>PARTIAL</x:v>
      </x:c>
    </x:row>
    <x:row r="254" ht="64" customHeight="1">
      <x:c r="A254" s="10" t="str">
        <x:v>FR-OPS-006</x:v>
      </x:c>
      <x:c r="B254" s="10" t="str">
        <x:v>R1</x:v>
      </x:c>
      <x:c r="C254" s="10" t="str">
        <x:v>P0</x:v>
      </x:c>
      <x:c r="D254" s="10" t="str">
        <x:v>WP14</x:v>
      </x:c>
      <x:c r="E254" s="10" t="str">
        <x:v>Backup and recovery operations</x:v>
      </x:c>
      <x:c r="F254" s="10" t="str">
        <x:v>Platform security lead</x:v>
      </x:c>
      <x:c r="G254" s="12" t="str">
        <x:v>Not started</x:v>
      </x:c>
      <x:c r="H254" s="12" t="str"/>
      <x:c r="I254" s="10" t="str">
        <x:v>Recovery inventory includes records, files, configuration, definitions, approvals, snapshots, audit and deletion instructions. Restore validates a mutually consistent checkpoint, reapplies current restrictions and reconciles accepted writes before controlled reopening.</x:v>
      </x:c>
      <x:c r="J254" s="10" t="str">
        <x:v>Missing required evidence files or governance state prevents declaring a complete restore. Recovery region and key policy remain enforced.</x:v>
      </x:c>
      <x:c r="K254" s="10" t="str">
        <x:v>Recover a representative tenant and compare structured records, attachment integrity, report snapshots and effective grants before allowing normal access.</x:v>
      </x:c>
      <x:c r="L254" s="10" t="str">
        <x:v>TC-OPS-006-01 / TC-OPS-006-02</x:v>
      </x:c>
      <x:c r="M254" s="12" t="str">
        <x:v>No accepted implementation evidence mapped.</x:v>
      </x:c>
      <x:c r="N254" s="10" t="str">
        <x:f>IF(G254="Done",IF(AND(LEN(H254)&gt;0,LEN(M254)&gt;0),"Complete","Evidence required"),"Open")</x:f>
        <x:v>Open</x:v>
      </x:c>
      <x:c r="O254" s="17" t="str">
        <x:v>No complete implementation and acceptance evidence mapped. Retain the original acceptance criteria; this requirement remains open.</x:v>
      </x:c>
      <x:c r="P254" s="17" t="str">
        <x:v>PENDING</x:v>
      </x:c>
    </x:row>
    <x:row r="255" ht="64" customHeight="1">
      <x:c r="A255" s="10" t="str">
        <x:v>FR-OPS-007</x:v>
      </x:c>
      <x:c r="B255" s="10" t="str">
        <x:v>R1</x:v>
      </x:c>
      <x:c r="C255" s="10" t="str">
        <x:v>P0</x:v>
      </x:c>
      <x:c r="D255" s="10" t="str">
        <x:v>WP14</x:v>
      </x:c>
      <x:c r="E255" s="10" t="str">
        <x:v>Safe release and rollback</x:v>
      </x:c>
      <x:c r="F255" s="10" t="str">
        <x:v>Platform security lead</x:v>
      </x:c>
      <x:c r="G255" s="12" t="str">
        <x:v>Not started</x:v>
      </x:c>
      <x:c r="H255" s="12" t="str"/>
      <x:c r="I255" s="10" t="str">
        <x:v>Release preparation validates compatibility, data migration, required gates and rollback or roll-forward path. Controlled exposure records cohort and feature configuration. Failure stops expansion and executes the rehearsed recovery path.</x:v>
      </x:c>
      <x:c r="J255" s="10" t="str">
        <x:v>Rollback cannot silently discard accepted writes or revert a privacy deletion. Irreversible migration needs an approved forward recovery procedure, not a fictitious rollback switch.</x:v>
      </x:c>
      <x:c r="K255" s="10" t="str">
        <x:v>Fail a release after valid submissions were accepted and verify they remain accounted for under the recovery plan.</x:v>
      </x:c>
      <x:c r="L255" s="10" t="str">
        <x:v>TC-OPS-007-01 / TC-OPS-007-02</x:v>
      </x:c>
      <x:c r="M255" s="12" t="str">
        <x:v>No accepted implementation evidence mapped.</x:v>
      </x:c>
      <x:c r="N255" s="10" t="str">
        <x:f>IF(G255="Done",IF(AND(LEN(H255)&gt;0,LEN(M255)&gt;0),"Complete","Evidence required"),"Open")</x:f>
        <x:v>Open</x:v>
      </x:c>
      <x:c r="O255" s="17" t="str">
        <x:v>No complete implementation and acceptance evidence mapped. Retain the original acceptance criteria; this requirement remains open.</x:v>
      </x:c>
      <x:c r="P255" s="17" t="str">
        <x:v>PENDING</x:v>
      </x:c>
    </x:row>
    <x:row r="256" ht="64" customHeight="1">
      <x:c r="A256" s="10" t="str">
        <x:v>FR-OPS-008</x:v>
      </x:c>
      <x:c r="B256" s="10" t="str">
        <x:v>R1</x:v>
      </x:c>
      <x:c r="C256" s="10" t="str">
        <x:v>P1</x:v>
      </x:c>
      <x:c r="D256" s="10" t="str">
        <x:v>WP14</x:v>
      </x:c>
      <x:c r="E256" s="10" t="str">
        <x:v>Capacity and cost management</x:v>
      </x:c>
      <x:c r="F256" s="10" t="str">
        <x:v>Platform security lead</x:v>
      </x:c>
      <x:c r="G256" s="12" t="str">
        <x:v>Not started</x:v>
      </x:c>
      <x:c r="H256" s="12" t="str"/>
      <x:c r="I256" s="10" t="str">
        <x:v>Usage views track admitted work, completed jobs, storage, source runs and model consumption without payloads. Thresholds identify projected capacity pressure and expensive workloads. Cleanup targets temporary or orphan objects only after dependency and retention checks.</x:v>
      </x:c>
      <x:c r="J256" s="10" t="str">
        <x:v>Do not cancel another tenant's critical jobs to hide one tenant's cost spike. Approved budgets and operational limits are visible before restrictive changes.</x:v>
      </x:c>
      <x:c r="K256" s="10" t="str">
        <x:v>Run an expensive AI workload to its allowance and verify bounded queuing, usage attribution and unaffected ordinary approvals.</x:v>
      </x:c>
      <x:c r="L256" s="10" t="str">
        <x:v>TC-OPS-008-01 / TC-OPS-008-02</x:v>
      </x:c>
      <x:c r="M256" s="12" t="str">
        <x:v>No accepted implementation evidence mapped.</x:v>
      </x:c>
      <x:c r="N256" s="10" t="str">
        <x:f>IF(G256="Done",IF(AND(LEN(H256)&gt;0,LEN(M256)&gt;0),"Complete","Evidence required"),"Open")</x:f>
        <x:v>Open</x:v>
      </x:c>
      <x:c r="O256" s="17" t="str">
        <x:v>No complete implementation and acceptance evidence mapped. Retain the original acceptance criteria; this requirement remains open.</x:v>
      </x:c>
      <x:c r="P256" s="17" t="str">
        <x:v>PENDING</x:v>
      </x:c>
    </x:row>
    <x:row r="257" ht="51" customHeight="1">
      <x:c r="A257" s="10" t="str">
        <x:v>FR-OPS-009</x:v>
      </x:c>
      <x:c r="B257" s="10" t="str">
        <x:v>R2</x:v>
      </x:c>
      <x:c r="C257" s="10" t="str">
        <x:v>P1</x:v>
      </x:c>
      <x:c r="D257" s="10" t="str">
        <x:v>WP14</x:v>
      </x:c>
      <x:c r="E257" s="10" t="str">
        <x:v>Operational automation</x:v>
      </x:c>
      <x:c r="F257" s="10" t="str">
        <x:v>Platform security lead</x:v>
      </x:c>
      <x:c r="G257" s="12" t="str">
        <x:v>Not started</x:v>
      </x:c>
      <x:c r="H257" s="12" t="str"/>
      <x:c r="I257" s="10" t="str">
        <x:v>Operational jobs declare owner, schedule, policy scope, idempotent identity, checkpoints and stop control. The run manifest records completed, held, skipped and failed items. Retry resumes eligible work under current policy.</x:v>
      </x:c>
      <x:c r="J257" s="10" t="str">
        <x:v>Destructive tasks recheck holds immediately before execution. A stopped schedule does not imply reversal of already completed actions.</x:v>
      </x:c>
      <x:c r="K257" s="10" t="str">
        <x:v>Retry a partially failed retention run; held evidence remains intact and already sent notifications are not duplicated.</x:v>
      </x:c>
      <x:c r="L257" s="10" t="str">
        <x:v>TC-OPS-009-01 / TC-OPS-009-02</x:v>
      </x:c>
      <x:c r="M257" s="12" t="str">
        <x:v>No accepted implementation evidence mapped.</x:v>
      </x:c>
      <x:c r="N257" s="10" t="str">
        <x:f>IF(G257="Done",IF(AND(LEN(H257)&gt;0,LEN(M257)&gt;0),"Complete","Evidence required"),"Open")</x:f>
        <x:v>Open</x:v>
      </x:c>
      <x:c r="O257" s="17" t="str">
        <x:v>No complete implementation and acceptance evidence mapped. Retain the original acceptance criteria; this requirement remains open.</x:v>
      </x:c>
      <x:c r="P257" s="17" t="str">
        <x:v>PENDING</x:v>
      </x:c>
    </x:row>
    <x:row r="258" ht="64" customHeight="1">
      <x:c r="A258" s="10" t="str">
        <x:v>FR-OPS-010</x:v>
      </x:c>
      <x:c r="B258" s="10" t="str">
        <x:v>R2</x:v>
      </x:c>
      <x:c r="C258" s="10" t="str">
        <x:v>P1</x:v>
      </x:c>
      <x:c r="D258" s="10" t="str">
        <x:v>WP14</x:v>
      </x:c>
      <x:c r="E258" s="10" t="str">
        <x:v>Trust and assurance information</x:v>
      </x:c>
      <x:c r="F258" s="10" t="str">
        <x:v>Platform security lead</x:v>
      </x:c>
      <x:c r="G258" s="12" t="str">
        <x:v>Not started</x:v>
      </x:c>
      <x:c r="H258" s="12" t="str"/>
      <x:c r="I258" s="10" t="str">
        <x:v>The trust package versions approved security, privacy, subprocessor, service objective and incident-process statements with evidence owner and review date. Tenants see the package applicable to their deployment profile and contract.</x:v>
      </x:c>
      <x:c r="J258" s="10" t="str">
        <x:v>Expired assessments or unqualified variants cannot inherit a blanket certification claim. Restricted assurance evidence has a controlled sharing path.</x:v>
      </x:c>
      <x:c r="K258" s="10" t="str">
        <x:v>Compare a published assurance claim to its scoped assessment and remove or qualify any claim whose evidence no longer applies.</x:v>
      </x:c>
      <x:c r="L258" s="10" t="str">
        <x:v>TC-OPS-010-01 / TC-OPS-010-02</x:v>
      </x:c>
      <x:c r="M258" s="12" t="str">
        <x:v>No accepted implementation evidence mapped.</x:v>
      </x:c>
      <x:c r="N258" s="10" t="str">
        <x:f>IF(G258="Done",IF(AND(LEN(H258)&gt;0,LEN(M258)&gt;0),"Complete","Evidence required"),"Open")</x:f>
        <x:v>Open</x:v>
      </x:c>
      <x:c r="O258" s="17" t="str">
        <x:v>No complete implementation and acceptance evidence mapped. Retain the original acceptance criteria; this requirement remains open.</x:v>
      </x:c>
      <x:c r="P258" s="17" t="str">
        <x:v>PENDING</x:v>
      </x:c>
    </x:row>
    <x:row r="259" ht="64" customHeight="1">
      <x:c r="A259" s="10" t="str">
        <x:v>FR-MIG-001</x:v>
      </x:c>
      <x:c r="B259" s="10" t="str">
        <x:v>R1</x:v>
      </x:c>
      <x:c r="C259" s="10" t="str">
        <x:v>P0</x:v>
      </x:c>
      <x:c r="D259" s="10" t="str">
        <x:v>WP16</x:v>
      </x:c>
      <x:c r="E259" s="10" t="str">
        <x:v>Source discovery and mapping</x:v>
      </x:c>
      <x:c r="F259" s="10" t="str">
        <x:v>Implementation lead</x:v>
      </x:c>
      <x:c r="G259" s="12" t="str">
        <x:v>Not started</x:v>
      </x:c>
      <x:c r="H259" s="12" t="str"/>
      <x:c r="I259" s="10" t="str">
        <x:v>Discovery inventories source entities, keys, volumes, semantics, attachments, users, grants and reports. Mapping classifies each element as preserved, transformed, excluded or unavailable and identifies owner, method and expected reconciliation.</x:v>
      </x:c>
      <x:c r="J259" s="10" t="str">
        <x:v>No assumption that TolaData provides every historical event or field through export. Unsupported source semantics require a documented decision before production load.</x:v>
      </x:c>
      <x:c r="K259" s="10" t="str">
        <x:v>Map an indicator with unknown historic formula and identify the limitation explicitly rather than inventing a deterministic approval history.</x:v>
      </x:c>
      <x:c r="L259" s="10" t="str">
        <x:v>TC-MIG-001-01 / TC-MIG-001-02</x:v>
      </x:c>
      <x:c r="M259" s="12" t="str">
        <x:v>No accepted implementation evidence mapped.</x:v>
      </x:c>
      <x:c r="N259" s="10" t="str">
        <x:f>IF(G259="Done",IF(AND(LEN(H259)&gt;0,LEN(M259)&gt;0),"Complete","Evidence required"),"Open")</x:f>
        <x:v>Open</x:v>
      </x:c>
      <x:c r="O259" s="17" t="str">
        <x:v>No complete implementation and acceptance evidence mapped. Retain the original acceptance criteria; this requirement remains open.</x:v>
      </x:c>
      <x:c r="P259" s="17" t="str">
        <x:v>PENDING</x:v>
      </x:c>
    </x:row>
    <x:row r="260" ht="51" customHeight="1">
      <x:c r="A260" s="10" t="str">
        <x:v>FR-MIG-002</x:v>
      </x:c>
      <x:c r="B260" s="10" t="str">
        <x:v>R1</x:v>
      </x:c>
      <x:c r="C260" s="10" t="str">
        <x:v>P0</x:v>
      </x:c>
      <x:c r="D260" s="10" t="str">
        <x:v>WP16</x:v>
      </x:c>
      <x:c r="E260" s="10" t="str">
        <x:v>Trial migrations</x:v>
      </x:c>
      <x:c r="F260" s="10" t="str">
        <x:v>Implementation lead</x:v>
      </x:c>
      <x:c r="G260" s="12" t="str">
        <x:v>Not started</x:v>
      </x:c>
      <x:c r="H260" s="12" t="str"/>
      <x:c r="I260" s="10" t="str">
        <x:v>A trial uses isolated tenant context, synthetic destinations and disabled external side effects. The same source snapshot and mapping version can be replayed into a clean or keyed trial with outcome comparison.</x:v>
      </x:c>
      <x:c r="J260" s="10" t="str">
        <x:v>No live notifications, payment actions, connector writes or public reports from trial data. Trial credentials cannot access production.</x:v>
      </x:c>
      <x:c r="K260" s="10" t="str">
        <x:v>Run two identical trials and compare intended records, errors and totals; no duplicate achievements or real recipient messages occur.</x:v>
      </x:c>
      <x:c r="L260" s="10" t="str">
        <x:v>TC-MIG-002-01 / TC-MIG-002-02</x:v>
      </x:c>
      <x:c r="M260" s="12" t="str">
        <x:v>No accepted implementation evidence mapped.</x:v>
      </x:c>
      <x:c r="N260" s="10" t="str">
        <x:f>IF(G260="Done",IF(AND(LEN(H260)&gt;0,LEN(M260)&gt;0),"Complete","Evidence required"),"Open")</x:f>
        <x:v>Open</x:v>
      </x:c>
      <x:c r="O260" s="17" t="str">
        <x:v>No complete implementation and acceptance evidence mapped. Retain the original acceptance criteria; this requirement remains open.</x:v>
      </x:c>
      <x:c r="P260" s="17" t="str">
        <x:v>PENDING</x:v>
      </x:c>
    </x:row>
    <x:row r="261" ht="64" customHeight="1">
      <x:c r="A261" s="10" t="str">
        <x:v>FR-MIG-003</x:v>
      </x:c>
      <x:c r="B261" s="10" t="str">
        <x:v>R1</x:v>
      </x:c>
      <x:c r="C261" s="10" t="str">
        <x:v>P0</x:v>
      </x:c>
      <x:c r="D261" s="10" t="str">
        <x:v>WP16</x:v>
      </x:c>
      <x:c r="E261" s="10" t="str">
        <x:v>Semantic reconciliation</x:v>
      </x:c>
      <x:c r="F261" s="10" t="str">
        <x:v>Implementation lead</x:v>
      </x:c>
      <x:c r="G261" s="12" t="str">
        <x:v>Not started</x:v>
      </x:c>
      <x:c r="H261" s="12" t="str"/>
      <x:c r="I261" s="10" t="str">
        <x:v>Reconciliation compares counts, keys, units, periods, targets, ratios, overlap, attachments and representative reports. Each variance records source value, destination value, cause, severity and decision. Critical unexplained result differences block cutover.</x:v>
      </x:c>
      <x:c r="J261" s="10" t="str">
        <x:v>Record count agreement alone is insufficient. Accepted differences remain visible in migration metadata and user-facing limitations where material.</x:v>
      </x:c>
      <x:c r="K261" s="10" t="str">
        <x:v>Migrate a pooled percentage and cumulative series, independently recompute both and resolve semantic differences before signoff.</x:v>
      </x:c>
      <x:c r="L261" s="10" t="str">
        <x:v>TC-MIG-003-01 / TC-MIG-003-02</x:v>
      </x:c>
      <x:c r="M261" s="12" t="str">
        <x:v>No accepted implementation evidence mapped.</x:v>
      </x:c>
      <x:c r="N261" s="10" t="str">
        <x:f>IF(G261="Done",IF(AND(LEN(H261)&gt;0,LEN(M261)&gt;0),"Complete","Evidence required"),"Open")</x:f>
        <x:v>Open</x:v>
      </x:c>
      <x:c r="O261" s="17" t="str">
        <x:v>No complete implementation and acceptance evidence mapped. Retain the original acceptance criteria; this requirement remains open.</x:v>
      </x:c>
      <x:c r="P261" s="17" t="str">
        <x:v>PENDING</x:v>
      </x:c>
    </x:row>
    <x:row r="262" ht="64" customHeight="1">
      <x:c r="A262" s="10" t="str">
        <x:v>FR-MIG-004</x:v>
      </x:c>
      <x:c r="B262" s="10" t="str">
        <x:v>R1</x:v>
      </x:c>
      <x:c r="C262" s="10" t="str">
        <x:v>P0</x:v>
      </x:c>
      <x:c r="D262" s="10" t="str">
        <x:v>WP16</x:v>
      </x:c>
      <x:c r="E262" s="10" t="str">
        <x:v>Historical provenance</x:v>
      </x:c>
      <x:c r="F262" s="10" t="str">
        <x:v>Implementation lead</x:v>
      </x:c>
      <x:c r="G262" s="12" t="str">
        <x:v>Not started</x:v>
      </x:c>
      <x:c r="H262" s="12" t="str"/>
      <x:c r="I262" s="10" t="str">
        <x:v>Imported history stores original event values, source origin, available evidence and migration receipt separately. Unverified source decisions are labelled imported assertions; destination decisions have real current actors and timestamps.</x:v>
      </x:c>
      <x:c r="J262" s="10" t="str">
        <x:v>Never fabricate old approvals or use migration time as the original event date. Missing history is represented as unavailable rather than silently reconstructed.</x:v>
      </x:c>
      <x:c r="K262" s="10" t="str">
        <x:v>Inspect a migrated report approval and identify whether it is a preserved source record, verified evidence or a new destination decision.</x:v>
      </x:c>
      <x:c r="L262" s="10" t="str">
        <x:v>TC-MIG-004-01 / TC-MIG-004-02</x:v>
      </x:c>
      <x:c r="M262" s="12" t="str">
        <x:v>No accepted implementation evidence mapped.</x:v>
      </x:c>
      <x:c r="N262" s="10" t="str">
        <x:f>IF(G262="Done",IF(AND(LEN(H262)&gt;0,LEN(M262)&gt;0),"Complete","Evidence required"),"Open")</x:f>
        <x:v>Open</x:v>
      </x:c>
      <x:c r="O262" s="17" t="str">
        <x:v>No complete implementation and acceptance evidence mapped. Retain the original acceptance criteria; this requirement remains open.</x:v>
      </x:c>
      <x:c r="P262" s="17" t="str">
        <x:v>PENDING</x:v>
      </x:c>
    </x:row>
    <x:row r="263" ht="64" customHeight="1">
      <x:c r="A263" s="10" t="str">
        <x:v>FR-MIG-005</x:v>
      </x:c>
      <x:c r="B263" s="10" t="str">
        <x:v>R1</x:v>
      </x:c>
      <x:c r="C263" s="10" t="str">
        <x:v>P0</x:v>
      </x:c>
      <x:c r="D263" s="10" t="str">
        <x:v>WP16</x:v>
      </x:c>
      <x:c r="E263" s="10" t="str">
        <x:v>Cutover and rollback</x:v>
      </x:c>
      <x:c r="F263" s="10" t="str">
        <x:v>Implementation lead</x:v>
      </x:c>
      <x:c r="G263" s="12" t="str">
        <x:v>Not started</x:v>
      </x:c>
      <x:c r="H263" s="12" t="str"/>
      <x:c r="I263" s="10" t="str">
        <x:v>The cutover runbook selects authoritative system, freeze instant or delta method, final reconciliation, owners and rollback trigger. Late source updates receive stable keys and a final delta reconciliation. Destination writes begin only after authority switches.</x:v>
      </x:c>
      <x:c r="J263" s="10" t="str">
        <x:v>Prevent both systems from independently publishing the same official period. Rollback identifies destination writes needing safe replay or reconciliation.</x:v>
      </x:c>
      <x:c r="K263" s="10" t="str">
        <x:v>Update one source record during the final transfer; the cutover captures it in the delta or reports a controlled exclusion requiring resolution.</x:v>
      </x:c>
      <x:c r="L263" s="10" t="str">
        <x:v>TC-MIG-005-01 / TC-MIG-005-02</x:v>
      </x:c>
      <x:c r="M263" s="12" t="str">
        <x:v>No accepted implementation evidence mapped.</x:v>
      </x:c>
      <x:c r="N263" s="10" t="str">
        <x:f>IF(G263="Done",IF(AND(LEN(H263)&gt;0,LEN(M263)&gt;0),"Complete","Evidence required"),"Open")</x:f>
        <x:v>Open</x:v>
      </x:c>
      <x:c r="O263" s="17" t="str">
        <x:v>No complete implementation and acceptance evidence mapped. Retain the original acceptance criteria; this requirement remains open.</x:v>
      </x:c>
      <x:c r="P263" s="17" t="str">
        <x:v>PENDING</x:v>
      </x:c>
    </x:row>
    <x:row r="264" ht="64" customHeight="1">
      <x:c r="A264" s="10" t="str">
        <x:v>FR-MIG-006</x:v>
      </x:c>
      <x:c r="B264" s="10" t="str">
        <x:v>R1</x:v>
      </x:c>
      <x:c r="C264" s="10" t="str">
        <x:v>P1</x:v>
      </x:c>
      <x:c r="D264" s="10" t="str">
        <x:v>WP16</x:v>
      </x:c>
      <x:c r="E264" s="10" t="str">
        <x:v>User enablement</x:v>
      </x:c>
      <x:c r="F264" s="10" t="str">
        <x:v>Implementation lead</x:v>
      </x:c>
      <x:c r="G264" s="12" t="str">
        <x:v>Not started</x:v>
      </x:c>
      <x:c r="H264" s="12" t="str"/>
      <x:c r="I264" s="10" t="str">
        <x:v>Onboarding assigns role specific practice tasks using safe sample programmes. Administrators verify scopes and users complete setup, collection, correction, review or viewing tasks relevant to their role. Help links explain both actions and measurement concepts.</x:v>
      </x:c>
      <x:c r="J264" s="10" t="str">
        <x:v>Training does not grant production access by default. Completion evidence identifies task outcomes rather than mere attendance.</x:v>
      </x:c>
      <x:c r="K264" s="10" t="str">
        <x:v>An enumerator completes offline practice, a reviewer returns and approves a correction, and neither can access real participant records in training.</x:v>
      </x:c>
      <x:c r="L264" s="10" t="str">
        <x:v>TC-MIG-006-01 / TC-MIG-006-02</x:v>
      </x:c>
      <x:c r="M264" s="12" t="str">
        <x:v>No accepted implementation evidence mapped.</x:v>
      </x:c>
      <x:c r="N264" s="10" t="str">
        <x:f>IF(G264="Done",IF(AND(LEN(H264)&gt;0,LEN(M264)&gt;0),"Complete","Evidence required"),"Open")</x:f>
        <x:v>Open</x:v>
      </x:c>
      <x:c r="O264" s="17" t="str">
        <x:v>No complete implementation and acceptance evidence mapped. Retain the original acceptance criteria; this requirement remains open.</x:v>
      </x:c>
      <x:c r="P264" s="17" t="str">
        <x:v>PENDING</x:v>
      </x:c>
    </x:row>
    <x:row r="265" ht="64" customHeight="1">
      <x:c r="A265" s="10" t="str">
        <x:v>FR-MIG-007</x:v>
      </x:c>
      <x:c r="B265" s="10" t="str">
        <x:v>R1</x:v>
      </x:c>
      <x:c r="C265" s="10" t="str">
        <x:v>P0</x:v>
      </x:c>
      <x:c r="D265" s="10" t="str">
        <x:v>WP16</x:v>
      </x:c>
      <x:c r="E265" s="10" t="str">
        <x:v>Full tenant export</x:v>
      </x:c>
      <x:c r="F265" s="10" t="str">
        <x:v>Implementation lead</x:v>
      </x:c>
      <x:c r="G265" s="12" t="str">
        <x:v>Not started</x:v>
      </x:c>
      <x:c r="H265" s="12" t="str"/>
      <x:c r="I265" s="10" t="str">
        <x:v>Tenant export builds a machine readable object and relationship package, files, dictionaries, versions, permitted decisions and configuration. The manifest records counts, integrity references, exclusions and restoration instructions independent of internal infrastructure.</x:v>
      </x:c>
      <x:c r="J265" s="10" t="str">
        <x:v>An owner may initiate exit but sensitive content access remains policy governed. Secret values are excluded and listed as requiring reconfiguration, not silently omitted from the manifest.</x:v>
      </x:c>
      <x:c r="K265" s="10" t="str">
        <x:v>Reconstruct programme-to-indicator-to-result-to-report relationships and verify sample file integrity outside the application using the export package.</x:v>
      </x:c>
      <x:c r="L265" s="10" t="str">
        <x:v>TC-MIG-007-01 / TC-MIG-007-02</x:v>
      </x:c>
      <x:c r="M265" s="12" t="str">
        <x:v>No accepted implementation evidence mapped.</x:v>
      </x:c>
      <x:c r="N265" s="10" t="str">
        <x:f>IF(G265="Done",IF(AND(LEN(H265)&gt;0,LEN(M265)&gt;0),"Complete","Evidence required"),"Open")</x:f>
        <x:v>Open</x:v>
      </x:c>
      <x:c r="O265" s="17" t="str">
        <x:v>No complete implementation and acceptance evidence mapped. Retain the original acceptance criteria; this requirement remains open.</x:v>
      </x:c>
      <x:c r="P265" s="17" t="str">
        <x:v>PENDING</x:v>
      </x:c>
    </x:row>
    <x:row r="266" ht="64" customHeight="1">
      <x:c r="A266" s="10" t="str">
        <x:v>FR-MIG-008</x:v>
      </x:c>
      <x:c r="B266" s="10" t="str">
        <x:v>R1</x:v>
      </x:c>
      <x:c r="C266" s="10" t="str">
        <x:v>P0</x:v>
      </x:c>
      <x:c r="D266" s="10" t="str">
        <x:v>WP16</x:v>
      </x:c>
      <x:c r="E266" s="10" t="str">
        <x:v>Closure and deletion evidence</x:v>
      </x:c>
      <x:c r="F266" s="10" t="str">
        <x:v>Implementation lead</x:v>
      </x:c>
      <x:c r="G266" s="12" t="str">
        <x:v>Not started</x:v>
      </x:c>
      <x:c r="H266" s="12" t="str"/>
      <x:c r="I266" s="10" t="str">
        <x:v>Closure confirms retrieval window, export status, active integrations, credentials, jobs, holds and deletion schedule. The owner receives an outcome record showing access termination, completed deletion, backup expiry and outstanding lawful retention.</x:v>
      </x:c>
      <x:c r="J266" s="10" t="str">
        <x:v>No closure shortcut can bypass a hold or silently erase unexported data before the agreed window. Reactivation after irreversible deletion is not offered as ordinary reopen.</x:v>
      </x:c>
      <x:c r="K266" s="10" t="str">
        <x:v>Close a tenant after confirmed export; live credentials and deliveries stop while the record identifies one held item and its review date.</x:v>
      </x:c>
      <x:c r="L266" s="10" t="str">
        <x:v>TC-MIG-008-01 / TC-MIG-008-02</x:v>
      </x:c>
      <x:c r="M266" s="12" t="str">
        <x:v>No accepted implementation evidence mapped.</x:v>
      </x:c>
      <x:c r="N266" s="10" t="str">
        <x:f>IF(G266="Done",IF(AND(LEN(H266)&gt;0,LEN(M266)&gt;0),"Complete","Evidence required"),"Open")</x:f>
        <x:v>Open</x:v>
      </x:c>
      <x:c r="O266" s="17" t="str">
        <x:v>No complete implementation and acceptance evidence mapped. Retain the original acceptance criteria; this requirement remains open.</x:v>
      </x:c>
      <x:c r="P266" s="17" t="str">
        <x:v>PENDING</x:v>
      </x:c>
    </x:row>
    <x:row r="267" ht="64" customHeight="1">
      <x:c r="A267" s="10" t="str">
        <x:v>FR-UX-001</x:v>
      </x:c>
      <x:c r="B267" s="10" t="str">
        <x:v>R1</x:v>
      </x:c>
      <x:c r="C267" s="10" t="str">
        <x:v>P0</x:v>
      </x:c>
      <x:c r="D267" s="10" t="str">
        <x:v>WP15</x:v>
      </x:c>
      <x:c r="E267" s="10" t="str">
        <x:v>Role relevant workspaces</x:v>
      </x:c>
      <x:c r="F267" s="10" t="str">
        <x:v>Frontend lead</x:v>
      </x:c>
      <x:c r="G267" s="12" t="str">
        <x:v>In progress</x:v>
      </x:c>
      <x:c r="H267" s="12" t="str"/>
      <x:c r="I267" s="10" t="str">
        <x:v>The landing workspace is selected by effective role and recent permitted context: collectors see assignments, reviewers see queues, managers see obligations and viewers see disclosed results. Users can switch among their permitted workspaces.</x:v>
      </x:c>
      <x:c r="J267" s="10" t="str">
        <x:v>Do not expose technical administration to a field user as a prerequisite for collecting data. Role changes recompose navigation without stale private links.</x:v>
      </x:c>
      <x:c r="K267" s="10" t="str">
        <x:v>A new enumerator opens an assigned form in two primary navigation actions and sees its due time, save status and sync requirement.</x:v>
      </x:c>
      <x:c r="L267" s="10" t="str">
        <x:v>TC-UX-001-01 / TC-UX-001-02</x:v>
      </x:c>
      <x:c r="M267" s="12" t="str">
        <x:v>apps/web/src/main.tsx; tools/browser/reporting-check.mjs; docs/IMPLEMENTATION.md</x:v>
      </x:c>
      <x:c r="N267" s="10" t="str">
        <x:f>IF(G267="Done",IF(AND(LEN(H267)&gt;0,LEN(M267)&gt;0),"Complete","Evidence required"),"Open")</x:f>
        <x:v>Open</x:v>
      </x:c>
      <x:c r="O267"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67" s="17" t="str">
        <x:v>PARTIAL</x:v>
      </x:c>
    </x:row>
    <x:row r="268" ht="51" customHeight="1">
      <x:c r="A268" s="10" t="str">
        <x:v>FR-UX-002</x:v>
      </x:c>
      <x:c r="B268" s="10" t="str">
        <x:v>R1</x:v>
      </x:c>
      <x:c r="C268" s="10" t="str">
        <x:v>P1</x:v>
      </x:c>
      <x:c r="D268" s="10" t="str">
        <x:v>WP15</x:v>
      </x:c>
      <x:c r="E268" s="10" t="str">
        <x:v>Progressive configuration</x:v>
      </x:c>
      <x:c r="F268" s="10" t="str">
        <x:v>Frontend lead</x:v>
      </x:c>
      <x:c r="G268" s="12" t="str">
        <x:v>In progress</x:v>
      </x:c>
      <x:c r="H268" s="12" t="str"/>
      <x:c r="I268" s="10" t="str">
        <x:v>Programme setup offers a simple template and reveals advanced settings in relevant steps. Defaults for units, periods, aggregation, consent and audience are visible in a final summary and editable before submission.</x:v>
      </x:c>
      <x:c r="J268" s="10" t="str">
        <x:v>No hidden automatic unique reach, broad sharing or assumed consent. Invalid defaults block progression rather than creating a superficially complete programme.</x:v>
      </x:c>
      <x:c r="K268" s="10" t="str">
        <x:v>Create a simple programme from a template and inspect the exact sum rule and reporting calendar that produce its first result.</x:v>
      </x:c>
      <x:c r="L268" s="10" t="str">
        <x:v>TC-UX-002-01 / TC-UX-002-02</x:v>
      </x:c>
      <x:c r="M268" s="12" t="str">
        <x:v>apps/web/src/main.tsx; tools/browser/reporting-check.mjs; docs/IMPLEMENTATION.md</x:v>
      </x:c>
      <x:c r="N268" s="10" t="str">
        <x:f>IF(G268="Done",IF(AND(LEN(H268)&gt;0,LEN(M268)&gt;0),"Complete","Evidence required"),"Open")</x:f>
        <x:v>Open</x:v>
      </x:c>
      <x:c r="O268"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68" s="17" t="str">
        <x:v>PARTIAL</x:v>
      </x:c>
    </x:row>
    <x:row r="269" ht="64" customHeight="1">
      <x:c r="A269" s="10" t="str">
        <x:v>FR-UX-003</x:v>
      </x:c>
      <x:c r="B269" s="10" t="str">
        <x:v>R1</x:v>
      </x:c>
      <x:c r="C269" s="10" t="str">
        <x:v>P0</x:v>
      </x:c>
      <x:c r="D269" s="10" t="str">
        <x:v>WP15</x:v>
      </x:c>
      <x:c r="E269" s="10" t="str">
        <x:v>Error recovery and work preservation</x:v>
      </x:c>
      <x:c r="F269" s="10" t="str">
        <x:v>Frontend lead</x:v>
      </x:c>
      <x:c r="G269" s="12" t="str">
        <x:v>In progress</x:v>
      </x:c>
      <x:c r="H269" s="12" t="str"/>
      <x:c r="I269" s="10" t="str">
        <x:v>Errors explain failed action, saved state and permitted next step. Drafts and operation IDs persist across recoverable failures. Destructive actions preview affected objects; reversible changes offer an explicit inverse operation where business semantics support it.</x:v>
      </x:c>
      <x:c r="J269" s="10" t="str">
        <x:v>Undo cannot erase audit, unpublish externally downloaded copies or restore lawfully deleted data. An unknown request outcome requires receipt reconciliation before repeat.</x:v>
      </x:c>
      <x:c r="K269" s="10" t="str">
        <x:v>Time out an import confirmation, reconnect and recover the existing job receipt without creating another load.</x:v>
      </x:c>
      <x:c r="L269" s="10" t="str">
        <x:v>TC-UX-003-01 / TC-UX-003-02</x:v>
      </x:c>
      <x:c r="M269" s="12" t="str">
        <x:v>apps/web/src/main.tsx; tools/browser/reporting-check.mjs; docs/IMPLEMENTATION.md</x:v>
      </x:c>
      <x:c r="N269" s="10" t="str">
        <x:f>IF(G269="Done",IF(AND(LEN(H269)&gt;0,LEN(M269)&gt;0),"Complete","Evidence required"),"Open")</x:f>
        <x:v>Open</x:v>
      </x:c>
      <x:c r="O269"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69" s="17" t="str">
        <x:v>PARTIAL</x:v>
      </x:c>
    </x:row>
    <x:row r="270" ht="64" customHeight="1">
      <x:c r="A270" s="10" t="str">
        <x:v>FR-UX-004</x:v>
      </x:c>
      <x:c r="B270" s="10" t="str">
        <x:v>R1</x:v>
      </x:c>
      <x:c r="C270" s="10" t="str">
        <x:v>P0</x:v>
      </x:c>
      <x:c r="D270" s="10" t="str">
        <x:v>WP15</x:v>
      </x:c>
      <x:c r="E270" s="10" t="str">
        <x:v>Accessible interaction</x:v>
      </x:c>
      <x:c r="F270" s="10" t="str">
        <x:v>Frontend lead</x:v>
      </x:c>
      <x:c r="G270" s="12" t="str">
        <x:v>In progress</x:v>
      </x:c>
      <x:c r="H270" s="12" t="str"/>
      <x:c r="I270" s="10" t="str">
        <x:v>All supported controls have accessible labels, keyboard operation, visible focus and understandable errors. Drag actions provide buttons or ordered lists. Charts offer tables, and async state changes are announced without unexpectedly moving focus.</x:v>
      </x:c>
      <x:c r="J270" s="10" t="str">
        <x:v>Authentication supports password managers and accessible alternatives to challenges. User supplied content limitations are reported; they do not waive product process conformance.</x:v>
      </x:c>
      <x:c r="K270" s="10" t="str">
        <x:v>Complete collection, correction and approval with keyboard and a qualified screen reader, including an invalid field and a stale revision conflict.</x:v>
      </x:c>
      <x:c r="L270" s="10" t="str">
        <x:v>TC-UX-004-01 / TC-UX-004-02</x:v>
      </x:c>
      <x:c r="M270" s="12" t="str">
        <x:v>apps/web/src/main.tsx; tools/browser/reporting-check.mjs; docs/IMPLEMENTATION.md</x:v>
      </x:c>
      <x:c r="N270" s="10" t="str">
        <x:f>IF(G270="Done",IF(AND(LEN(H270)&gt;0,LEN(M270)&gt;0),"Complete","Evidence required"),"Open")</x:f>
        <x:v>Open</x:v>
      </x:c>
      <x:c r="O270"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70" s="17" t="str">
        <x:v>PARTIAL</x:v>
      </x:c>
    </x:row>
    <x:row r="271" ht="64" customHeight="1">
      <x:c r="A271" s="10" t="str">
        <x:v>FR-UX-005</x:v>
      </x:c>
      <x:c r="B271" s="10" t="str">
        <x:v>R1</x:v>
      </x:c>
      <x:c r="C271" s="10" t="str">
        <x:v>P0</x:v>
      </x:c>
      <x:c r="D271" s="10" t="str">
        <x:v>WP15</x:v>
      </x:c>
      <x:c r="E271" s="10" t="str">
        <x:v>Responsive operation</x:v>
      </x:c>
      <x:c r="F271" s="10" t="str">
        <x:v>Frontend lead</x:v>
      </x:c>
      <x:c r="G271" s="12" t="str">
        <x:v>In progress</x:v>
      </x:c>
      <x:c r="H271" s="12" t="str"/>
      <x:c r="I271" s="10" t="str">
        <x:v>Core mobile layouts support 360 CSS pixel width with readable fields and reachable actions. Wide analysis tables offer labelled scrolling or a simplified view without hiding critical meaning. Dense configuration declares its desktop requirement before editing begins.</x:v>
      </x:c>
      <x:c r="J271" s="10" t="str">
        <x:v>No hover-only essential action or clipped submit button. Orientation changes preserve drafts, focus context and confirmation state.</x:v>
      </x:c>
      <x:c r="K271" s="10" t="str">
        <x:v>Complete a form, review evidence and return a submission on the supported mobile profile without horizontal dependence for ordinary fields.</x:v>
      </x:c>
      <x:c r="L271" s="10" t="str">
        <x:v>TC-UX-005-01 / TC-UX-005-02</x:v>
      </x:c>
      <x:c r="M271" s="12" t="str">
        <x:v>apps/web/src/main.tsx; tools/browser/reporting-check.mjs; docs/IMPLEMENTATION.md</x:v>
      </x:c>
      <x:c r="N271" s="10" t="str">
        <x:f>IF(G271="Done",IF(AND(LEN(H271)&gt;0,LEN(M271)&gt;0),"Complete","Evidence required"),"Open")</x:f>
        <x:v>Open</x:v>
      </x:c>
      <x:c r="O271"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71" s="17" t="str">
        <x:v>PARTIAL</x:v>
      </x:c>
    </x:row>
    <x:row r="272" ht="51" customHeight="1">
      <x:c r="A272" s="10" t="str">
        <x:v>FR-UX-006</x:v>
      </x:c>
      <x:c r="B272" s="10" t="str">
        <x:v>R1</x:v>
      </x:c>
      <x:c r="C272" s="10" t="str">
        <x:v>P1</x:v>
      </x:c>
      <x:c r="D272" s="10" t="str">
        <x:v>WP15</x:v>
      </x:c>
      <x:c r="E272" s="10" t="str">
        <x:v>Language and locale</x:v>
      </x:c>
      <x:c r="F272" s="10" t="str">
        <x:v>Frontend lead</x:v>
      </x:c>
      <x:c r="G272" s="12" t="str">
        <x:v>Not started</x:v>
      </x:c>
      <x:c r="H272" s="12" t="str"/>
      <x:c r="I272" s="10" t="str">
        <x:v>Profile locale controls display, while source locale and programme reporting zone govern interpretation. Import requires explicit ambiguous date and decimal handling. Unicode labels, names and codes survive export and search.</x:v>
      </x:c>
      <x:c r="J272" s="10" t="str">
        <x:v>Changing display language cannot recalculate dates, amounts or period membership. Stable codes remain separate from translated labels.</x:v>
      </x:c>
      <x:c r="K272" s="10" t="str">
        <x:v>Import 1,25 under a decimal-comma locale, view in decimal-point locale and export; the underlying value stays 1.25.</x:v>
      </x:c>
      <x:c r="L272" s="10" t="str">
        <x:v>TC-UX-006-01 / TC-UX-006-02</x:v>
      </x:c>
      <x:c r="M272" s="12" t="str">
        <x:v>No accepted implementation evidence mapped.</x:v>
      </x:c>
      <x:c r="N272" s="10" t="str">
        <x:f>IF(G272="Done",IF(AND(LEN(H272)&gt;0,LEN(M272)&gt;0),"Complete","Evidence required"),"Open")</x:f>
        <x:v>Open</x:v>
      </x:c>
      <x:c r="O272" s="17" t="str">
        <x:v>No complete implementation and acceptance evidence mapped. Retain the original acceptance criteria; this requirement remains open.</x:v>
      </x:c>
      <x:c r="P272" s="17" t="str">
        <x:v>PENDING</x:v>
      </x:c>
    </x:row>
    <x:row r="273" ht="64" customHeight="1">
      <x:c r="A273" s="10" t="str">
        <x:v>FR-UX-007</x:v>
      </x:c>
      <x:c r="B273" s="10" t="str">
        <x:v>R2</x:v>
      </x:c>
      <x:c r="C273" s="10" t="str">
        <x:v>P1</x:v>
      </x:c>
      <x:c r="D273" s="10" t="str">
        <x:v>WP15</x:v>
      </x:c>
      <x:c r="E273" s="10" t="str">
        <x:v>Expanded localisation</x:v>
      </x:c>
      <x:c r="F273" s="10" t="str">
        <x:v>Frontend lead</x:v>
      </x:c>
      <x:c r="G273" s="12" t="str">
        <x:v>Not started</x:v>
      </x:c>
      <x:c r="H273" s="12" t="str"/>
      <x:c r="I273" s="10" t="str">
        <x:v>A language release contains navigation, help, validation, notifications, standard reports and critical consent text with professional review. Right to left presentation is qualified where relevant. Translation completeness blocks release of affected core workflows.</x:v>
      </x:c>
      <x:c r="J273" s="10" t="str">
        <x:v>Machine translation alone is not a completed interface qualification. Fallback language is explicit and never changes stored codes or numeric semantics.</x:v>
      </x:c>
      <x:c r="K273" s="10" t="str">
        <x:v>Complete the same core workflow in each released language and confirm no untranslated blocking message or reversed layout obscures an action.</x:v>
      </x:c>
      <x:c r="L273" s="10" t="str">
        <x:v>TC-UX-007-01 / TC-UX-007-02</x:v>
      </x:c>
      <x:c r="M273" s="12" t="str">
        <x:v>No accepted implementation evidence mapped.</x:v>
      </x:c>
      <x:c r="N273" s="10" t="str">
        <x:f>IF(G273="Done",IF(AND(LEN(H273)&gt;0,LEN(M273)&gt;0),"Complete","Evidence required"),"Open")</x:f>
        <x:v>Open</x:v>
      </x:c>
      <x:c r="O273" s="17" t="str">
        <x:v>No complete implementation and acceptance evidence mapped. Retain the original acceptance criteria; this requirement remains open.</x:v>
      </x:c>
      <x:c r="P273" s="17" t="str">
        <x:v>PENDING</x:v>
      </x:c>
    </x:row>
    <x:row r="274" ht="64" customHeight="1">
      <x:c r="A274" s="10" t="str">
        <x:v>FR-UX-008</x:v>
      </x:c>
      <x:c r="B274" s="10" t="str">
        <x:v>R1</x:v>
      </x:c>
      <x:c r="C274" s="10" t="str">
        <x:v>P1</x:v>
      </x:c>
      <x:c r="D274" s="10" t="str">
        <x:v>WP15</x:v>
      </x:c>
      <x:c r="E274" s="10" t="str">
        <x:v>Discoverability and help</x:v>
      </x:c>
      <x:c r="F274" s="10" t="str">
        <x:v>Frontend lead</x:v>
      </x:c>
      <x:c r="G274" s="12" t="str">
        <x:v>Not started</x:v>
      </x:c>
      <x:c r="H274" s="12" t="str"/>
      <x:c r="I274" s="10" t="str">
        <x:v>Search, recent work and saved views use current permissions. Context help explains measurement states, approval blockers and recovery actions using product language. Users can move from a safe task notification to the exact permitted object and issue.</x:v>
      </x:c>
      <x:c r="J274" s="10" t="str">
        <x:v>Help examples use synthetic data and do not reveal implementation secrets. A saved view with a retired definition prompts reviewed rebinding rather than silently changing meaning.</x:v>
      </x:c>
      <x:c r="K274" s="10" t="str">
        <x:v>Find an assigned indicator, identify why approval is pending and reach the required evidence task without administrator intervention.</x:v>
      </x:c>
      <x:c r="L274" s="10" t="str">
        <x:v>TC-UX-008-01 / TC-UX-008-02</x:v>
      </x:c>
      <x:c r="M274" s="12" t="str">
        <x:v>No accepted implementation evidence mapped.</x:v>
      </x:c>
      <x:c r="N274" s="10" t="str">
        <x:f>IF(G274="Done",IF(AND(LEN(H274)&gt;0,LEN(M274)&gt;0),"Complete","Evidence required"),"Open")</x:f>
        <x:v>Open</x:v>
      </x:c>
      <x:c r="O274" s="17" t="str">
        <x:v>No complete implementation and acceptance evidence mapped. Retain the original acceptance criteria; this requirement remains open.</x:v>
      </x:c>
      <x:c r="P274" s="17" t="str">
        <x:v>PENDING</x:v>
      </x:c>
    </x:row>
    <x:row r="275" ht="64" customHeight="1">
      <x:c r="A275" s="10" t="str">
        <x:v>FR-UX-009</x:v>
      </x:c>
      <x:c r="B275" s="10" t="str">
        <x:v>R1</x:v>
      </x:c>
      <x:c r="C275" s="10" t="str">
        <x:v>P0</x:v>
      </x:c>
      <x:c r="D275" s="10" t="str">
        <x:v>WP15</x:v>
      </x:c>
      <x:c r="E275" s="10" t="str">
        <x:v>Status and trust cues</x:v>
      </x:c>
      <x:c r="F275" s="10" t="str">
        <x:v>Frontend lead</x:v>
      </x:c>
      <x:c r="G275" s="12" t="str">
        <x:v>In progress</x:v>
      </x:c>
      <x:c r="H275" s="12" t="str"/>
      <x:c r="I275" s="10" t="str">
        <x:v>Status labels consistently distinguish local save, received, validating, approved, published, stale, partial, suppressed and AI proposed. A background job receipt names the current stage and does not display complete until its actual completion event.</x:v>
      </x:c>
      <x:c r="J275" s="10" t="str">
        <x:v>A generic green success banner cannot imply approval or external delivery. Numeric badges include text equivalents and uncertainty states.</x:v>
      </x:c>
      <x:c r="K275" s="10" t="str">
        <x:v>Submit a large file and observe separate receipt, validation, review and calculation stages with no premature published result.</x:v>
      </x:c>
      <x:c r="L275" s="10" t="str">
        <x:v>TC-UX-009-01 / TC-UX-009-02</x:v>
      </x:c>
      <x:c r="M275" s="12" t="str">
        <x:v>apps/web/src/main.tsx; tools/browser/reporting-check.mjs; docs/IMPLEMENTATION.md</x:v>
      </x:c>
      <x:c r="N275" s="10" t="str">
        <x:f>IF(G275="Done",IF(AND(LEN(H275)&gt;0,LEN(M275)&gt;0),"Complete","Evidence required"),"Open")</x:f>
        <x:v>Open</x:v>
      </x:c>
      <x:c r="O275" s="17" t="str">
        <x:v>Browser workspaces, labelled dialogs, bound narrative authoring, controlled-publication actions, explicit status and health endpoints are implemented. Full accessibility/usability qualification, anonymous publication, service monitoring and all remaining screens are open.</x:v>
      </x:c>
      <x:c r="P275" s="17" t="str">
        <x:v>PARTIAL</x:v>
      </x:c>
    </x:row>
    <x:row r="276" ht="64" customHeight="1">
      <x:c r="A276" s="10" t="str">
        <x:v>FR-UX-010</x:v>
      </x:c>
      <x:c r="B276" s="10" t="str">
        <x:v>R1</x:v>
      </x:c>
      <x:c r="C276" s="10" t="str">
        <x:v>P1</x:v>
      </x:c>
      <x:c r="D276" s="10" t="str">
        <x:v>WP15</x:v>
      </x:c>
      <x:c r="E276" s="10" t="str">
        <x:v>Usability evidence</x:v>
      </x:c>
      <x:c r="F276" s="10" t="str">
        <x:v>Frontend lead</x:v>
      </x:c>
      <x:c r="G276" s="12" t="str">
        <x:v>Not started</x:v>
      </x:c>
      <x:c r="H276" s="12" t="str"/>
      <x:c r="I276" s="10" t="str">
        <x:v>Usability qualification selects representative roles and accessibility needs, records standard onboarding and tasks, and measures completion, time and consequential errors. Failures are prioritised by data loss, disclosure and incorrect official result risk.</x:v>
      </x:c>
      <x:c r="J276" s="10" t="str">
        <x:v>No critical observed workflow defect may be accepted as cosmetic. Facilitation is recorded and does not count as unaided task completion.</x:v>
      </x:c>
      <x:c r="K276" s="10" t="str">
        <x:v>Run the six BRD core tasks with at least fifteen representative participants and document both the completion threshold and every critical error resolution.</x:v>
      </x:c>
      <x:c r="L276" s="10" t="str">
        <x:v>TC-UX-010-01 / TC-UX-010-02</x:v>
      </x:c>
      <x:c r="M276" s="12" t="str">
        <x:v>No accepted implementation evidence mapped.</x:v>
      </x:c>
      <x:c r="N276" s="10" t="str">
        <x:f>IF(G276="Done",IF(AND(LEN(H276)&gt;0,LEN(M276)&gt;0),"Complete","Evidence required"),"Open")</x:f>
        <x:v>Open</x:v>
      </x:c>
      <x:c r="O276" s="17" t="str">
        <x:v>No complete implementation and acceptance evidence mapped. Retain the original acceptance criteria; this requirement remains open.</x:v>
      </x:c>
      <x:c r="P276" s="17" t="str">
        <x:v>PENDING</x:v>
      </x:c>
    </x:row>
    <x:row r="277" ht="77" customHeight="1">
      <x:c r="A277" s="10" t="str">
        <x:v>VF-PER-001</x:v>
      </x:c>
      <x:c r="B277" s="10" t="str">
        <x:v>R1</x:v>
      </x:c>
      <x:c r="C277" s="10" t="str">
        <x:v>P0</x:v>
      </x:c>
      <x:c r="D277" s="10" t="str">
        <x:v>WP17</x:v>
      </x:c>
      <x:c r="E277" s="10" t="str">
        <x:v>Interactive response</x:v>
      </x:c>
      <x:c r="F277" s="10" t="str">
        <x:v>QA lead</x:v>
      </x:c>
      <x:c r="G277" s="12" t="str">
        <x:v>Not started</x:v>
      </x:c>
      <x:c r="H277" s="12" t="str"/>
      <x:c r="I277" s="10" t="str">
        <x:v>Under the standard workload, ordinary record reads, list views with up to 100 returned rows, saves and approval actions shall complete at p95 within 2 seconds and p99 within 5 seconds measured from user action to usable confirmed response. Long jobs are excluded only if explicitly routed asynchronously.</x:v>
      </x:c>
      <x:c r="J277" s="10" t="str">
        <x:v>Fail any action class or material tenant cohort outside its bound; do not combine fast reads with slow approvals to hide a failure.</x:v>
      </x:c>
      <x:c r="K277" s="10" t="str">
        <x:v>Instrument action start, usable response and durable confirmation for reads, 100-row lists, saves and approvals separately. Run the complete peak and soak profile with concurrent background work; report per tenant p95, p99, timeout and error counts.</x:v>
      </x:c>
      <x:c r="L277" s="10" t="str">
        <x:v>TC-VF-PER-001</x:v>
      </x:c>
      <x:c r="M277" s="12" t="str">
        <x:v>No accepted implementation evidence mapped.</x:v>
      </x:c>
      <x:c r="N277" s="10" t="str">
        <x:f>IF(G277="Done",IF(AND(LEN(H277)&gt;0,LEN(M277)&gt;0),"Complete","Evidence required"),"Open")</x:f>
        <x:v>Open</x:v>
      </x:c>
      <x:c r="O277" s="17" t="str">
        <x:v>No complete implementation and acceptance evidence mapped. Retain the original acceptance criteria; this requirement remains open.</x:v>
      </x:c>
      <x:c r="P277" s="17" t="str">
        <x:v>PENDING</x:v>
      </x:c>
    </x:row>
    <x:row r="278" ht="64" customHeight="1">
      <x:c r="A278" s="10" t="str">
        <x:v>VF-PER-002</x:v>
      </x:c>
      <x:c r="B278" s="10" t="str">
        <x:v>R1</x:v>
      </x:c>
      <x:c r="C278" s="10" t="str">
        <x:v>P1</x:v>
      </x:c>
      <x:c r="D278" s="10" t="str">
        <x:v>WP17</x:v>
      </x:c>
      <x:c r="E278" s="10" t="str">
        <x:v>Dashboard response</x:v>
      </x:c>
      <x:c r="F278" s="10" t="str">
        <x:v>QA lead</x:v>
      </x:c>
      <x:c r="G278" s="12" t="str">
        <x:v>Not started</x:v>
      </x:c>
      <x:c r="H278" s="12" t="str"/>
      <x:c r="I278" s="10" t="str">
        <x:v>A standard dashboard of up to ten widgets with approved bounded calculations shall become usable at p95 within 5 seconds and p99 within 10 seconds. Cached and uncached results shall be reported separately. Freshness and calculation status shall remain visible.</x:v>
      </x:c>
      <x:c r="J278" s="10" t="str">
        <x:v>A placeholder or partially loaded chart is not usable completion. Record failed widgets rather than excluding their samples.</x:v>
      </x:c>
      <x:c r="K278" s="10" t="str">
        <x:v>Measure initial opening, filter change and drill down for ten-widget dashboards with cold and warm caches as separate populations. Verify data bindings and freshness while imports and report jobs run.</x:v>
      </x:c>
      <x:c r="L278" s="10" t="str">
        <x:v>TC-VF-PER-002</x:v>
      </x:c>
      <x:c r="M278" s="12" t="str">
        <x:v>No accepted implementation evidence mapped.</x:v>
      </x:c>
      <x:c r="N278" s="10" t="str">
        <x:f>IF(G278="Done",IF(AND(LEN(H278)&gt;0,LEN(M278)&gt;0),"Complete","Evidence required"),"Open")</x:f>
        <x:v>Open</x:v>
      </x:c>
      <x:c r="O278" s="17" t="str">
        <x:v>No complete implementation and acceptance evidence mapped. Retain the original acceptance criteria; this requirement remains open.</x:v>
      </x:c>
      <x:c r="P278" s="17" t="str">
        <x:v>PENDING</x:v>
      </x:c>
    </x:row>
    <x:row r="279" ht="64" customHeight="1">
      <x:c r="A279" s="10" t="str">
        <x:v>VF-PER-003</x:v>
      </x:c>
      <x:c r="B279" s="10" t="str">
        <x:v>R1</x:v>
      </x:c>
      <x:c r="C279" s="10" t="str">
        <x:v>P1</x:v>
      </x:c>
      <x:c r="D279" s="10" t="str">
        <x:v>WP17</x:v>
      </x:c>
      <x:c r="E279" s="10" t="str">
        <x:v>Search response</x:v>
      </x:c>
      <x:c r="F279" s="10" t="str">
        <x:v>QA lead</x:v>
      </x:c>
      <x:c r="G279" s="12" t="str">
        <x:v>Not started</x:v>
      </x:c>
      <x:c r="H279" s="12" t="str"/>
      <x:c r="I279" s="10" t="str">
        <x:v>Permission filtered metadata and indexed document searches shall return the first 50 results at p95 within 3 seconds and p99 within 8 seconds under the standard profile. Empty, restricted and multilingual searches shall follow the same confidentiality rules.</x:v>
      </x:c>
      <x:c r="J279" s="10" t="str">
        <x:v>Latency success cannot compensate for permission leakage. Time the complete first usable page, including policy filtering.</x:v>
      </x:c>
      <x:c r="K279" s="10" t="str">
        <x:v>Search a synthetic corpus with restricted, multilingual and empty-result queries and retrieve the first fifty permitted results. Inspect counts, suggestions and snippets for hidden markers.</x:v>
      </x:c>
      <x:c r="L279" s="10" t="str">
        <x:v>TC-VF-PER-003</x:v>
      </x:c>
      <x:c r="M279" s="12" t="str">
        <x:v>No accepted implementation evidence mapped.</x:v>
      </x:c>
      <x:c r="N279" s="10" t="str">
        <x:f>IF(G279="Done",IF(AND(LEN(H279)&gt;0,LEN(M279)&gt;0),"Complete","Evidence required"),"Open")</x:f>
        <x:v>Open</x:v>
      </x:c>
      <x:c r="O279" s="17" t="str">
        <x:v>No complete implementation and acceptance evidence mapped. Retain the original acceptance criteria; this requirement remains open.</x:v>
      </x:c>
      <x:c r="P279" s="17" t="str">
        <x:v>PENDING</x:v>
      </x:c>
    </x:row>
    <x:row r="280" ht="77" customHeight="1">
      <x:c r="A280" s="10" t="str">
        <x:v>VF-PER-004</x:v>
      </x:c>
      <x:c r="B280" s="10" t="str">
        <x:v>R1</x:v>
      </x:c>
      <x:c r="C280" s="10" t="str">
        <x:v>P1</x:v>
      </x:c>
      <x:c r="D280" s="10" t="str">
        <x:v>WP17</x:v>
      </x:c>
      <x:c r="E280" s="10" t="str">
        <x:v>Import and recalculation throughput</x:v>
      </x:c>
      <x:c r="F280" s="10" t="str">
        <x:v>QA lead</x:v>
      </x:c>
      <x:c r="G280" s="12" t="str">
        <x:v>Not started</x:v>
      </x:c>
      <x:c r="H280" s="12" t="str"/>
      <x:c r="I280" s="10" t="str">
        <x:v>A standard import of 100000 rows and 30 simple fields with configured deterministic checks shall complete validation and ingestion at p95 within 10 minutes, excluding human approval and external source transfer. A resulting bounded 1000 indicator recalculation shall complete within 5 additional minutes at p95.</x:v>
      </x:c>
      <x:c r="J280" s="10" t="str">
        <x:v>Human approval and external transfer are separately reported exclusions; validation, internal queuing and ordinary retries remain measured.</x:v>
      </x:c>
      <x:c r="K280" s="10" t="str">
        <x:v>Run repeated 100000-row, thirty-field imports containing updates, duplicates and rejected rows. Start the bounded 1000-indicator calculation after eligible ingestion and record each stage separately.</x:v>
      </x:c>
      <x:c r="L280" s="10" t="str">
        <x:v>TC-VF-PER-004</x:v>
      </x:c>
      <x:c r="M280" s="12" t="str">
        <x:v>No accepted implementation evidence mapped.</x:v>
      </x:c>
      <x:c r="N280" s="10" t="str">
        <x:f>IF(G280="Done",IF(AND(LEN(H280)&gt;0,LEN(M280)&gt;0),"Complete","Evidence required"),"Open")</x:f>
        <x:v>Open</x:v>
      </x:c>
      <x:c r="O280" s="17" t="str">
        <x:v>No complete implementation and acceptance evidence mapped. Retain the original acceptance criteria; this requirement remains open.</x:v>
      </x:c>
      <x:c r="P280" s="17" t="str">
        <x:v>PENDING</x:v>
      </x:c>
    </x:row>
    <x:row r="281" ht="64" customHeight="1">
      <x:c r="A281" s="10" t="str">
        <x:v>VF-PER-005</x:v>
      </x:c>
      <x:c r="B281" s="10" t="str">
        <x:v>R1</x:v>
      </x:c>
      <x:c r="C281" s="10" t="str">
        <x:v>P1</x:v>
      </x:c>
      <x:c r="D281" s="10" t="str">
        <x:v>WP17</x:v>
      </x:c>
      <x:c r="E281" s="10" t="str">
        <x:v>Export and report generation</x:v>
      </x:c>
      <x:c r="F281" s="10" t="str">
        <x:v>QA lead</x:v>
      </x:c>
      <x:c r="G281" s="12" t="str">
        <x:v>Not started</x:v>
      </x:c>
      <x:c r="H281" s="12" t="str"/>
      <x:c r="I281" s="10" t="str">
        <x:v>A standard 100000 row data export or 50 page report with up to 20 charts shall complete at p95 within 5 minutes. Jobs shall acknowledge receipt within 2 seconds, expose progress and support cancellation. Larger jobs shall show estimated class and explicit limits.</x:v>
      </x:c>
      <x:c r="J281" s="10" t="str">
        <x:v>A ready link to an incomplete artifact fails. Permission revocation before download must prevent retrieval even when performance targets passed.</x:v>
      </x:c>
      <x:c r="K281" s="10" t="str">
        <x:v>Generate 100000-row exports and fifty-page reports with twenty charts under mixed load. Measure acknowledgement and finished artifact times, validate content and cancel jobs at several stages.</x:v>
      </x:c>
      <x:c r="L281" s="10" t="str">
        <x:v>TC-VF-PER-005</x:v>
      </x:c>
      <x:c r="M281" s="12" t="str">
        <x:v>No accepted implementation evidence mapped.</x:v>
      </x:c>
      <x:c r="N281" s="10" t="str">
        <x:f>IF(G281="Done",IF(AND(LEN(H281)&gt;0,LEN(M281)&gt;0),"Complete","Evidence required"),"Open")</x:f>
        <x:v>Open</x:v>
      </x:c>
      <x:c r="O281" s="17" t="str">
        <x:v>No complete implementation and acceptance evidence mapped. Retain the original acceptance criteria; this requirement remains open.</x:v>
      </x:c>
      <x:c r="P281" s="17" t="str">
        <x:v>PENDING</x:v>
      </x:c>
    </x:row>
    <x:row r="282" ht="64" customHeight="1">
      <x:c r="A282" s="10" t="str">
        <x:v>VF-PER-006</x:v>
      </x:c>
      <x:c r="B282" s="10" t="str">
        <x:v>R1</x:v>
      </x:c>
      <x:c r="C282" s="10" t="str">
        <x:v>P0</x:v>
      </x:c>
      <x:c r="D282" s="10" t="str">
        <x:v>WP17</x:v>
      </x:c>
      <x:c r="E282" s="10" t="str">
        <x:v>Data freshness</x:v>
      </x:c>
      <x:c r="F282" s="10" t="str">
        <x:v>QA lead</x:v>
      </x:c>
      <x:c r="G282" s="12" t="str">
        <x:v>Not started</x:v>
      </x:c>
      <x:c r="H282" s="12" t="str"/>
      <x:c r="I282" s="10" t="str">
        <x:v>After a submission is approved and its bounded calculation finishes, live dashboards shall reflect the new approved result within 60 seconds at p95. External source cadence and human review delays shall be displayed separately rather than hidden in this metric.</x:v>
      </x:c>
      <x:c r="J282" s="10" t="str">
        <x:v>Measure the sixty-second propagation from calculation completion, while separately exposing collection and human review delay.</x:v>
      </x:c>
      <x:c r="K282" s="10" t="str">
        <x:v>Record source receipt, validation, approval, calculation completion and first visible updated dashboard result. Use version identifiers to prove the new result is actually shown.</x:v>
      </x:c>
      <x:c r="L282" s="10" t="str">
        <x:v>TC-VF-PER-006</x:v>
      </x:c>
      <x:c r="M282" s="12" t="str">
        <x:v>No accepted implementation evidence mapped.</x:v>
      </x:c>
      <x:c r="N282" s="10" t="str">
        <x:f>IF(G282="Done",IF(AND(LEN(H282)&gt;0,LEN(M282)&gt;0),"Complete","Evidence required"),"Open")</x:f>
        <x:v>Open</x:v>
      </x:c>
      <x:c r="O282" s="17" t="str">
        <x:v>No complete implementation and acceptance evidence mapped. Retain the original acceptance criteria; this requirement remains open.</x:v>
      </x:c>
      <x:c r="P282" s="17" t="str">
        <x:v>PENDING</x:v>
      </x:c>
    </x:row>
    <x:row r="283" ht="77" customHeight="1">
      <x:c r="A283" s="10" t="str">
        <x:v>VF-PER-007</x:v>
      </x:c>
      <x:c r="B283" s="10" t="str">
        <x:v>R1</x:v>
      </x:c>
      <x:c r="C283" s="10" t="str">
        <x:v>P1</x:v>
      </x:c>
      <x:c r="D283" s="10" t="str">
        <x:v>WP17</x:v>
      </x:c>
      <x:c r="E283" s="10" t="str">
        <x:v>AI responsiveness</x:v>
      </x:c>
      <x:c r="F283" s="10" t="str">
        <x:v>QA lead</x:v>
      </x:c>
      <x:c r="G283" s="12" t="str">
        <x:v>Not started</x:v>
      </x:c>
      <x:c r="H283" s="12" t="str"/>
      <x:c r="I283" s="10" t="str">
        <x:v>For interactive evidence questions, the system shall acknowledge within 2 seconds and target a first useful response at p95 within 15 seconds and a completed standard answer within 45 seconds. Long extraction and reporting tasks shall use visible asynchronous jobs with cancellation and a declared timeout.</x:v>
      </x:c>
      <x:c r="J283" s="10" t="str">
        <x:v>A generic waiting message is not useful response. Provider timeout must preserve the question and offer the manual route without unapproved fallback.</x:v>
      </x:c>
      <x:c r="K283" s="10" t="str">
        <x:v>Run representative supported question sets by use case and model configuration. Measure acknowledgement, first useful response and completed answer, including policy checks and numeric tools.</x:v>
      </x:c>
      <x:c r="L283" s="10" t="str">
        <x:v>TC-VF-PER-007</x:v>
      </x:c>
      <x:c r="M283" s="12" t="str">
        <x:v>No accepted implementation evidence mapped.</x:v>
      </x:c>
      <x:c r="N283" s="10" t="str">
        <x:f>IF(G283="Done",IF(AND(LEN(H283)&gt;0,LEN(M283)&gt;0),"Complete","Evidence required"),"Open")</x:f>
        <x:v>Open</x:v>
      </x:c>
      <x:c r="O283" s="17" t="str">
        <x:v>No complete implementation and acceptance evidence mapped. Retain the original acceptance criteria; this requirement remains open.</x:v>
      </x:c>
      <x:c r="P283" s="17" t="str">
        <x:v>PENDING</x:v>
      </x:c>
    </x:row>
    <x:row r="284" ht="64" customHeight="1">
      <x:c r="A284" s="10" t="str">
        <x:v>VF-CAP-001</x:v>
      </x:c>
      <x:c r="B284" s="10" t="str">
        <x:v>R1</x:v>
      </x:c>
      <x:c r="C284" s="10" t="str">
        <x:v>P1</x:v>
      </x:c>
      <x:c r="D284" s="10" t="str">
        <x:v>WP17</x:v>
      </x:c>
      <x:c r="E284" s="10" t="str">
        <x:v>Supported object limits</x:v>
      </x:c>
      <x:c r="F284" s="10" t="str">
        <x:v>QA lead</x:v>
      </x:c>
      <x:c r="G284" s="12" t="str">
        <x:v>Not started</x:v>
      </x:c>
      <x:c r="H284" s="12" t="str"/>
      <x:c r="I284" s="10" t="str">
        <x:v>The baseline shall qualify forms with 200 questions and 100 repeat entries, source files up to 100 MB, media files up to 25 MB and import jobs up to one million rows through an appropriate asynchronous path. Limits and supported combinations shall be visible before work begins.</x:v>
      </x:c>
      <x:c r="J284" s="10" t="str">
        <x:v>Document decimal versus binary file size units before qualification. Advertised limits must not be reduced by an undocumented frontend constraint.</x:v>
      </x:c>
      <x:c r="K284" s="10" t="str">
        <x:v>Test 199, 200 and 201 questions; 99, 100 and 101 repeat entries; each file boundary and one million-row async import. Exercise representative combinations and preservation of existing drafts.</x:v>
      </x:c>
      <x:c r="L284" s="10" t="str">
        <x:v>TC-VF-CAP-001</x:v>
      </x:c>
      <x:c r="M284" s="12" t="str">
        <x:v>No accepted implementation evidence mapped.</x:v>
      </x:c>
      <x:c r="N284" s="10" t="str">
        <x:f>IF(G284="Done",IF(AND(LEN(H284)&gt;0,LEN(M284)&gt;0),"Complete","Evidence required"),"Open")</x:f>
        <x:v>Open</x:v>
      </x:c>
      <x:c r="O284" s="17" t="str">
        <x:v>No complete implementation and acceptance evidence mapped. Retain the original acceptance criteria; this requirement remains open.</x:v>
      </x:c>
      <x:c r="P284" s="17" t="str">
        <x:v>PENDING</x:v>
      </x:c>
    </x:row>
    <x:row r="285" ht="64" customHeight="1">
      <x:c r="A285" s="10" t="str">
        <x:v>VF-CAP-002</x:v>
      </x:c>
      <x:c r="B285" s="10" t="str">
        <x:v>R1</x:v>
      </x:c>
      <x:c r="C285" s="10" t="str">
        <x:v>P0</x:v>
      </x:c>
      <x:c r="D285" s="10" t="str">
        <x:v>WP17</x:v>
      </x:c>
      <x:c r="E285" s="10" t="str">
        <x:v>Scaling and workload isolation</x:v>
      </x:c>
      <x:c r="F285" s="10" t="str">
        <x:v>QA lead</x:v>
      </x:c>
      <x:c r="G285" s="12" t="str">
        <x:v>Not started</x:v>
      </x:c>
      <x:c r="H285" s="12" t="str"/>
      <x:c r="I285" s="10" t="str">
        <x:v>The service shall admit, queue or limit work predictably as demand rises. A large tenant import or AI job shall not cause unrelated tenants to miss core service targets during the baseline workload. Bursts shall recover without unbounded queues.</x:v>
      </x:c>
      <x:c r="J285" s="10" t="str">
        <x:v>Fail unbounded queue growth, unexplained starvation or target violations hidden by service-wide averages.</x:v>
      </x:c>
      <x:c r="K285" s="10" t="str">
        <x:v>Apply the five-minute twofold arrival burst and a noisy tenant bulk workload while representative other tenants save and approve. Measure queue depth, rejections and recovery to baseline.</x:v>
      </x:c>
      <x:c r="L285" s="10" t="str">
        <x:v>TC-VF-CAP-002</x:v>
      </x:c>
      <x:c r="M285" s="12" t="str">
        <x:v>No accepted implementation evidence mapped.</x:v>
      </x:c>
      <x:c r="N285" s="10" t="str">
        <x:f>IF(G285="Done",IF(AND(LEN(H285)&gt;0,LEN(M285)&gt;0),"Complete","Evidence required"),"Open")</x:f>
        <x:v>Open</x:v>
      </x:c>
      <x:c r="O285" s="17" t="str">
        <x:v>No complete implementation and acceptance evidence mapped. Retain the original acceptance criteria; this requirement remains open.</x:v>
      </x:c>
      <x:c r="P285" s="17" t="str">
        <x:v>PENDING</x:v>
      </x:c>
    </x:row>
    <x:row r="286" ht="77" customHeight="1">
      <x:c r="A286" s="10" t="str">
        <x:v>VF-AVL-001</x:v>
      </x:c>
      <x:c r="B286" s="10" t="str">
        <x:v>R1</x:v>
      </x:c>
      <x:c r="C286" s="10" t="str">
        <x:v>P0</x:v>
      </x:c>
      <x:c r="D286" s="10" t="str">
        <x:v>WP17</x:v>
      </x:c>
      <x:c r="E286" s="10" t="str">
        <x:v>Core availability</x:v>
      </x:c>
      <x:c r="F286" s="10" t="str">
        <x:v>QA lead</x:v>
      </x:c>
      <x:c r="G286" s="12" t="str">
        <x:v>Not started</x:v>
      </x:c>
      <x:c r="H286" s="12" t="str"/>
      <x:c r="I286" s="10" t="str">
        <x:v>The internal core service objective shall be at least 99.9 percent monthly availability for supported authentication, record access, submission, approval and access to published reports. Measure each critical journey and material tenant cohort. Planned maintenance affecting these journeys counts against this internal objective.</x:v>
      </x:c>
      <x:c r="J286" s="10" t="str">
        <x:v>Planned maintenance and platform-dependent outages count for this internal objective. A single aggregate availability number is insufficient.</x:v>
      </x:c>
      <x:c r="K286" s="10" t="str">
        <x:v>Define successful synthetic journeys for authentication, read, submission, approval and report access; measure monthly bad minutes and failed-request evidence per material cohort.</x:v>
      </x:c>
      <x:c r="L286" s="10" t="str">
        <x:v>TC-VF-AVL-001</x:v>
      </x:c>
      <x:c r="M286" s="12" t="str">
        <x:v>No accepted implementation evidence mapped.</x:v>
      </x:c>
      <x:c r="N286" s="10" t="str">
        <x:f>IF(G286="Done",IF(AND(LEN(H286)&gt;0,LEN(M286)&gt;0),"Complete","Evidence required"),"Open")</x:f>
        <x:v>Open</x:v>
      </x:c>
      <x:c r="O286" s="17" t="str">
        <x:v>No complete implementation and acceptance evidence mapped. Retain the original acceptance criteria; this requirement remains open.</x:v>
      </x:c>
      <x:c r="P286" s="17" t="str">
        <x:v>PENDING</x:v>
      </x:c>
    </x:row>
    <x:row r="287" ht="64" customHeight="1">
      <x:c r="A287" s="10" t="str">
        <x:v>VF-AVL-002</x:v>
      </x:c>
      <x:c r="B287" s="10" t="str">
        <x:v>R1</x:v>
      </x:c>
      <x:c r="C287" s="10" t="str">
        <x:v>P0</x:v>
      </x:c>
      <x:c r="D287" s="10" t="str">
        <x:v>WP17</x:v>
      </x:c>
      <x:c r="E287" s="10" t="str">
        <x:v>Dependency degradation</x:v>
      </x:c>
      <x:c r="F287" s="10" t="str">
        <x:v>QA lead</x:v>
      </x:c>
      <x:c r="G287" s="12" t="str">
        <x:v>Not started</x:v>
      </x:c>
      <x:c r="H287" s="12" t="str"/>
      <x:c r="I287" s="10" t="str">
        <x:v>AI, email, external data collection and BI failures shall be isolated where possible. Users shall see the affected function, stale data and queued actions. Core manual workflows shall remain available when their independent dependencies are healthy.</x:v>
      </x:c>
      <x:c r="J287" s="10" t="str">
        <x:v>Do not claim isolation when the failed dependency is actually required for the tested journey; declare that dependency and report the affected cohort.</x:v>
      </x:c>
      <x:c r="K287" s="10" t="str">
        <x:v>Independently fail AI, email, survey connector and BI retrieval. Complete manual entry, deterministic calculations and existing approved report access while inspecting queued work and status labels.</x:v>
      </x:c>
      <x:c r="L287" s="10" t="str">
        <x:v>TC-VF-AVL-002</x:v>
      </x:c>
      <x:c r="M287" s="12" t="str">
        <x:v>No accepted implementation evidence mapped.</x:v>
      </x:c>
      <x:c r="N287" s="10" t="str">
        <x:f>IF(G287="Done",IF(AND(LEN(H287)&gt;0,LEN(M287)&gt;0),"Complete","Evidence required"),"Open")</x:f>
        <x:v>Open</x:v>
      </x:c>
      <x:c r="O287" s="17" t="str">
        <x:v>No complete implementation and acceptance evidence mapped. Retain the original acceptance criteria; this requirement remains open.</x:v>
      </x:c>
      <x:c r="P287" s="17" t="str">
        <x:v>PENDING</x:v>
      </x:c>
    </x:row>
    <x:row r="288" ht="64" customHeight="1">
      <x:c r="A288" s="10" t="str">
        <x:v>VF-DR-001</x:v>
      </x:c>
      <x:c r="B288" s="10" t="str">
        <x:v>R1</x:v>
      </x:c>
      <x:c r="C288" s="10" t="str">
        <x:v>P0</x:v>
      </x:c>
      <x:c r="D288" s="10" t="str">
        <x:v>WP17</x:v>
      </x:c>
      <x:c r="E288" s="10" t="str">
        <x:v>Disaster recovery</x:v>
      </x:c>
      <x:c r="F288" s="10" t="str">
        <x:v>QA lead</x:v>
      </x:c>
      <x:c r="G288" s="12" t="str">
        <x:v>Not started</x:v>
      </x:c>
      <x:c r="H288" s="12" t="str"/>
      <x:c r="I288" s="10" t="str">
        <x:v>For the standard qualified deployment, catastrophic recovery shall target a recovery point objective of at most 15 minutes and recovery time objective of at most 4 hours from incident declaration. Recovery shall occur only within permitted regions and include files, configuration and governance state.</x:v>
      </x:c>
      <x:c r="J288" s="10" t="str">
        <x:v>Do not reopen with mismatched governance or missing deletion restrictions. Report actual lost interval and affected accepted writes, not only backup timestamps.</x:v>
      </x:c>
      <x:c r="K288" s="10" t="str">
        <x:v>Declare a simulated regional disaster, restore only in an allowed region and time service recovery. Reconcile records and attachments against the latest accepted receipts and identify any permitted recovery point gap.</x:v>
      </x:c>
      <x:c r="L288" s="10" t="str">
        <x:v>TC-VF-DR-001</x:v>
      </x:c>
      <x:c r="M288" s="12" t="str">
        <x:v>No accepted implementation evidence mapped.</x:v>
      </x:c>
      <x:c r="N288" s="10" t="str">
        <x:f>IF(G288="Done",IF(AND(LEN(H288)&gt;0,LEN(M288)&gt;0),"Complete","Evidence required"),"Open")</x:f>
        <x:v>Open</x:v>
      </x:c>
      <x:c r="O288" s="17" t="str">
        <x:v>No complete implementation and acceptance evidence mapped. Retain the original acceptance criteria; this requirement remains open.</x:v>
      </x:c>
      <x:c r="P288" s="17" t="str">
        <x:v>PENDING</x:v>
      </x:c>
    </x:row>
    <x:row r="289" ht="64" customHeight="1">
      <x:c r="A289" s="10" t="str">
        <x:v>VF-DR-002</x:v>
      </x:c>
      <x:c r="B289" s="10" t="str">
        <x:v>R1</x:v>
      </x:c>
      <x:c r="C289" s="10" t="str">
        <x:v>P0</x:v>
      </x:c>
      <x:c r="D289" s="10" t="str">
        <x:v>WP17</x:v>
      </x:c>
      <x:c r="E289" s="10" t="str">
        <x:v>Ordinary failure durability</x:v>
      </x:c>
      <x:c r="F289" s="10" t="str">
        <x:v>QA lead</x:v>
      </x:c>
      <x:c r="G289" s="12" t="str">
        <x:v>Not started</x:v>
      </x:c>
      <x:c r="H289" s="12" t="str"/>
      <x:c r="I289" s="10" t="str">
        <x:v>A server acknowledgement of a saved record shall represent durable acceptance under the qualified ordinary single component failure model. Offline local saves shall be clearly distinct. Catastrophic recovery exposure remains governed by NFR-DR-001.</x:v>
      </x:c>
      <x:c r="J289" s="10" t="str">
        <x:v>A successful server receipt must not silently disappear under the ordinary qualified failure model; uncertain client outcomes are reconciled by operation identity.</x:v>
      </x:c>
      <x:c r="K289" s="10" t="str">
        <x:v>Interrupt qualified individual components during writes and compare client receipts to recovered records, child relationships and files. Repeat around acknowledgement boundaries.</x:v>
      </x:c>
      <x:c r="L289" s="10" t="str">
        <x:v>TC-VF-DR-002</x:v>
      </x:c>
      <x:c r="M289" s="12" t="str">
        <x:v>No accepted implementation evidence mapped.</x:v>
      </x:c>
      <x:c r="N289" s="10" t="str">
        <x:f>IF(G289="Done",IF(AND(LEN(H289)&gt;0,LEN(M289)&gt;0),"Complete","Evidence required"),"Open")</x:f>
        <x:v>Open</x:v>
      </x:c>
      <x:c r="O289" s="17" t="str">
        <x:v>No complete implementation and acceptance evidence mapped. Retain the original acceptance criteria; this requirement remains open.</x:v>
      </x:c>
      <x:c r="P289" s="17" t="str">
        <x:v>PENDING</x:v>
      </x:c>
    </x:row>
    <x:row r="290" ht="64" customHeight="1">
      <x:c r="A290" s="10" t="str">
        <x:v>VF-DR-003</x:v>
      </x:c>
      <x:c r="B290" s="10" t="str">
        <x:v>R1</x:v>
      </x:c>
      <x:c r="C290" s="10" t="str">
        <x:v>P0</x:v>
      </x:c>
      <x:c r="D290" s="10" t="str">
        <x:v>WP17</x:v>
      </x:c>
      <x:c r="E290" s="10" t="str">
        <x:v>Recovery testing and backups</x:v>
      </x:c>
      <x:c r="F290" s="10" t="str">
        <x:v>QA lead</x:v>
      </x:c>
      <x:c r="G290" s="12" t="str">
        <x:v>Not started</x:v>
      </x:c>
      <x:c r="H290" s="12" t="str"/>
      <x:c r="I290" s="10" t="str">
        <x:v>Backups shall be protected against unauthorised alteration and credential compromise. Representative restores shall be tested monthly and disaster recovery at least quarterly. Default backup retention shall be no more than 35 days unless an approved contract or hold requires a different schedule.</x:v>
      </x:c>
      <x:c r="J290" s="10" t="str">
        <x:v>A successful archive download is not a completed restore. Record retention exceptions and their owner instead of extending the default window silently.</x:v>
      </x:c>
      <x:c r="K290" s="10" t="str">
        <x:v>Run monthly representative restores and quarterly disaster exercises. Test protected backup access, attachment integrity, snapshot consistency, key recovery and deletion replay before reopening.</x:v>
      </x:c>
      <x:c r="L290" s="10" t="str">
        <x:v>TC-VF-DR-003</x:v>
      </x:c>
      <x:c r="M290" s="12" t="str">
        <x:v>No accepted implementation evidence mapped.</x:v>
      </x:c>
      <x:c r="N290" s="10" t="str">
        <x:f>IF(G290="Done",IF(AND(LEN(H290)&gt;0,LEN(M290)&gt;0),"Complete","Evidence required"),"Open")</x:f>
        <x:v>Open</x:v>
      </x:c>
      <x:c r="O290" s="17" t="str">
        <x:v>No complete implementation and acceptance evidence mapped. Retain the original acceptance criteria; this requirement remains open.</x:v>
      </x:c>
      <x:c r="P290" s="17" t="str">
        <x:v>PENDING</x:v>
      </x:c>
    </x:row>
    <x:row r="291" ht="77" customHeight="1">
      <x:c r="A291" s="10" t="str">
        <x:v>VF-DIN-001</x:v>
      </x:c>
      <x:c r="B291" s="10" t="str">
        <x:v>R1</x:v>
      </x:c>
      <x:c r="C291" s="10" t="str">
        <x:v>P0</x:v>
      </x:c>
      <x:c r="D291" s="10" t="str">
        <x:v>WP17</x:v>
      </x:c>
      <x:c r="E291" s="10" t="str">
        <x:v>Calculation correctness</x:v>
      </x:c>
      <x:c r="F291" s="10" t="str">
        <x:v>QA lead</x:v>
      </x:c>
      <x:c r="G291" s="12" t="str">
        <x:v>Not started</x:v>
      </x:c>
      <x:c r="H291" s="12" t="str"/>
      <x:c r="I291" s="10" t="str">
        <x:v>The entire approved deterministic golden corpus shall pass exactly at the defined precision before release. It shall cover pooled ratios, distinct counts, period semantics, dimensions, corrections, rounding, missingness, cycles and permissions. There shall be zero unexplained official report reconciliation differences.</x:v>
      </x:c>
      <x:c r="J291" s="10" t="str">
        <x:v>Any unexplained official result discrepancy blocks release. Numerical tolerance applies only when the approved calculation contract defines it.</x:v>
      </x:c>
      <x:c r="K291" s="10" t="str">
        <x:v>Run CAL01 through CAL20 and their version, correction, missingness and permission variants against independently prepared expected results. Compare raw and displayed decimals and report bindings.</x:v>
      </x:c>
      <x:c r="L291" s="10" t="str">
        <x:v>TC-VF-DIN-001</x:v>
      </x:c>
      <x:c r="M291" s="12" t="str">
        <x:v>No accepted implementation evidence mapped.</x:v>
      </x:c>
      <x:c r="N291" s="10" t="str">
        <x:f>IF(G291="Done",IF(AND(LEN(H291)&gt;0,LEN(M291)&gt;0),"Complete","Evidence required"),"Open")</x:f>
        <x:v>Open</x:v>
      </x:c>
      <x:c r="O291" s="17" t="str">
        <x:v>No complete implementation and acceptance evidence mapped. Retain the original acceptance criteria; this requirement remains open.</x:v>
      </x:c>
      <x:c r="P291" s="17" t="str">
        <x:v>PENDING</x:v>
      </x:c>
    </x:row>
    <x:row r="292" ht="64" customHeight="1">
      <x:c r="A292" s="10" t="str">
        <x:v>VF-DIN-002</x:v>
      </x:c>
      <x:c r="B292" s="10" t="str">
        <x:v>R1</x:v>
      </x:c>
      <x:c r="C292" s="10" t="str">
        <x:v>P0</x:v>
      </x:c>
      <x:c r="D292" s="10" t="str">
        <x:v>WP17</x:v>
      </x:c>
      <x:c r="E292" s="10" t="str">
        <x:v>Concurrent change integrity</x:v>
      </x:c>
      <x:c r="F292" s="10" t="str">
        <x:v>QA lead</x:v>
      </x:c>
      <x:c r="G292" s="12" t="str">
        <x:v>Not started</x:v>
      </x:c>
      <x:c r="H292" s="12" t="str"/>
      <x:c r="I292" s="10" t="str">
        <x:v>Concurrent edits and retries shall not silently lose updates, duplicate achievements or approve stale versions. Business transactions shall either complete with recorded effects or return a recoverable explicit partial outcome where the operation permits one.</x:v>
      </x:c>
      <x:c r="J292" s="10" t="str">
        <x:v>No silent last-write overwrite, duplicate intended result or approval of a new candidate using an old decision is acceptable.</x:v>
      </x:c>
      <x:c r="K292" s="10" t="str">
        <x:v>Race two edits, two approvals, repeated import commands and interrupted bulk jobs. Verify declared atomic boundaries, stale rejection and complete per-item receipts.</x:v>
      </x:c>
      <x:c r="L292" s="10" t="str">
        <x:v>TC-VF-DIN-002</x:v>
      </x:c>
      <x:c r="M292" s="12" t="str">
        <x:v>No accepted implementation evidence mapped.</x:v>
      </x:c>
      <x:c r="N292" s="10" t="str">
        <x:f>IF(G292="Done",IF(AND(LEN(H292)&gt;0,LEN(M292)&gt;0),"Complete","Evidence required"),"Open")</x:f>
        <x:v>Open</x:v>
      </x:c>
      <x:c r="O292" s="17" t="str">
        <x:v>No complete implementation and acceptance evidence mapped. Retain the original acceptance criteria; this requirement remains open.</x:v>
      </x:c>
      <x:c r="P292" s="17" t="str">
        <x:v>PENDING</x:v>
      </x:c>
    </x:row>
    <x:row r="293" ht="77" customHeight="1">
      <x:c r="A293" s="10" t="str">
        <x:v>VF-IAM-001</x:v>
      </x:c>
      <x:c r="B293" s="10" t="str">
        <x:v>R1</x:v>
      </x:c>
      <x:c r="C293" s="10" t="str">
        <x:v>P0</x:v>
      </x:c>
      <x:c r="D293" s="10" t="str">
        <x:v>WP01</x:v>
      </x:c>
      <x:c r="E293" s="10" t="str">
        <x:v>Revocation time</x:v>
      </x:c>
      <x:c r="F293" s="10" t="str">
        <x:v>Identity lead</x:v>
      </x:c>
      <x:c r="G293" s="12" t="str">
        <x:v>Not started</x:v>
      </x:c>
      <x:c r="H293" s="12" t="str"/>
      <x:c r="I293" s="10" t="str">
        <x:v>Online user suspension, permission removal and credential revocation shall take effect within 60 seconds across user interfaces, APIs, generated downloads, search and AI access. Queued jobs shall reauthorise before sensitive action. Directory initiated revocation is measured from receipt by the platform.</x:v>
      </x:c>
      <x:c r="J293" s="10" t="str">
        <x:v>The sixty-second bound is a maximum, not a percentile allowance. Any protected access after it fails the gate; execution reauthorisation remains mandatory.</x:v>
      </x:c>
      <x:c r="K293" s="10" t="str">
        <x:v>Revoke users, grants and service credentials while polling interface, API, search, AI, artifacts and pending sensitive jobs. Measure from platform receipt of the revocation.</x:v>
      </x:c>
      <x:c r="L293" s="10" t="str">
        <x:v>TC-VF-IAM-001</x:v>
      </x:c>
      <x:c r="M293" s="12" t="str">
        <x:v>No accepted implementation evidence mapped.</x:v>
      </x:c>
      <x:c r="N293" s="10" t="str">
        <x:f>IF(G293="Done",IF(AND(LEN(H293)&gt;0,LEN(M293)&gt;0),"Complete","Evidence required"),"Open")</x:f>
        <x:v>Open</x:v>
      </x:c>
      <x:c r="O293" s="17" t="str">
        <x:v>No complete implementation and acceptance evidence mapped. Retain the original acceptance criteria; this requirement remains open.</x:v>
      </x:c>
      <x:c r="P293" s="17" t="str">
        <x:v>PENDING</x:v>
      </x:c>
    </x:row>
    <x:row r="294" ht="77" customHeight="1">
      <x:c r="A294" s="10" t="str">
        <x:v>VF-OFF-001</x:v>
      </x:c>
      <x:c r="B294" s="10" t="str">
        <x:v>R1</x:v>
      </x:c>
      <x:c r="C294" s="10" t="str">
        <x:v>P0</x:v>
      </x:c>
      <x:c r="D294" s="10" t="str">
        <x:v>WP09</x:v>
      </x:c>
      <x:c r="E294" s="10" t="str">
        <x:v>Offline authority window</x:v>
      </x:c>
      <x:c r="F294" s="10" t="str">
        <x:v>Mobile lead</x:v>
      </x:c>
      <x:c r="G294" s="12" t="str">
        <x:v>Not started</x:v>
      </x:c>
      <x:c r="H294" s="12" t="str"/>
      <x:c r="I294" s="10" t="str">
        <x:v>Default offline packages shall expire within 24 hours without renewed authorisation. Restricted participant packages shall default to at most 8 hours and require approved device controls. Longer low sensitivity windows require a recorded risk exception; sensitive data may be prohibited from offline use entirely.</x:v>
      </x:c>
      <x:c r="J294" s="10" t="str">
        <x:v>If the device cannot enforce the authority window reliably, do not qualify sensitive offline use. Remote wipe is recorded as best effort.</x:v>
      </x:c>
      <x:c r="K294" s="10" t="str">
        <x:v>Qualify local expiry, restart, clock rollback, account switching, prolonged disconnection and revoked reconnect. Test ordinary and restricted packages under the chosen device controls.</x:v>
      </x:c>
      <x:c r="L294" s="10" t="str">
        <x:v>TC-VF-OFF-001</x:v>
      </x:c>
      <x:c r="M294" s="12" t="str">
        <x:v>No accepted implementation evidence mapped.</x:v>
      </x:c>
      <x:c r="N294" s="10" t="str">
        <x:f>IF(G294="Done",IF(AND(LEN(H294)&gt;0,LEN(M294)&gt;0),"Complete","Evidence required"),"Open")</x:f>
        <x:v>Open</x:v>
      </x:c>
      <x:c r="O294" s="17" t="str">
        <x:v>No complete implementation and acceptance evidence mapped. Retain the original acceptance criteria; this requirement remains open.</x:v>
      </x:c>
      <x:c r="P294" s="17" t="str">
        <x:v>PENDING</x:v>
      </x:c>
    </x:row>
    <x:row r="295" ht="64" customHeight="1">
      <x:c r="A295" s="10" t="str">
        <x:v>VF-SEC-001</x:v>
      </x:c>
      <x:c r="B295" s="10" t="str">
        <x:v>R1</x:v>
      </x:c>
      <x:c r="C295" s="10" t="str">
        <x:v>P0</x:v>
      </x:c>
      <x:c r="D295" s="10" t="str">
        <x:v>WP14</x:v>
      </x:c>
      <x:c r="E295" s="10" t="str">
        <x:v>Release security threshold</x:v>
      </x:c>
      <x:c r="F295" s="10" t="str">
        <x:v>Platform security lead</x:v>
      </x:c>
      <x:c r="G295" s="12" t="str">
        <x:v>Not started</x:v>
      </x:c>
      <x:c r="H295" s="12" t="str"/>
      <x:c r="I295" s="10" t="str">
        <x:v>All applicable baseline security controls shall have passing evidence. No unresolved critical or high vulnerability affecting confidentiality, integrity or access shall enter production without an effective verified mitigation. Functional parity shall not override this gate.</x:v>
      </x:c>
      <x:c r="J295" s="10" t="str">
        <x:v>Any unmitigated exposure affecting confidentiality, integrity or access blocks release; a product priority waiver cannot override this gate.</x:v>
      </x:c>
      <x:c r="K295" s="10" t="str">
        <x:v>Assemble applicable control results, independent assessment, retest evidence and scoped mitigation records. Exercise the release gate with intentionally unresolved critical and high findings.</x:v>
      </x:c>
      <x:c r="L295" s="10" t="str">
        <x:v>TC-VF-SEC-001</x:v>
      </x:c>
      <x:c r="M295" s="12" t="str">
        <x:v>No accepted implementation evidence mapped.</x:v>
      </x:c>
      <x:c r="N295" s="10" t="str">
        <x:f>IF(G295="Done",IF(AND(LEN(H295)&gt;0,LEN(M295)&gt;0),"Complete","Evidence required"),"Open")</x:f>
        <x:v>Open</x:v>
      </x:c>
      <x:c r="O295" s="17" t="str">
        <x:v>No complete implementation and acceptance evidence mapped. Retain the original acceptance criteria; this requirement remains open.</x:v>
      </x:c>
      <x:c r="P295" s="17" t="str">
        <x:v>PENDING</x:v>
      </x:c>
    </x:row>
    <x:row r="296" ht="77" customHeight="1">
      <x:c r="A296" s="10" t="str">
        <x:v>VF-SEC-002</x:v>
      </x:c>
      <x:c r="B296" s="10" t="str">
        <x:v>R1</x:v>
      </x:c>
      <x:c r="C296" s="10" t="str">
        <x:v>P0</x:v>
      </x:c>
      <x:c r="D296" s="10" t="str">
        <x:v>WP14</x:v>
      </x:c>
      <x:c r="E296" s="10" t="str">
        <x:v>Incident and remediation timing</x:v>
      </x:c>
      <x:c r="F296" s="10" t="str">
        <x:v>Platform security lead</x:v>
      </x:c>
      <x:c r="G296" s="12" t="str">
        <x:v>Not started</x:v>
      </x:c>
      <x:c r="H296" s="12" t="str"/>
      <x:c r="I296" s="10" t="str">
        <x:v>For critical production incidents, on call acknowledgement shall occur within 15 minutes and containment work shall begin within 30 minutes. Confirmed critical vulnerabilities require mitigation within 24 hours and a permanent fix target within 72 hours; high vulnerabilities within 7 days. Legal and contractual notices follow the approved incident policy.</x:v>
      </x:c>
      <x:c r="J296" s="10" t="str">
        <x:v>Record missed targets, escalation and continuing protection. A notification without an accountable responder does not satisfy acknowledgement.</x:v>
      </x:c>
      <x:c r="K296" s="10" t="str">
        <x:v>Time a simulated critical incident from detection to acknowledgement and containment start, and a confirmed vulnerability from confirmation to mitigation and permanent fix.</x:v>
      </x:c>
      <x:c r="L296" s="10" t="str">
        <x:v>TC-VF-SEC-002</x:v>
      </x:c>
      <x:c r="M296" s="12" t="str">
        <x:v>No accepted implementation evidence mapped.</x:v>
      </x:c>
      <x:c r="N296" s="10" t="str">
        <x:f>IF(G296="Done",IF(AND(LEN(H296)&gt;0,LEN(M296)&gt;0),"Complete","Evidence required"),"Open")</x:f>
        <x:v>Open</x:v>
      </x:c>
      <x:c r="O296" s="17" t="str">
        <x:v>No complete implementation and acceptance evidence mapped. Retain the original acceptance criteria; this requirement remains open.</x:v>
      </x:c>
      <x:c r="P296" s="17" t="str">
        <x:v>PENDING</x:v>
      </x:c>
    </x:row>
    <x:row r="297" ht="64" customHeight="1">
      <x:c r="A297" s="10" t="str">
        <x:v>VF-AUD-001</x:v>
      </x:c>
      <x:c r="B297" s="10" t="str">
        <x:v>R1</x:v>
      </x:c>
      <x:c r="C297" s="10" t="str">
        <x:v>P0</x:v>
      </x:c>
      <x:c r="D297" s="10" t="str">
        <x:v>WP17</x:v>
      </x:c>
      <x:c r="E297" s="10" t="str">
        <x:v>Audit coverage and retention</x:v>
      </x:c>
      <x:c r="F297" s="10" t="str">
        <x:v>QA lead</x:v>
      </x:c>
      <x:c r="G297" s="12" t="str">
        <x:v>Not started</x:v>
      </x:c>
      <x:c r="H297" s="12" t="str"/>
      <x:c r="I297" s="10" t="str">
        <x:v>All defined security and business audit event classes shall be captured and searchable by authorised reviewers. Default security event metadata retention shall be 365 days; longer business audit retention shall follow tenant policy. Secret values and unnecessary personal payloads shall not be logged.</x:v>
      </x:c>
      <x:c r="J297" s="10" t="str">
        <x:v>Verify default metadata expiry and longer governed business retention separately. Inspect events for secrets and unnecessary personal payloads.</x:v>
      </x:c>
      <x:c r="K297" s="10" t="str">
        <x:v>Execute every audit event class in section 35, including denied operations, restricted reads and privileged actions. Reconcile command receipts to immutable events and a permitted audit export.</x:v>
      </x:c>
      <x:c r="L297" s="10" t="str">
        <x:v>TC-VF-AUD-001</x:v>
      </x:c>
      <x:c r="M297" s="12" t="str">
        <x:v>No accepted implementation evidence mapped.</x:v>
      </x:c>
      <x:c r="N297" s="10" t="str">
        <x:f>IF(G297="Done",IF(AND(LEN(H297)&gt;0,LEN(M297)&gt;0),"Complete","Evidence required"),"Open")</x:f>
        <x:v>Open</x:v>
      </x:c>
      <x:c r="O297" s="17" t="str">
        <x:v>No complete implementation and acceptance evidence mapped. Retain the original acceptance criteria; this requirement remains open.</x:v>
      </x:c>
      <x:c r="P297" s="17" t="str">
        <x:v>PENDING</x:v>
      </x:c>
    </x:row>
    <x:row r="298" ht="77" customHeight="1">
      <x:c r="A298" s="10" t="str">
        <x:v>VF-PRV-001</x:v>
      </x:c>
      <x:c r="B298" s="10" t="str">
        <x:v>R1</x:v>
      </x:c>
      <x:c r="C298" s="10" t="str">
        <x:v>P0</x:v>
      </x:c>
      <x:c r="D298" s="10" t="str">
        <x:v>WP13</x:v>
      </x:c>
      <x:c r="E298" s="10" t="str">
        <x:v>Deletion propagation</x:v>
      </x:c>
      <x:c r="F298" s="10" t="str">
        <x:v>Privacy engineering lead</x:v>
      </x:c>
      <x:c r="G298" s="12" t="str">
        <x:v>Not started</x:v>
      </x:c>
      <x:c r="H298" s="12" t="str"/>
      <x:c r="I298" s="10" t="str">
        <x:v>After an authorised deletion becomes executable and no hold applies, active primary records, caches, indexes and platform generated derivatives shall be removed or effectively restricted within 24 hours. Backup expiry follows the approved schedule, normally within 35 days. External recipient actions shall be tracked separately.</x:v>
      </x:c>
      <x:c r="J298" s="10" t="str">
        <x:v>A partial manifest cannot be labelled complete. Restore an old backup and verify deletion before exposing restored content.</x:v>
      </x:c>
      <x:c r="K298" s="10" t="str">
        <x:v>Run a deletion with no hold, one with a partial hold and one with a failed derivative store. Query primary records, search, AI, caches and generated artifacts after the active-store deadline.</x:v>
      </x:c>
      <x:c r="L298" s="10" t="str">
        <x:v>TC-VF-PRV-001</x:v>
      </x:c>
      <x:c r="M298" s="12" t="str">
        <x:v>No accepted implementation evidence mapped.</x:v>
      </x:c>
      <x:c r="N298" s="10" t="str">
        <x:f>IF(G298="Done",IF(AND(LEN(H298)&gt;0,LEN(M298)&gt;0),"Complete","Evidence required"),"Open")</x:f>
        <x:v>Open</x:v>
      </x:c>
      <x:c r="O298" s="17" t="str">
        <x:v>No complete implementation and acceptance evidence mapped. Retain the original acceptance criteria; this requirement remains open.</x:v>
      </x:c>
      <x:c r="P298" s="17" t="str">
        <x:v>PENDING</x:v>
      </x:c>
    </x:row>
    <x:row r="299" ht="77" customHeight="1">
      <x:c r="A299" s="10" t="str">
        <x:v>VF-PRV-002</x:v>
      </x:c>
      <x:c r="B299" s="10" t="str">
        <x:v>R1</x:v>
      </x:c>
      <x:c r="C299" s="10" t="str">
        <x:v>P0</x:v>
      </x:c>
      <x:c r="D299" s="10" t="str">
        <x:v>WP13</x:v>
      </x:c>
      <x:c r="E299" s="10" t="str">
        <x:v>Retention defaults and proof</x:v>
      </x:c>
      <x:c r="F299" s="10" t="str">
        <x:v>Privacy engineering lead</x:v>
      </x:c>
      <x:c r="G299" s="12" t="str">
        <x:v>Not started</x:v>
      </x:c>
      <x:c r="H299" s="12" t="str"/>
      <x:c r="I299" s="10" t="str">
        <x:v>Production tenants shall have approved record and evidence retention policies before collection. Diagnostic logs shall default to 90 days or less; retained AI prompt and response content shall default to 30 days or less unless a justified policy specifies otherwise. Minimal governed approval evidence may have a separate schedule.</x:v>
      </x:c>
      <x:c r="J299" s="10" t="str">
        <x:v>AI content, diagnostic logs, security metadata and business evidence require distinct schedules; hidden orphan copies fail the gate.</x:v>
      </x:c>
      <x:c r="K299" s="10" t="str">
        <x:v>Create synthetic objects in each retention class, advance qualified expiry conditions and inspect scheduled action receipts, holds and exceptions. Confirm policy approval precedes real collection.</x:v>
      </x:c>
      <x:c r="L299" s="10" t="str">
        <x:v>TC-VF-PRV-002</x:v>
      </x:c>
      <x:c r="M299" s="12" t="str">
        <x:v>No accepted implementation evidence mapped.</x:v>
      </x:c>
      <x:c r="N299" s="10" t="str">
        <x:f>IF(G299="Done",IF(AND(LEN(H299)&gt;0,LEN(M299)&gt;0),"Complete","Evidence required"),"Open")</x:f>
        <x:v>Open</x:v>
      </x:c>
      <x:c r="O299" s="17" t="str">
        <x:v>No complete implementation and acceptance evidence mapped. Retain the original acceptance criteria; this requirement remains open.</x:v>
      </x:c>
      <x:c r="P299" s="17" t="str">
        <x:v>PENDING</x:v>
      </x:c>
    </x:row>
    <x:row r="300" ht="77" customHeight="1">
      <x:c r="A300" s="10" t="str">
        <x:v>VF-AIQ-001</x:v>
      </x:c>
      <x:c r="B300" s="10" t="str">
        <x:v>R1</x:v>
      </x:c>
      <x:c r="C300" s="10" t="str">
        <x:v>P0</x:v>
      </x:c>
      <x:c r="D300" s="10" t="str">
        <x:v>WP17</x:v>
      </x:c>
      <x:c r="E300" s="10" t="str">
        <x:v>Evaluation set quality</x:v>
      </x:c>
      <x:c r="F300" s="10" t="str">
        <x:v>QA lead</x:v>
      </x:c>
      <x:c r="G300" s="12" t="str">
        <x:v>Not started</x:v>
      </x:c>
      <x:c r="H300" s="12" t="str"/>
      <x:c r="I300" s="10" t="str">
        <x:v>Each enabled use case shall have a held out evaluation set with at least 200 representative cases where feasible, including at least 20 percent boundary, unsupported or adversarial cases. Small specialist sets require documented justification and risk review. Each released language and sector must have explicit coverage evidence.</x:v>
      </x:c>
      <x:c r="J300" s="10" t="str">
        <x:v>Specialist small sets need a named risk decision and scope limitation. Duplicated paraphrases do not substitute for representative task coverage.</x:v>
      </x:c>
      <x:c r="K300" s="10" t="str">
        <x:v>Review each held out set for at least the required case count where feasible, twenty percent difficult or adversarial cases, language and sector coverage and separation from tuning.</x:v>
      </x:c>
      <x:c r="L300" s="10" t="str">
        <x:v>TC-VF-AIQ-001</x:v>
      </x:c>
      <x:c r="M300" s="12" t="str">
        <x:v>No accepted implementation evidence mapped.</x:v>
      </x:c>
      <x:c r="N300" s="10" t="str">
        <x:f>IF(G300="Done",IF(AND(LEN(H300)&gt;0,LEN(M300)&gt;0),"Complete","Evidence required"),"Open")</x:f>
        <x:v>Open</x:v>
      </x:c>
      <x:c r="O300" s="17" t="str">
        <x:v>No complete implementation and acceptance evidence mapped. Retain the original acceptance criteria; this requirement remains open.</x:v>
      </x:c>
      <x:c r="P300" s="17" t="str">
        <x:v>PENDING</x:v>
      </x:c>
    </x:row>
    <x:row r="301" ht="77" customHeight="1">
      <x:c r="A301" s="10" t="str">
        <x:v>VF-AIQ-002</x:v>
      </x:c>
      <x:c r="B301" s="10" t="str">
        <x:v>R1</x:v>
      </x:c>
      <x:c r="C301" s="10" t="str">
        <x:v>P0</x:v>
      </x:c>
      <x:c r="D301" s="10" t="str">
        <x:v>WP17</x:v>
      </x:c>
      <x:c r="E301" s="10" t="str">
        <x:v>Evidence and numeric accuracy</x:v>
      </x:c>
      <x:c r="F301" s="10" t="str">
        <x:v>QA lead</x:v>
      </x:c>
      <x:c r="G301" s="12" t="str">
        <x:v>Not started</x:v>
      </x:c>
      <x:c r="H301" s="12" t="str"/>
      <x:c r="I301" s="10" t="str">
        <x:v>Evidence question answering shall achieve at least 95 percent supported factual claims and at least 98 percent correct citation locations on the approved set. Every numeric value presented as an official result shall match the authoritative tool result. A critical unsupported consequential claim blocks release regardless of the average score.</x:v>
      </x:c>
      <x:c r="J301" s="10" t="str">
        <x:v>A critical unsupported claim or one wrong official numeric value fails the affected release regardless of average citation performance.</x:v>
      </x:c>
      <x:c r="K301" s="10" t="str">
        <x:v>Score factual claims and citation locations with separate denominators; compare every official numeric value to its tool result. Review consequential unsupported claims individually.</x:v>
      </x:c>
      <x:c r="L301" s="10" t="str">
        <x:v>TC-VF-AIQ-002</x:v>
      </x:c>
      <x:c r="M301" s="12" t="str">
        <x:v>No accepted implementation evidence mapped.</x:v>
      </x:c>
      <x:c r="N301" s="10" t="str">
        <x:f>IF(G301="Done",IF(AND(LEN(H301)&gt;0,LEN(M301)&gt;0),"Complete","Evidence required"),"Open")</x:f>
        <x:v>Open</x:v>
      </x:c>
      <x:c r="O301" s="17" t="str">
        <x:v>No complete implementation and acceptance evidence mapped. Retain the original acceptance criteria; this requirement remains open.</x:v>
      </x:c>
      <x:c r="P301" s="17" t="str">
        <x:v>PENDING</x:v>
      </x:c>
    </x:row>
    <x:row r="302" ht="77" customHeight="1">
      <x:c r="A302" s="10" t="str">
        <x:v>VF-AIQ-003</x:v>
      </x:c>
      <x:c r="B302" s="10" t="str">
        <x:v>R1</x:v>
      </x:c>
      <x:c r="C302" s="10" t="str">
        <x:v>P1</x:v>
      </x:c>
      <x:c r="D302" s="10" t="str">
        <x:v>WP17</x:v>
      </x:c>
      <x:c r="E302" s="10" t="str">
        <x:v>Extraction and abstention</x:v>
      </x:c>
      <x:c r="F302" s="10" t="str">
        <x:v>QA lead</x:v>
      </x:c>
      <x:c r="G302" s="12" t="str">
        <x:v>Not started</x:v>
      </x:c>
      <x:c r="H302" s="12" t="str"/>
      <x:c r="I302" s="10" t="str">
        <x:v>Document extraction shall target at least 95 percent field level precision and 90 percent recall on mandatory fields. The system shall correctly abstain or request clarification for at least 95 percent of designated unanswerable cases, while incorrect abstention on answerable cases remains at or below 10 percent.</x:v>
      </x:c>
      <x:c r="J302" s="10" t="str">
        <x:v>Report missing mandatory fields and correction time; do not score only fields the model chose to emit.</x:v>
      </x:c>
      <x:c r="K302" s="10" t="str">
        <x:v>Label source fields and designated answerable or unanswerable questions independently. Calculate field precision and recall by type and language, correct abstention and false abstention.</x:v>
      </x:c>
      <x:c r="L302" s="10" t="str">
        <x:v>TC-VF-AIQ-003</x:v>
      </x:c>
      <x:c r="M302" s="12" t="str">
        <x:v>No accepted implementation evidence mapped.</x:v>
      </x:c>
      <x:c r="N302" s="10" t="str">
        <x:f>IF(G302="Done",IF(AND(LEN(H302)&gt;0,LEN(M302)&gt;0),"Complete","Evidence required"),"Open")</x:f>
        <x:v>Open</x:v>
      </x:c>
      <x:c r="O302" s="17" t="str">
        <x:v>No complete implementation and acceptance evidence mapped. Retain the original acceptance criteria; this requirement remains open.</x:v>
      </x:c>
      <x:c r="P302" s="17" t="str">
        <x:v>PENDING</x:v>
      </x:c>
    </x:row>
    <x:row r="303" ht="64" customHeight="1">
      <x:c r="A303" s="10" t="str">
        <x:v>VF-AIQ-004</x:v>
      </x:c>
      <x:c r="B303" s="10" t="str">
        <x:v>R1</x:v>
      </x:c>
      <x:c r="C303" s="10" t="str">
        <x:v>P0</x:v>
      </x:c>
      <x:c r="D303" s="10" t="str">
        <x:v>WP17</x:v>
      </x:c>
      <x:c r="E303" s="10" t="str">
        <x:v>Leakage and action safety</x:v>
      </x:c>
      <x:c r="F303" s="10" t="str">
        <x:v>QA lead</x:v>
      </x:c>
      <x:c r="G303" s="12" t="str">
        <x:v>Not started</x:v>
      </x:c>
      <x:c r="H303" s="12" t="str"/>
      <x:c r="I303" s="10" t="str">
        <x:v>Adversarial qualification shall show zero successful cross tenant disclosures, unauthorised tool actions or secret disclosures in the defined test suite. This is a test acceptance criterion, not proof that real world risk is zero. Any observed failure blocks the affected capability until resolved.</x:v>
      </x:c>
      <x:c r="J303" s="10" t="str">
        <x:v>Zero observed successful disclosures or unauthorised actions is a test criterion, not proof of zero real-world risk. Any success blocks the capability.</x:v>
      </x:c>
      <x:c r="K303" s="10" t="str">
        <x:v>Run synthetic tenant leakage, indirect prompt injection, stale source access, conversation copying, secret requests and tool escalation scenarios with traceable markers.</x:v>
      </x:c>
      <x:c r="L303" s="10" t="str">
        <x:v>TC-VF-AIQ-004</x:v>
      </x:c>
      <x:c r="M303" s="12" t="str">
        <x:v>No accepted implementation evidence mapped.</x:v>
      </x:c>
      <x:c r="N303" s="10" t="str">
        <x:f>IF(G303="Done",IF(AND(LEN(H303)&gt;0,LEN(M303)&gt;0),"Complete","Evidence required"),"Open")</x:f>
        <x:v>Open</x:v>
      </x:c>
      <x:c r="O303" s="17" t="str">
        <x:v>No complete implementation and acceptance evidence mapped. Retain the original acceptance criteria; this requirement remains open.</x:v>
      </x:c>
      <x:c r="P303" s="17" t="str">
        <x:v>PENDING</x:v>
      </x:c>
    </x:row>
    <x:row r="304" ht="64" customHeight="1">
      <x:c r="A304" s="10" t="str">
        <x:v>VF-AIQ-005</x:v>
      </x:c>
      <x:c r="B304" s="10" t="str">
        <x:v>R1</x:v>
      </x:c>
      <x:c r="C304" s="10" t="str">
        <x:v>P0</x:v>
      </x:c>
      <x:c r="D304" s="10" t="str">
        <x:v>WP17</x:v>
      </x:c>
      <x:c r="E304" s="10" t="str">
        <x:v>Change monitoring and rollback</x:v>
      </x:c>
      <x:c r="F304" s="10" t="str">
        <x:v>QA lead</x:v>
      </x:c>
      <x:c r="G304" s="12" t="str">
        <x:v>Not started</x:v>
      </x:c>
      <x:c r="H304" s="12" t="str"/>
      <x:c r="I304" s="10" t="str">
        <x:v>Model, prompt, retrieval and policy changes shall have versioned evaluation, controlled rollout and rollback. Production monitoring shall track failures, reviewer corrections, refusals, latency, cost and language specific quality with minimised content retention.</x:v>
      </x:c>
      <x:c r="J304" s="10" t="str">
        <x:v>A rollback must restore the approved policy-compatible destination and tool set; it cannot reinstate a now-prohibited provider.</x:v>
      </x:c>
      <x:c r="K304" s="10" t="str">
        <x:v>Introduce a deliberately degraded candidate configuration and compare quality, latency and cost to the approved version. Exercise controlled exposure, stop and rollback while identifying affected artifacts.</x:v>
      </x:c>
      <x:c r="L304" s="10" t="str">
        <x:v>TC-VF-AIQ-005</x:v>
      </x:c>
      <x:c r="M304" s="12" t="str">
        <x:v>No accepted implementation evidence mapped.</x:v>
      </x:c>
      <x:c r="N304" s="10" t="str">
        <x:f>IF(G304="Done",IF(AND(LEN(H304)&gt;0,LEN(M304)&gt;0),"Complete","Evidence required"),"Open")</x:f>
        <x:v>Open</x:v>
      </x:c>
      <x:c r="O304" s="17" t="str">
        <x:v>No complete implementation and acceptance evidence mapped. Retain the original acceptance criteria; this requirement remains open.</x:v>
      </x:c>
      <x:c r="P304" s="17" t="str">
        <x:v>PENDING</x:v>
      </x:c>
    </x:row>
    <x:row r="305" ht="64" customHeight="1">
      <x:c r="A305" s="10" t="str">
        <x:v>VF-UX-001</x:v>
      </x:c>
      <x:c r="B305" s="10" t="str">
        <x:v>R1</x:v>
      </x:c>
      <x:c r="C305" s="10" t="str">
        <x:v>P0</x:v>
      </x:c>
      <x:c r="D305" s="10" t="str">
        <x:v>WP15</x:v>
      </x:c>
      <x:c r="E305" s="10" t="str">
        <x:v>Accessibility conformance</x:v>
      </x:c>
      <x:c r="F305" s="10" t="str">
        <x:v>Frontend lead</x:v>
      </x:c>
      <x:c r="G305" s="12" t="str">
        <x:v>Not started</x:v>
      </x:c>
      <x:c r="H305" s="12" t="str"/>
      <x:c r="I305" s="10" t="str">
        <x:v>All supported core journeys shall meet WCAG 2.2 Level AA through automated checks and manual keyboard and assistive technology review. Complete processes, third party authentication flows under product control and generated standard templates shall be included in the scope.</x:v>
      </x:c>
      <x:c r="J305" s="10" t="str">
        <x:v>A clean automated scan alone does not pass. Record environment, user-content boundaries and remediation evidence for each material issue.</x:v>
      </x:c>
      <x:c r="K305" s="10" t="str">
        <x:v>Review complete processes against WCAG 2.2 AA with automated checks plus manual keyboard, screen reader, focus, error and generated-template tests.</x:v>
      </x:c>
      <x:c r="L305" s="10" t="str">
        <x:v>TC-VF-UX-001</x:v>
      </x:c>
      <x:c r="M305" s="12" t="str">
        <x:v>No accepted implementation evidence mapped.</x:v>
      </x:c>
      <x:c r="N305" s="10" t="str">
        <x:f>IF(G305="Done",IF(AND(LEN(H305)&gt;0,LEN(M305)&gt;0),"Complete","Evidence required"),"Open")</x:f>
        <x:v>Open</x:v>
      </x:c>
      <x:c r="O305" s="17" t="str">
        <x:v>No complete implementation and acceptance evidence mapped. Retain the original acceptance criteria; this requirement remains open.</x:v>
      </x:c>
      <x:c r="P305" s="17" t="str">
        <x:v>PENDING</x:v>
      </x:c>
    </x:row>
    <x:row r="306" ht="64" customHeight="1">
      <x:c r="A306" s="10" t="str">
        <x:v>VF-UX-002</x:v>
      </x:c>
      <x:c r="B306" s="10" t="str">
        <x:v>R1</x:v>
      </x:c>
      <x:c r="C306" s="10" t="str">
        <x:v>P1</x:v>
      </x:c>
      <x:c r="D306" s="10" t="str">
        <x:v>WP15</x:v>
      </x:c>
      <x:c r="E306" s="10" t="str">
        <x:v>Usability qualification</x:v>
      </x:c>
      <x:c r="F306" s="10" t="str">
        <x:v>Frontend lead</x:v>
      </x:c>
      <x:c r="G306" s="12" t="str">
        <x:v>Not started</x:v>
      </x:c>
      <x:c r="H306" s="12" t="str"/>
      <x:c r="I306" s="10" t="str">
        <x:v>At least 90 percent of representative users shall complete programme setup, assigned collection, correction, approval, result explanation and report generation tasks without facilitator intervention after standard onboarding. No observed critical data loss or disclosure error is acceptable.</x:v>
      </x:c>
      <x:c r="J306" s="10" t="str">
        <x:v>At least ninety percent unaided completion is required; any observed critical disclosure, data loss or incorrect official result blocks readiness.</x:v>
      </x:c>
      <x:c r="K306" s="10" t="str">
        <x:v>At least fifteen representative users complete the six core tasks after standard onboarding. Record role, completion, facilitator intervention, elapsed time and consequential errors.</x:v>
      </x:c>
      <x:c r="L306" s="10" t="str">
        <x:v>TC-VF-UX-002</x:v>
      </x:c>
      <x:c r="M306" s="12" t="str">
        <x:v>No accepted implementation evidence mapped.</x:v>
      </x:c>
      <x:c r="N306" s="10" t="str">
        <x:f>IF(G306="Done",IF(AND(LEN(H306)&gt;0,LEN(M306)&gt;0),"Complete","Evidence required"),"Open")</x:f>
        <x:v>Open</x:v>
      </x:c>
      <x:c r="O306" s="17" t="str">
        <x:v>No complete implementation and acceptance evidence mapped. Retain the original acceptance criteria; this requirement remains open.</x:v>
      </x:c>
      <x:c r="P306" s="17" t="str">
        <x:v>PENDING</x:v>
      </x:c>
    </x:row>
    <x:row r="307" ht="64" customHeight="1">
      <x:c r="A307" s="10" t="str">
        <x:v>VF-CMP-001</x:v>
      </x:c>
      <x:c r="B307" s="10" t="str">
        <x:v>R1</x:v>
      </x:c>
      <x:c r="C307" s="10" t="str">
        <x:v>P1</x:v>
      </x:c>
      <x:c r="D307" s="10" t="str">
        <x:v>WP17</x:v>
      </x:c>
      <x:c r="E307" s="10" t="str">
        <x:v>Browser and device support</x:v>
      </x:c>
      <x:c r="F307" s="10" t="str">
        <x:v>QA lead</x:v>
      </x:c>
      <x:c r="G307" s="12" t="str">
        <x:v>Not started</x:v>
      </x:c>
      <x:c r="H307" s="12" t="str"/>
      <x:c r="I307" s="10" t="str">
        <x:v>The product shall qualify current and previous major versions of Chrome, Edge, Firefox and Safari at release, with stated mobile OS and client support. Browser changes shall trigger regression checks. Unsupported environments shall receive clear guidance rather than silent data corruption.</x:v>
      </x:c>
      <x:c r="J307" s="10" t="str">
        <x:v>Do not promise offline on every browser merely because online viewing works. Unsupported clients must not silently accept work they cannot preserve.</x:v>
      </x:c>
      <x:c r="K307" s="10" t="str">
        <x:v>At release, record actual current and previous major browser versions and qualified desktop, mobile and offline profiles. Test federation, file handling, accessibility, capture and recovery in each declared supported combination.</x:v>
      </x:c>
      <x:c r="L307" s="10" t="str">
        <x:v>TC-VF-CMP-001</x:v>
      </x:c>
      <x:c r="M307" s="12" t="str">
        <x:v>No accepted implementation evidence mapped.</x:v>
      </x:c>
      <x:c r="N307" s="10" t="str">
        <x:f>IF(G307="Done",IF(AND(LEN(H307)&gt;0,LEN(M307)&gt;0),"Complete","Evidence required"),"Open")</x:f>
        <x:v>Open</x:v>
      </x:c>
      <x:c r="O307" s="17" t="str">
        <x:v>No complete implementation and acceptance evidence mapped. Retain the original acceptance criteria; this requirement remains open.</x:v>
      </x:c>
      <x:c r="P307" s="17" t="str">
        <x:v>PENDING</x:v>
      </x:c>
    </x:row>
    <x:row r="308" ht="64" customHeight="1">
      <x:c r="A308" s="10" t="str">
        <x:v>VF-L10-001</x:v>
      </x:c>
      <x:c r="B308" s="10" t="str">
        <x:v>R1</x:v>
      </x:c>
      <x:c r="C308" s="10" t="str">
        <x:v>P1</x:v>
      </x:c>
      <x:c r="D308" s="10" t="str">
        <x:v>WP17</x:v>
      </x:c>
      <x:c r="E308" s="10" t="str">
        <x:v>Localisation integrity</x:v>
      </x:c>
      <x:c r="F308" s="10" t="str">
        <x:v>QA lead</x:v>
      </x:c>
      <x:c r="G308" s="12" t="str">
        <x:v>Not started</x:v>
      </x:c>
      <x:c r="H308" s="12" t="str"/>
      <x:c r="I308" s="10" t="str">
        <x:v>Unicode, locale specific number and date handling and explicit time zones shall survive ingestion, search, calculations and export. Released translations shall cover all blocking workflow text. Display locale shall not change stored values or period assignment.</x:v>
      </x:c>
      <x:c r="J308" s="10" t="str">
        <x:v>Changing display locale cannot change arithmetic or event assignment. Missing blocking translations fail the corresponding language release.</x:v>
      </x:c>
      <x:c r="K308" s="10" t="str">
        <x:v>Run Unicode, decimal-comma, decimal-point, date ambiguity, daylight-saving and right-to-left fixtures where released. Compare stored values, period membership, filters and exported text.</x:v>
      </x:c>
      <x:c r="L308" s="10" t="str">
        <x:v>TC-VF-L10-001</x:v>
      </x:c>
      <x:c r="M308" s="12" t="str">
        <x:v>No accepted implementation evidence mapped.</x:v>
      </x:c>
      <x:c r="N308" s="10" t="str">
        <x:f>IF(G308="Done",IF(AND(LEN(H308)&gt;0,LEN(M308)&gt;0),"Complete","Evidence required"),"Open")</x:f>
        <x:v>Open</x:v>
      </x:c>
      <x:c r="O308" s="17" t="str">
        <x:v>No complete implementation and acceptance evidence mapped. Retain the original acceptance criteria; this requirement remains open.</x:v>
      </x:c>
      <x:c r="P308" s="17" t="str">
        <x:v>PENDING</x:v>
      </x:c>
    </x:row>
    <x:row r="309" ht="64" customHeight="1">
      <x:c r="A309" s="10" t="str">
        <x:v>VF-MNT-001</x:v>
      </x:c>
      <x:c r="B309" s="10" t="str">
        <x:v>R1</x:v>
      </x:c>
      <x:c r="C309" s="10" t="str">
        <x:v>P1</x:v>
      </x:c>
      <x:c r="D309" s="10" t="str">
        <x:v>WP17</x:v>
      </x:c>
      <x:c r="E309" s="10" t="str">
        <x:v>Maintainable contracts</x:v>
      </x:c>
      <x:c r="F309" s="10" t="str">
        <x:v>QA lead</x:v>
      </x:c>
      <x:c r="G309" s="12" t="str">
        <x:v>Not started</x:v>
      </x:c>
      <x:c r="H309" s="12" t="str"/>
      <x:c r="I309" s="10" t="str">
        <x:v>Business rules, supported APIs, configurable policies and data dictionaries shall be documented and version controlled. Changes shall retain traceability to requirements and tests. Routine tenant configuration shall not require a customer specific code fork.</x:v>
      </x:c>
      <x:c r="J309" s="10" t="str">
        <x:v>A customer-specific code fork does not satisfy routine configuration. Breaking changes follow the published compatibility process.</x:v>
      </x:c>
      <x:c r="K309" s="10" t="str">
        <x:v>Configure two different programme templates through ordinary supported settings and trace a material rule amendment through requirements, dictionary, interface contract and regression evidence.</x:v>
      </x:c>
      <x:c r="L309" s="10" t="str">
        <x:v>TC-VF-MNT-001</x:v>
      </x:c>
      <x:c r="M309" s="12" t="str">
        <x:v>No accepted implementation evidence mapped.</x:v>
      </x:c>
      <x:c r="N309" s="10" t="str">
        <x:f>IF(G309="Done",IF(AND(LEN(H309)&gt;0,LEN(M309)&gt;0),"Complete","Evidence required"),"Open")</x:f>
        <x:v>Open</x:v>
      </x:c>
      <x:c r="O309" s="17" t="str">
        <x:v>No complete implementation and acceptance evidence mapped. Retain the original acceptance criteria; this requirement remains open.</x:v>
      </x:c>
      <x:c r="P309" s="17" t="str">
        <x:v>PENDING</x:v>
      </x:c>
    </x:row>
    <x:row r="310" ht="64" customHeight="1">
      <x:c r="A310" s="10" t="str">
        <x:v>VF-OBS-001</x:v>
      </x:c>
      <x:c r="B310" s="10" t="str">
        <x:v>R1</x:v>
      </x:c>
      <x:c r="C310" s="10" t="str">
        <x:v>P0</x:v>
      </x:c>
      <x:c r="D310" s="10" t="str">
        <x:v>WP17</x:v>
      </x:c>
      <x:c r="E310" s="10" t="str">
        <x:v>Operational diagnosability</x:v>
      </x:c>
      <x:c r="F310" s="10" t="str">
        <x:v>QA lead</x:v>
      </x:c>
      <x:c r="G310" s="12" t="str">
        <x:v>Not started</x:v>
      </x:c>
      <x:c r="H310" s="12" t="str"/>
      <x:c r="I310" s="10" t="str">
        <x:v>Failures shall have correlation references linking user actions, background jobs and integration events without exposing secrets. Critical service failure alerts shall be generated within 5 minutes of detection conditions. Logs shall support tenant scoped diagnosis and audit separation.</x:v>
      </x:c>
      <x:c r="J310" s="10" t="str">
        <x:v>Missing tenant context, secret payloads in diagnostics or critical alert delay beyond five minutes fails the relevant gate.</x:v>
      </x:c>
      <x:c r="K310" s="10" t="str">
        <x:v>Inject failures at report receipt, calculation, rendering and delivery. Trace one safe correlation reference across the authorised stages and measure alert creation after the defined detection condition.</x:v>
      </x:c>
      <x:c r="L310" s="10" t="str">
        <x:v>TC-VF-OBS-001</x:v>
      </x:c>
      <x:c r="M310" s="12" t="str">
        <x:v>No accepted implementation evidence mapped.</x:v>
      </x:c>
      <x:c r="N310" s="10" t="str">
        <x:f>IF(G310="Done",IF(AND(LEN(H310)&gt;0,LEN(M310)&gt;0),"Complete","Evidence required"),"Open")</x:f>
        <x:v>Open</x:v>
      </x:c>
      <x:c r="O310" s="17" t="str">
        <x:v>No complete implementation and acceptance evidence mapped. Retain the original acceptance criteria; this requirement remains open.</x:v>
      </x:c>
      <x:c r="P310" s="17" t="str">
        <x:v>PENDING</x:v>
      </x:c>
    </x:row>
    <x:row r="311" ht="77" customHeight="1">
      <x:c r="A311" s="10" t="str">
        <x:v>VF-PRT-001</x:v>
      </x:c>
      <x:c r="B311" s="10" t="str">
        <x:v>R1</x:v>
      </x:c>
      <x:c r="C311" s="10" t="str">
        <x:v>P0</x:v>
      </x:c>
      <x:c r="D311" s="10" t="str">
        <x:v>WP17</x:v>
      </x:c>
      <x:c r="E311" s="10" t="str">
        <x:v>Portability and exit quality</x:v>
      </x:c>
      <x:c r="F311" s="10" t="str">
        <x:v>QA lead</x:v>
      </x:c>
      <x:c r="G311" s="12" t="str">
        <x:v>Not started</x:v>
      </x:c>
      <x:c r="H311" s="12" t="str"/>
      <x:c r="I311" s="10" t="str">
        <x:v>Tenant exports shall include a documented manifest and machine readable relationships. A standard tenant with up to one million structured rows and 10 GB of attachments shall receive a complete asynchronous package within 24 hours under the agreed service process. Larger exports require a visible estimate and progress.</x:v>
      </x:c>
      <x:c r="J311" s="10" t="str">
        <x:v>Verify completeness, integrity, permissions and exclusions within twenty-four hours; a collection of unlabelled CSV files is not a complete tenant export.</x:v>
      </x:c>
      <x:c r="K311" s="10" t="str">
        <x:v>Export a qualified tenant with one million rows and ten GB attachments. Reconstruct representative relationships and selected reports outside the product using only package documentation.</x:v>
      </x:c>
      <x:c r="L311" s="10" t="str">
        <x:v>TC-VF-PRT-001</x:v>
      </x:c>
      <x:c r="M311" s="12" t="str">
        <x:v>No accepted implementation evidence mapped.</x:v>
      </x:c>
      <x:c r="N311" s="10" t="str">
        <x:f>IF(G311="Done",IF(AND(LEN(H311)&gt;0,LEN(M311)&gt;0),"Complete","Evidence required"),"Open")</x:f>
        <x:v>Open</x:v>
      </x:c>
      <x:c r="O311" s="17" t="str">
        <x:v>No complete implementation and acceptance evidence mapped. Retain the original acceptance criteria; this requirement remains open.</x:v>
      </x:c>
      <x:c r="P311" s="17" t="str">
        <x:v>PENDING</x:v>
      </x:c>
    </x:row>
    <x:row r="312" ht="64" customHeight="1">
      <x:c r="A312" s="10" t="str">
        <x:v>VF-ECO-001</x:v>
      </x:c>
      <x:c r="B312" s="10" t="str">
        <x:v>R2</x:v>
      </x:c>
      <x:c r="C312" s="10" t="str">
        <x:v>P1</x:v>
      </x:c>
      <x:c r="D312" s="10" t="str">
        <x:v>WP17</x:v>
      </x:c>
      <x:c r="E312" s="10" t="str">
        <x:v>Cost transparency and sustainability</x:v>
      </x:c>
      <x:c r="F312" s="10" t="str">
        <x:v>QA lead</x:v>
      </x:c>
      <x:c r="G312" s="12" t="str">
        <x:v>Not started</x:v>
      </x:c>
      <x:c r="H312" s="12" t="str"/>
      <x:c r="I312" s="10" t="str">
        <x:v>The operating model shall measure cost per active tenant, approved result workload, storage volume, integration run and AI use case. Product limits shall be costed against the qualification profile. A cost budget shall be approved before offering unbounded or dedicated deployment commitments.</x:v>
      </x:c>
      <x:c r="J312" s="10" t="str">
        <x:v>Distinguish measured prices or costs from assumptions at HLD review; no unlimited commercial commitment is derived from this FSD.</x:v>
      </x:c>
      <x:c r="K312" s="10" t="str">
        <x:v>Measure resource and model usage for the reference load, then calculate cost per tenant, result workload, storage, connector run and use case. Exercise the corresponding visible budget limits.</x:v>
      </x:c>
      <x:c r="L312" s="10" t="str">
        <x:v>TC-VF-ECO-001</x:v>
      </x:c>
      <x:c r="M312" s="12" t="str">
        <x:v>No accepted implementation evidence mapped.</x:v>
      </x:c>
      <x:c r="N312" s="10" t="str">
        <x:f>IF(G312="Done",IF(AND(LEN(H312)&gt;0,LEN(M312)&gt;0),"Complete","Evidence required"),"Open")</x:f>
        <x:v>Open</x:v>
      </x:c>
      <x:c r="O312" s="17" t="str">
        <x:v>No complete implementation and acceptance evidence mapped. Retain the original acceptance criteria; this requirement remains open.</x:v>
      </x:c>
      <x:c r="P312" s="17" t="str">
        <x:v>PENDING</x:v>
      </x:c>
    </x:row>
    <x:row r="313" ht="64" customHeight="1">
      <x:c r="A313" s="10" t="str">
        <x:v>VF-SUP-001</x:v>
      </x:c>
      <x:c r="B313" s="10" t="str">
        <x:v>R1</x:v>
      </x:c>
      <x:c r="C313" s="10" t="str">
        <x:v>P0</x:v>
      </x:c>
      <x:c r="D313" s="10" t="str">
        <x:v>WP17</x:v>
      </x:c>
      <x:c r="E313" s="10" t="str">
        <x:v>Support and service readiness</x:v>
      </x:c>
      <x:c r="F313" s="10" t="str">
        <x:v>QA lead</x:v>
      </x:c>
      <x:c r="G313" s="12" t="str">
        <x:v>Not started</x:v>
      </x:c>
      <x:c r="H313" s="12" t="str"/>
      <x:c r="I313" s="10" t="str">
        <x:v>Critical incident response shall have continuous on call coverage. Normal support hours, response targets and escalation channels shall be published for each service plan. An operational owner, runbook and tested recovery path shall exist for every critical capability.</x:v>
      </x:c>
      <x:c r="J313" s="10" t="str">
        <x:v>Every critical capability needs an accountable operational owner and rehearsed recovery path before production exposure.</x:v>
      </x:c>
      <x:c r="K313" s="10" t="str">
        <x:v>Run readiness exercises for critical incident, identity recovery, failed import, privacy deletion and report correction. Verify continuous critical on-call ownership, runbook and escalation route.</x:v>
      </x:c>
      <x:c r="L313" s="10" t="str">
        <x:v>TC-VF-SUP-001</x:v>
      </x:c>
      <x:c r="M313" s="12" t="str">
        <x:v>No accepted implementation evidence mapped.</x:v>
      </x:c>
      <x:c r="N313" s="10" t="str">
        <x:f>IF(G313="Done",IF(AND(LEN(H313)&gt;0,LEN(M313)&gt;0),"Complete","Evidence required"),"Open")</x:f>
        <x:v>Open</x:v>
      </x:c>
      <x:c r="O313" s="17" t="str">
        <x:v>No complete implementation and acceptance evidence mapped. Retain the original acceptance criteria; this requirement remains open.</x:v>
      </x:c>
      <x:c r="P313" s="17" t="str">
        <x:v>PENDING</x:v>
      </x:c>
    </x:row>
  </x:sheetData>
  <x:conditionalFormatting sqref="N7:N313">
    <x:cfRule type="cellIs" dxfId="0" priority="1" operator="equal">
      <x:formula>"Evidence required"</x:formula>
    </x:cfRule>
  </x:conditionalFormatting>
  <x:dataValidations count="1">
    <x:dataValidation type="list" sqref="G7:G313">
      <x:formula1>"Not started,In progress,In review,Done,Blocked,Deferred"</x:formula1>
    </x:dataValidation>
  </x:dataValidations>
  <x:pageMargins left="0.7" right="0.7" top="0.75" bottom="0.75" header="0.3" footer="0.3"/>
  <x:tableParts count="1">
    <x:tablePart xmlns:r="http://schemas.openxmlformats.org/officeDocument/2006/relationships" r:id="R1c104cf0d14748d8"/>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2" hidden="0" customWidth="1"/>
    <x:col min="2" max="2" width="40" hidden="0" customWidth="1"/>
    <x:col min="3" max="3" width="100" hidden="0" customWidth="1"/>
    <x:col min="4" max="4" width="20" hidden="0" customWidth="1"/>
    <x:col min="5" max="5" width="25" hidden="0" customWidth="1"/>
    <x:col min="6" max="6" width="60" hidden="0" customWidth="1"/>
  </x:cols>
  <x:sheetData>
    <x:row r="1">
      <x:c r="A1" s="1"/>
      <x:c r="B1" s="1"/>
      <x:c r="C1" s="1"/>
      <x:c r="D1" s="1"/>
      <x:c r="E1" s="1"/>
      <x:c r="F1" s="1"/>
    </x:row>
    <x:row r="2" ht="30" customHeight="1">
      <x:c r="A2" s="2" t="str">
        <x:v>Foundation tasks</x:v>
      </x:c>
      <x:c r="B2" s="1"/>
      <x:c r="C2" s="1"/>
      <x:c r="D2" s="1"/>
      <x:c r="E2" s="1"/>
      <x:c r="F2" s="1"/>
    </x:row>
    <x:row r="3">
      <x:c r="A3" s="1"/>
      <x:c r="B3" s="1"/>
      <x:c r="C3" s="1"/>
      <x:c r="D3" s="1"/>
      <x:c r="E3" s="1"/>
      <x:c r="F3" s="1"/>
    </x:row>
    <x:row r="4" ht="22" customHeight="1">
      <x:c r="A4" s="1" t="str">
        <x:v>Edition 1.1 | 27 September 2026 | Original requirements retained; current coverage annotated.</x:v>
      </x:c>
      <x:c r="B4" s="1"/>
      <x:c r="C4" s="1"/>
      <x:c r="D4" s="1"/>
      <x:c r="E4" s="1"/>
      <x:c r="F4" s="1"/>
    </x:row>
    <x:row r="5">
      <x:c r="A5" s="3"/>
      <x:c r="B5" s="3"/>
      <x:c r="C5" s="3"/>
      <x:c r="D5" s="3"/>
      <x:c r="E5" s="3"/>
      <x:c r="F5" s="3"/>
    </x:row>
    <x:row r="6" ht="36" customHeight="1">
      <x:c r="A6" s="8" t="str">
        <x:v>Task</x:v>
      </x:c>
      <x:c r="B6" s="8" t="str">
        <x:v>Deliverable</x:v>
      </x:c>
      <x:c r="C6" s="8" t="str">
        <x:v>Acceptance</x:v>
      </x:c>
      <x:c r="D6" s="8" t="str">
        <x:v>Status</x:v>
      </x:c>
      <x:c r="E6" s="8" t="str">
        <x:v>Assignee</x:v>
      </x:c>
      <x:c r="F6" s="8" t="str">
        <x:v>Evidence</x:v>
      </x:c>
    </x:row>
    <x:row r="7" ht="38" customHeight="1">
      <x:c r="A7" s="10" t="str">
        <x:v>F01</x:v>
      </x:c>
      <x:c r="B7" s="10" t="str">
        <x:v>Repository and ownership</x:v>
      </x:c>
      <x:c r="C7" s="10" t="str">
        <x:v>Folders, module import boundaries, owners and lint commands present.</x:v>
      </x:c>
      <x:c r="D7" s="12" t="str">
        <x:v>In progress</x:v>
      </x:c>
      <x:c r="E7" s="12" t="str"/>
      <x:c r="F7" s="12" t="str">
        <x:v>docs/IMPLEMENTATION.md; docs/QUALIFICATION.md; docs/evidence/. Development subset exists. Full stated acceptance, owners and production qualification remain open.</x:v>
      </x:c>
    </x:row>
    <x:row r="8" ht="38" customHeight="1">
      <x:c r="A8" s="10" t="str">
        <x:v>F02</x:v>
      </x:c>
      <x:c r="B8" s="10" t="str">
        <x:v>Closed contract generation</x:v>
      </x:c>
      <x:c r="C8" s="10" t="str">
        <x:v>All DTO references resolve and invalid examples are rejected.</x:v>
      </x:c>
      <x:c r="D8" s="12" t="str">
        <x:v>In progress</x:v>
      </x:c>
      <x:c r="E8" s="12" t="str"/>
      <x:c r="F8" s="12" t="str">
        <x:v>docs/IMPLEMENTATION.md; docs/QUALIFICATION.md; docs/evidence/. Development subset exists. Full stated acceptance, owners and production qualification remain open.</x:v>
      </x:c>
    </x:row>
    <x:row r="9" ht="38" customHeight="1">
      <x:c r="A9" s="10" t="str">
        <x:v>F03</x:v>
      </x:c>
      <x:c r="B9" s="10" t="str">
        <x:v>Database bootstrap</x:v>
      </x:c>
      <x:c r="C9" s="10" t="str">
        <x:v>Fresh database applies every migration and exact rerun preserves checksums.</x:v>
      </x:c>
      <x:c r="D9" s="12" t="str">
        <x:v>In progress</x:v>
      </x:c>
      <x:c r="E9" s="12" t="str"/>
      <x:c r="F9" s="12" t="str">
        <x:v>docs/IMPLEMENTATION.md; docs/QUALIFICATION.md; docs/evidence/. Development subset exists. Full stated acceptance, owners and production qualification remain open.</x:v>
      </x:c>
    </x:row>
    <x:row r="10" ht="38" customHeight="1">
      <x:c r="A10" s="10" t="str">
        <x:v>F04</x:v>
      </x:c>
      <x:c r="B10" s="10" t="str">
        <x:v>Role and scope evaluator</x:v>
      </x:c>
      <x:c r="C10" s="10" t="str">
        <x:v>Deny, expiry, scope, separation and revocation fixtures pass.</x:v>
      </x:c>
      <x:c r="D10" s="12" t="str">
        <x:v>In progress</x:v>
      </x:c>
      <x:c r="E10" s="12" t="str"/>
      <x:c r="F10" s="12" t="str">
        <x:v>docs/IMPLEMENTATION.md; docs/QUALIFICATION.md; docs/evidence/. Development subset exists. Full stated acceptance, owners and production qualification remain open.</x:v>
      </x:c>
    </x:row>
    <x:row r="11" ht="38" customHeight="1">
      <x:c r="A11" s="10" t="str">
        <x:v>F05</x:v>
      </x:c>
      <x:c r="B11" s="10" t="str">
        <x:v>Identity development realm</x:v>
      </x:c>
      <x:c r="C11" s="10" t="str">
        <x:v>Public browser client enforces code with PKCE; redirects are exact.</x:v>
      </x:c>
      <x:c r="D11" s="12" t="str">
        <x:v>In progress</x:v>
      </x:c>
      <x:c r="E11" s="12" t="str"/>
      <x:c r="F11" s="12" t="str">
        <x:v>docs/IMPLEMENTATION.md; docs/QUALIFICATION.md; docs/evidence/. Development subset exists. Full stated acceptance, owners and production qualification remain open.</x:v>
      </x:c>
    </x:row>
    <x:row r="12" ht="38" customHeight="1">
      <x:c r="A12" s="10" t="str">
        <x:v>F06</x:v>
      </x:c>
      <x:c r="B12" s="10" t="str">
        <x:v>First durable transaction</x:v>
      </x:c>
      <x:c r="C12" s="10" t="str">
        <x:v>Revision, audit, outbox and receipt commit or roll back together.</x:v>
      </x:c>
      <x:c r="D12" s="12" t="str">
        <x:v>In progress</x:v>
      </x:c>
      <x:c r="E12" s="12" t="str"/>
      <x:c r="F12" s="12" t="str">
        <x:v>docs/IMPLEMENTATION.md; docs/QUALIFICATION.md; docs/evidence/. Development subset exists. Full stated acceptance, owners and production qualification remain open.</x:v>
      </x:c>
    </x:row>
    <x:row r="13" ht="38" customHeight="1">
      <x:c r="A13" s="10" t="str">
        <x:v>F07</x:v>
      </x:c>
      <x:c r="B13" s="10" t="str">
        <x:v>Seed and repeatable checks</x:v>
      </x:c>
      <x:c r="C13" s="10" t="str">
        <x:v>Isolated fixture loads and both tenant boundaries are tested.</x:v>
      </x:c>
      <x:c r="D13" s="12" t="str">
        <x:v>In progress</x:v>
      </x:c>
      <x:c r="E13" s="12" t="str"/>
      <x:c r="F13" s="12" t="str">
        <x:v>docs/IMPLEMENTATION.md; docs/QUALIFICATION.md; docs/evidence/. Development subset exists. Full stated acceptance, owners and production qualification remain open.</x:v>
      </x:c>
    </x:row>
    <x:row r="14" ht="38" customHeight="1">
      <x:c r="A14" s="10" t="str">
        <x:v>F08</x:v>
      </x:c>
      <x:c r="B14" s="10" t="str">
        <x:v>First vertical workflow</x:v>
      </x:c>
      <x:c r="C14" s="10" t="str">
        <x:v>Author captures observations; separate reviewer approves; pooled result and report show 46.36.</x:v>
      </x:c>
      <x:c r="D14" s="12" t="str">
        <x:v>In progress</x:v>
      </x:c>
      <x:c r="E14" s="12" t="str"/>
      <x:c r="F14" s="12" t="str">
        <x:v>docs/IMPLEMENTATION.md; docs/QUALIFICATION.md; docs/evidence/. Development subset exists. Full stated acceptance, owners and production qualification remain open.</x:v>
      </x:c>
    </x:row>
    <x:row r="15" ht="38" customHeight="1">
      <x:c r="A15" s="10" t="str">
        <x:v>F09</x:v>
      </x:c>
      <x:c r="B15" s="10" t="str">
        <x:v>Deployment inputs</x:v>
      </x:c>
      <x:c r="C15" s="10" t="str">
        <x:v>Real environment supplies permitted regions, DNS, issuer, secret references and on-call routing.</x:v>
      </x:c>
      <x:c r="D15" s="12" t="str">
        <x:v>Not started</x:v>
      </x:c>
      <x:c r="E15" s="12" t="str"/>
      <x:c r="F15" s="12" t="str"/>
    </x:row>
    <x:row r="16" ht="38" customHeight="1">
      <x:c r="A16" s="10" t="str">
        <x:v>F10</x:v>
      </x:c>
      <x:c r="B16" s="10" t="str">
        <x:v>Release evidence manifest</x:v>
      </x:c>
      <x:c r="C16" s="10" t="str">
        <x:v>Code, schema, policy, mobile, test and SBOM versions are linked to a build.</x:v>
      </x:c>
      <x:c r="D16" s="12" t="str">
        <x:v>In progress</x:v>
      </x:c>
      <x:c r="E16" s="12" t="str"/>
      <x:c r="F16" s="12" t="str">
        <x:v>docs/IMPLEMENTATION.md; docs/QUALIFICATION.md; docs/evidence/. Development subset exists. Full stated acceptance, owners and production qualification remain open.</x:v>
      </x:c>
    </x:row>
  </x:sheetData>
  <x:dataValidations count="1">
    <x:dataValidation type="list" sqref="D7:D16">
      <x:formula1>"Not started,In progress,In review,Done,Blocked,Deferred"</x:formula1>
    </x:dataValidation>
  </x:dataValidations>
  <x:pageMargins left="0.7" right="0.7" top="0.75" bottom="0.75" header="0.3" footer="0.3"/>
  <x:tableParts count="1">
    <x:tablePart xmlns:r="http://schemas.openxmlformats.org/officeDocument/2006/relationships" r:id="Refea54ff46ec4099"/>
  </x:tableParts>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4" hidden="0" customWidth="1"/>
    <x:col min="2" max="2" width="41" hidden="0" customWidth="1"/>
    <x:col min="3" max="3" width="30" hidden="0" customWidth="1"/>
    <x:col min="4" max="4" width="43" hidden="0" customWidth="1"/>
    <x:col min="5" max="5" width="16" hidden="0" customWidth="1"/>
    <x:col min="6" max="6" width="16" hidden="0" customWidth="1"/>
    <x:col min="7" max="7" width="105" hidden="0" customWidth="1"/>
    <x:col min="8" max="8" width="25" hidden="0" customWidth="1"/>
    <x:col min="9" max="9" width="70" hidden="0" customWidth="1"/>
  </x:cols>
  <x:sheetData>
    <x:row r="1">
      <x:c r="A1" s="1"/>
      <x:c r="B1" s="1"/>
      <x:c r="C1" s="1"/>
      <x:c r="D1" s="1"/>
      <x:c r="E1" s="1"/>
      <x:c r="F1" s="1"/>
      <x:c r="G1" s="1"/>
    </x:row>
    <x:row r="2" ht="30" customHeight="1">
      <x:c r="A2" s="2" t="str">
        <x:v>Engineering work packages</x:v>
      </x:c>
      <x:c r="B2" s="1"/>
      <x:c r="C2" s="1"/>
      <x:c r="D2" s="1"/>
      <x:c r="E2" s="1"/>
      <x:c r="F2" s="1"/>
      <x:c r="G2" s="1"/>
    </x:row>
    <x:row r="3">
      <x:c r="A3" s="1"/>
      <x:c r="B3" s="1"/>
      <x:c r="C3" s="1"/>
      <x:c r="D3" s="1"/>
      <x:c r="E3" s="1"/>
      <x:c r="F3" s="1"/>
      <x:c r="G3" s="1"/>
    </x:row>
    <x:row r="4" ht="22" customHeight="1">
      <x:c r="A4" s="1" t="str">
        <x:v>Edition 1.1 | 27 September 2026 | Original requirements retained; current coverage annotated.</x:v>
      </x:c>
      <x:c r="B4" s="1"/>
      <x:c r="C4" s="1"/>
      <x:c r="D4" s="1"/>
      <x:c r="E4" s="1"/>
      <x:c r="F4" s="1"/>
      <x:c r="G4" s="1"/>
    </x:row>
    <x:row r="5">
      <x:c r="A5" s="3"/>
      <x:c r="B5" s="3"/>
      <x:c r="C5" s="3"/>
      <x:c r="D5" s="3"/>
      <x:c r="E5" s="3"/>
      <x:c r="F5" s="3"/>
      <x:c r="G5" s="3"/>
    </x:row>
    <x:row r="6" ht="36" customHeight="1">
      <x:c r="A6" s="8" t="str">
        <x:v>Package</x:v>
      </x:c>
      <x:c r="B6" s="8" t="str">
        <x:v>Title</x:v>
      </x:c>
      <x:c r="C6" s="8" t="str">
        <x:v>Owner role</x:v>
      </x:c>
      <x:c r="D6" s="8" t="str">
        <x:v>Dependencies</x:v>
      </x:c>
      <x:c r="E6" s="8" t="str">
        <x:v>Requirements</x:v>
      </x:c>
      <x:c r="F6" s="8" t="str">
        <x:v>Complete</x:v>
      </x:c>
      <x:c r="G6" s="8" t="str">
        <x:v>Outcome</x:v>
      </x:c>
      <x:c r="H6" s="17" t="str">
        <x:v>Requirements in progress</x:v>
      </x:c>
      <x:c r="I6" s="17" t="str">
        <x:v>Current interpretation</x:v>
      </x:c>
    </x:row>
    <x:row r="7" ht="38" customHeight="1">
      <x:c r="A7" s="10" t="str">
        <x:v>WP00</x:v>
      </x:c>
      <x:c r="B7" s="10" t="str">
        <x:v>Repository and development foundations</x:v>
      </x:c>
      <x:c r="C7" s="10" t="str">
        <x:v>Platform lead</x:v>
      </x:c>
      <x:c r="D7" s="10" t="str">
        <x:v>None</x:v>
      </x:c>
      <x:c r="E7" s="10" t="n">
        <x:f>COUNTIF(Requirements!$D$7:$D$313,A7)</x:f>
        <x:v>0</x:v>
      </x:c>
      <x:c r="F7" s="10" t="n">
        <x:f>COUNTIFS(Requirements!$D$7:$D$313,A7,Requirements!$N$7:$N$313,"Complete")</x:f>
        <x:v>0</x:v>
      </x:c>
      <x:c r="G7" s="10" t="str">
        <x:v>Build a clean checkout with deterministic dependencies, contract validation, local services and CI.</x:v>
      </x:c>
      <x:c r="H7" s="17" t="n">
        <x:f>COUNTIFS(Requirements!$D$7:$D$313,A7,Requirements!$G$7:$G$313,"In progress")</x:f>
        <x:v>0</x:v>
      </x:c>
      <x:c r="I7" s="17" t="str">
        <x:v>See the requirement-level assessment and evidence. A partial count is not package acceptance; the original outcome remains required.</x:v>
      </x:c>
    </x:row>
    <x:row r="8" ht="38" customHeight="1">
      <x:c r="A8" s="10" t="str">
        <x:v>WP01</x:v>
      </x:c>
      <x:c r="B8" s="10" t="str">
        <x:v>Tenant identity and access</x:v>
      </x:c>
      <x:c r="C8" s="10" t="str">
        <x:v>Identity lead</x:v>
      </x:c>
      <x:c r="D8" s="10" t="str">
        <x:v>WP00</x:v>
      </x:c>
      <x:c r="E8" s="10" t="n">
        <x:f>COUNTIF(Requirements!$D$7:$D$313,A8)</x:f>
        <x:v>37</x:v>
      </x:c>
      <x:c r="F8" s="10" t="n">
        <x:f>COUNTIFS(Requirements!$D$7:$D$313,A8,Requirements!$N$7:$N$313,"Complete")</x:f>
        <x:v>0</x:v>
      </x:c>
      <x:c r="G8" s="10" t="str">
        <x:v>Establish tenant lifecycle, owner custody, identity federation, invitations, sessions, scoped grants and revocation.</x:v>
      </x:c>
      <x:c r="H8" s="17" t="n">
        <x:f>COUNTIFS(Requirements!$D$7:$D$313,A8,Requirements!$G$7:$G$313,"In progress")</x:f>
        <x:v>21</x:v>
      </x:c>
      <x:c r="I8" s="17" t="str">
        <x:v>See the requirement-level assessment and evidence. A partial count is not package acceptance; the original outcome remains required.</x:v>
      </x:c>
    </x:row>
    <x:row r="9" ht="38" customHeight="1">
      <x:c r="A9" s="10" t="str">
        <x:v>WP02</x:v>
      </x:c>
      <x:c r="B9" s="10" t="str">
        <x:v>Programme planning</x:v>
      </x:c>
      <x:c r="C9" s="10" t="str">
        <x:v>Domain lead</x:v>
      </x:c>
      <x:c r="D9" s="10" t="str">
        <x:v>WP01</x:v>
      </x:c>
      <x:c r="E9" s="10" t="n">
        <x:f>COUNTIF(Requirements!$D$7:$D$313,A9)</x:f>
        <x:v>20</x:v>
      </x:c>
      <x:c r="F9" s="10" t="n">
        <x:f>COUNTIFS(Requirements!$D$7:$D$313,A9,Requirements!$N$7:$N$313,"Complete")</x:f>
        <x:v>0</x:v>
      </x:c>
      <x:c r="G9" s="10" t="str">
        <x:v>Implement programme, framework, activities, risks and reporting obligations with versioned configuration.</x:v>
      </x:c>
      <x:c r="H9" s="17" t="n">
        <x:f>COUNTIFS(Requirements!$D$7:$D$313,A9,Requirements!$G$7:$G$313,"In progress")</x:f>
        <x:v>5</x:v>
      </x:c>
      <x:c r="I9" s="17" t="str">
        <x:v>See the requirement-level assessment and evidence. A partial count is not package acceptance; the original outcome remains required.</x:v>
      </x:c>
    </x:row>
    <x:row r="10" ht="38" customHeight="1">
      <x:c r="A10" s="10" t="str">
        <x:v>WP03</x:v>
      </x:c>
      <x:c r="B10" s="10" t="str">
        <x:v>Indicators and calculations</x:v>
      </x:c>
      <x:c r="C10" s="10" t="str">
        <x:v>Measurement lead</x:v>
      </x:c>
      <x:c r="D10" s="10" t="str">
        <x:v>WP02</x:v>
      </x:c>
      <x:c r="E10" s="10" t="n">
        <x:f>COUNTIF(Requirements!$D$7:$D$313,A10)</x:f>
        <x:v>31</x:v>
      </x:c>
      <x:c r="F10" s="10" t="n">
        <x:f>COUNTIFS(Requirements!$D$7:$D$313,A10,Requirements!$N$7:$N$313,"Complete")</x:f>
        <x:v>0</x:v>
      </x:c>
      <x:c r="G10" s="10" t="str">
        <x:v>Implement definitions, targets, comparability, provenance, deterministic decimal calculations and golden examples.</x:v>
      </x:c>
      <x:c r="H10" s="17" t="n">
        <x:f>COUNTIFS(Requirements!$D$7:$D$313,A10,Requirements!$G$7:$G$313,"In progress")</x:f>
        <x:v>17</x:v>
      </x:c>
      <x:c r="I10" s="17" t="str">
        <x:v>See the requirement-level assessment and evidence. A partial count is not package acceptance; the original outcome remains required.</x:v>
      </x:c>
    </x:row>
    <x:row r="11" ht="38" customHeight="1">
      <x:c r="A11" s="10" t="str">
        <x:v>WP04</x:v>
      </x:c>
      <x:c r="B11" s="10" t="str">
        <x:v>Forms and participants</x:v>
      </x:c>
      <x:c r="C11" s="10" t="str">
        <x:v>Collection lead</x:v>
      </x:c>
      <x:c r="D11" s="10" t="str">
        <x:v>WP03</x:v>
      </x:c>
      <x:c r="E11" s="10" t="n">
        <x:f>COUNTIF(Requirements!$D$7:$D$313,A11)</x:f>
        <x:v>18</x:v>
      </x:c>
      <x:c r="F11" s="10" t="n">
        <x:f>COUNTIFS(Requirements!$D$7:$D$313,A11,Requirements!$N$7:$N$313,"Complete")</x:f>
        <x:v>0</x:v>
      </x:c>
      <x:c r="G11" s="10" t="str">
        <x:v>Implement typed instruments, safe expression grammar, assignments, purpose-bound participants and consent handling.</x:v>
      </x:c>
      <x:c r="H11" s="17" t="n">
        <x:f>COUNTIFS(Requirements!$D$7:$D$313,A11,Requirements!$G$7:$G$313,"In progress")</x:f>
        <x:v>0</x:v>
      </x:c>
      <x:c r="I11" s="17" t="str">
        <x:v>See the requirement-level assessment and evidence. A partial count is not package acceptance; the original outcome remains required.</x:v>
      </x:c>
    </x:row>
    <x:row r="12" ht="38" customHeight="1">
      <x:c r="A12" s="10" t="str">
        <x:v>WP05</x:v>
      </x:c>
      <x:c r="B12" s="10" t="str">
        <x:v>Ingestion and quality</x:v>
      </x:c>
      <x:c r="C12" s="10" t="str">
        <x:v>Data lead</x:v>
      </x:c>
      <x:c r="D12" s="10" t="str">
        <x:v>WP02</x:v>
      </x:c>
      <x:c r="E12" s="10" t="n">
        <x:f>COUNTIF(Requirements!$D$7:$D$313,A12)</x:f>
        <x:v>20</x:v>
      </x:c>
      <x:c r="F12" s="10" t="n">
        <x:f>COUNTIFS(Requirements!$D$7:$D$313,A12,Requirements!$N$7:$N$313,"Complete")</x:f>
        <x:v>0</x:v>
      </x:c>
      <x:c r="G12" s="10" t="str">
        <x:v>Implement immutable source receipts, previews, mappings, row reconciliation, replacement and quality workflows.</x:v>
      </x:c>
      <x:c r="H12" s="17" t="n">
        <x:f>COUNTIFS(Requirements!$D$7:$D$313,A12,Requirements!$G$7:$G$313,"In progress")</x:f>
        <x:v>3</x:v>
      </x:c>
      <x:c r="I12" s="17" t="str">
        <x:v>See the requirement-level assessment and evidence. A partial count is not package acceptance; the original outcome remains required.</x:v>
      </x:c>
    </x:row>
    <x:row r="13" ht="38" customHeight="1">
      <x:c r="A13" s="10" t="str">
        <x:v>WP06</x:v>
      </x:c>
      <x:c r="B13" s="10" t="str">
        <x:v>Evidence and evaluation</x:v>
      </x:c>
      <x:c r="C13" s="10" t="str">
        <x:v>Evidence lead</x:v>
      </x:c>
      <x:c r="D13" s="10" t="str">
        <x:v>WP01</x:v>
      </x:c>
      <x:c r="E13" s="10" t="n">
        <x:f>COUNTIF(Requirements!$D$7:$D$313,A13)</x:f>
        <x:v>16</x:v>
      </x:c>
      <x:c r="F13" s="10" t="n">
        <x:f>COUNTIFS(Requirements!$D$7:$D$313,A13,Requirements!$N$7:$N$313,"Complete")</x:f>
        <x:v>0</x:v>
      </x:c>
      <x:c r="G13" s="10" t="str">
        <x:v>Implement quarantined files, versioned citations, codebooks, qualitative extracts and evaluated findings.</x:v>
      </x:c>
      <x:c r="H13" s="17" t="n">
        <x:f>COUNTIFS(Requirements!$D$7:$D$313,A13,Requirements!$G$7:$G$313,"In progress")</x:f>
        <x:v>0</x:v>
      </x:c>
      <x:c r="I13" s="17" t="str">
        <x:v>See the requirement-level assessment and evidence. A partial count is not package acceptance; the original outcome remains required.</x:v>
      </x:c>
    </x:row>
    <x:row r="14" ht="38" customHeight="1">
      <x:c r="A14" s="10" t="str">
        <x:v>WP07</x:v>
      </x:c>
      <x:c r="B14" s="10" t="str">
        <x:v>Review and period close</x:v>
      </x:c>
      <x:c r="C14" s="10" t="str">
        <x:v>Workflow lead</x:v>
      </x:c>
      <x:c r="D14" s="10" t="str">
        <x:v>WP03, WP06</x:v>
      </x:c>
      <x:c r="E14" s="10" t="n">
        <x:f>COUNTIF(Requirements!$D$7:$D$313,A14)</x:f>
        <x:v>10</x:v>
      </x:c>
      <x:c r="F14" s="10" t="n">
        <x:f>COUNTIFS(Requirements!$D$7:$D$313,A14,Requirements!$N$7:$N$313,"Complete")</x:f>
        <x:v>0</x:v>
      </x:c>
      <x:c r="G14" s="10" t="str">
        <x:v>Implement immutable candidates, natural-person independence, decisions, close readiness and restatement.</x:v>
      </x:c>
      <x:c r="H14" s="17" t="n">
        <x:f>COUNTIFS(Requirements!$D$7:$D$313,A14,Requirements!$G$7:$G$313,"In progress")</x:f>
        <x:v>8</x:v>
      </x:c>
      <x:c r="I14" s="17" t="str">
        <x:v>See the requirement-level assessment and evidence. A partial count is not package acceptance; the original outcome remains required.</x:v>
      </x:c>
    </x:row>
    <x:row r="15" ht="38" customHeight="1">
      <x:c r="A15" s="10" t="str">
        <x:v>WP08</x:v>
      </x:c>
      <x:c r="B15" s="10" t="str">
        <x:v>Dashboards reports and disclosure</x:v>
      </x:c>
      <x:c r="C15" s="10" t="str">
        <x:v>Reporting lead</x:v>
      </x:c>
      <x:c r="D15" s="10" t="str">
        <x:v>WP05, WP07</x:v>
      </x:c>
      <x:c r="E15" s="10" t="n">
        <x:f>COUNTIF(Requirements!$D$7:$D$313,A15)</x:f>
        <x:v>22</x:v>
      </x:c>
      <x:c r="F15" s="10" t="n">
        <x:f>COUNTIFS(Requirements!$D$7:$D$313,A15,Requirements!$N$7:$N$313,"Complete")</x:f>
        <x:v>0</x:v>
      </x:c>
      <x:c r="G15" s="10" t="str">
        <x:v>Implement scoped analysis, snapshot bindings, reconciled report generation and controlled publication.</x:v>
      </x:c>
      <x:c r="H15" s="17" t="n">
        <x:f>COUNTIFS(Requirements!$D$7:$D$313,A15,Requirements!$G$7:$G$313,"In progress")</x:f>
        <x:v>7</x:v>
      </x:c>
      <x:c r="I15" s="17" t="str">
        <x:v>See the requirement-level assessment and evidence. A partial count is not package acceptance; the original outcome remains required.</x:v>
      </x:c>
    </x:row>
    <x:row r="16" ht="38" customHeight="1">
      <x:c r="A16" s="10" t="str">
        <x:v>WP09</x:v>
      </x:c>
      <x:c r="B16" s="10" t="str">
        <x:v>Android offline collection</x:v>
      </x:c>
      <x:c r="C16" s="10" t="str">
        <x:v>Mobile lead</x:v>
      </x:c>
      <x:c r="D16" s="10" t="str">
        <x:v>WP04</x:v>
      </x:c>
      <x:c r="E16" s="10" t="n">
        <x:f>COUNTIF(Requirements!$D$7:$D$313,A16)</x:f>
        <x:v>9</x:v>
      </x:c>
      <x:c r="F16" s="10" t="n">
        <x:f>COUNTIFS(Requirements!$D$7:$D$313,A16,Requirements!$N$7:$N$313,"Complete")</x:f>
        <x:v>0</x:v>
      </x:c>
      <x:c r="G16" s="10" t="str">
        <x:v>Implement device custody, signed packages, bounded leases, local durability, resumable media and replay-safe sync.</x:v>
      </x:c>
      <x:c r="H16" s="17" t="n">
        <x:f>COUNTIFS(Requirements!$D$7:$D$313,A16,Requirements!$G$7:$G$313,"In progress")</x:f>
        <x:v>0</x:v>
      </x:c>
      <x:c r="I16" s="17" t="str">
        <x:v>See the requirement-level assessment and evidence. A partial count is not package acceptance; the original outcome remains required.</x:v>
      </x:c>
    </x:row>
    <x:row r="17" ht="38" customHeight="1">
      <x:c r="A17" s="10" t="str">
        <x:v>WP10</x:v>
      </x:c>
      <x:c r="B17" s="10" t="str">
        <x:v>Analytical finance</x:v>
      </x:c>
      <x:c r="C17" s="10" t="str">
        <x:v>Finance domain lead</x:v>
      </x:c>
      <x:c r="D17" s="10" t="str">
        <x:v>WP02</x:v>
      </x:c>
      <x:c r="E17" s="10" t="n">
        <x:f>COUNTIF(Requirements!$D$7:$D$313,A17)</x:f>
        <x:v>8</x:v>
      </x:c>
      <x:c r="F17" s="10" t="n">
        <x:f>COUNTIFS(Requirements!$D$7:$D$313,A17,Requirements!$N$7:$N$313,"Complete")</x:f>
        <x:v>0</x:v>
      </x:c>
      <x:c r="G17" s="10" t="str">
        <x:v>Implement source transactions, budget versions, exchange rates, allocations and financial reconciliation.</x:v>
      </x:c>
      <x:c r="H17" s="17" t="n">
        <x:f>COUNTIFS(Requirements!$D$7:$D$313,A17,Requirements!$G$7:$G$313,"In progress")</x:f>
        <x:v>0</x:v>
      </x:c>
      <x:c r="I17" s="17" t="str">
        <x:v>See the requirement-level assessment and evidence. A partial count is not package acceptance; the original outcome remains required.</x:v>
      </x:c>
    </x:row>
    <x:row r="18" ht="38" customHeight="1">
      <x:c r="A18" s="10" t="str">
        <x:v>WP11</x:v>
      </x:c>
      <x:c r="B18" s="10" t="str">
        <x:v>External integrations</x:v>
      </x:c>
      <x:c r="C18" s="10" t="str">
        <x:v>Integration lead</x:v>
      </x:c>
      <x:c r="D18" s="10" t="str">
        <x:v>WP05</x:v>
      </x:c>
      <x:c r="E18" s="10" t="n">
        <x:f>COUNTIF(Requirements!$D$7:$D$313,A18)</x:f>
        <x:v>10</x:v>
      </x:c>
      <x:c r="F18" s="10" t="n">
        <x:f>COUNTIFS(Requirements!$D$7:$D$313,A18,Requirements!$N$7:$N$313,"Complete")</x:f>
        <x:v>0</x:v>
      </x:c>
      <x:c r="G18" s="10" t="str">
        <x:v>Implement service-owned connections, checkpointed imports, credential rotation and webhook delivery.</x:v>
      </x:c>
      <x:c r="H18" s="17" t="n">
        <x:f>COUNTIFS(Requirements!$D$7:$D$313,A18,Requirements!$G$7:$G$313,"In progress")</x:f>
        <x:v>2</x:v>
      </x:c>
      <x:c r="I18" s="17" t="str">
        <x:v>See the requirement-level assessment and evidence. A partial count is not package acceptance; the original outcome remains required.</x:v>
      </x:c>
    </x:row>
    <x:row r="19" ht="38" customHeight="1">
      <x:c r="A19" s="10" t="str">
        <x:v>WP12</x:v>
      </x:c>
      <x:c r="B19" s="10" t="str">
        <x:v>AI assistance</x:v>
      </x:c>
      <x:c r="C19" s="10" t="str">
        <x:v>AI lead</x:v>
      </x:c>
      <x:c r="D19" s="10" t="str">
        <x:v>WP08, WP13</x:v>
      </x:c>
      <x:c r="E19" s="10" t="n">
        <x:f>COUNTIF(Requirements!$D$7:$D$313,A19)</x:f>
        <x:v>18</x:v>
      </x:c>
      <x:c r="F19" s="10" t="n">
        <x:f>COUNTIFS(Requirements!$D$7:$D$313,A19,Requirements!$N$7:$N$313,"Complete")</x:f>
        <x:v>0</x:v>
      </x:c>
      <x:c r="G19" s="10" t="str">
        <x:v>Implement scoped retrieval, typed proposals, exact-diff confirmation, budgets and use-case evaluation.</x:v>
      </x:c>
      <x:c r="H19" s="17" t="n">
        <x:f>COUNTIFS(Requirements!$D$7:$D$313,A19,Requirements!$G$7:$G$313,"In progress")</x:f>
        <x:v>0</x:v>
      </x:c>
      <x:c r="I19" s="17" t="str">
        <x:v>See the requirement-level assessment and evidence. A partial count is not package acceptance; the original outcome remains required.</x:v>
      </x:c>
    </x:row>
    <x:row r="20" ht="38" customHeight="1">
      <x:c r="A20" s="10" t="str">
        <x:v>WP13</x:v>
      </x:c>
      <x:c r="B20" s="10" t="str">
        <x:v>Privacy execution</x:v>
      </x:c>
      <x:c r="C20" s="10" t="str">
        <x:v>Privacy engineering lead</x:v>
      </x:c>
      <x:c r="D20" s="10" t="str">
        <x:v>WP01, WP06</x:v>
      </x:c>
      <x:c r="E20" s="10" t="n">
        <x:f>COUNTIF(Requirements!$D$7:$D$313,A20)</x:f>
        <x:v>12</x:v>
      </x:c>
      <x:c r="F20" s="10" t="n">
        <x:f>COUNTIFS(Requirements!$D$7:$D$313,A20,Requirements!$N$7:$N$313,"Complete")</x:f>
        <x:v>0</x:v>
      </x:c>
      <x:c r="G20" s="10" t="str">
        <x:v>Implement purpose and disclosure policy, cases, holds, deletion manifests, store outcomes and restore replay.</x:v>
      </x:c>
      <x:c r="H20" s="17" t="n">
        <x:f>COUNTIFS(Requirements!$D$7:$D$313,A20,Requirements!$G$7:$G$313,"In progress")</x:f>
        <x:v>0</x:v>
      </x:c>
      <x:c r="I20" s="17" t="str">
        <x:v>See the requirement-level assessment and evidence. A partial count is not package acceptance; the original outcome remains required.</x:v>
      </x:c>
    </x:row>
    <x:row r="21" ht="38" customHeight="1">
      <x:c r="A21" s="10" t="str">
        <x:v>WP14</x:v>
      </x:c>
      <x:c r="B21" s="10" t="str">
        <x:v>Security and operations</x:v>
      </x:c>
      <x:c r="C21" s="10" t="str">
        <x:v>Platform security lead</x:v>
      </x:c>
      <x:c r="D21" s="10" t="str">
        <x:v>WP00</x:v>
      </x:c>
      <x:c r="E21" s="10" t="n">
        <x:f>COUNTIF(Requirements!$D$7:$D$313,A21)</x:f>
        <x:v>27</x:v>
      </x:c>
      <x:c r="F21" s="10" t="n">
        <x:f>COUNTIFS(Requirements!$D$7:$D$313,A21,Requirements!$N$7:$N$313,"Complete")</x:f>
        <x:v>0</x:v>
      </x:c>
      <x:c r="G21" s="10" t="str">
        <x:v>Implement security controls, observability, limits, release controls, audited support and recovery.</x:v>
      </x:c>
      <x:c r="H21" s="17" t="n">
        <x:f>COUNTIFS(Requirements!$D$7:$D$313,A21,Requirements!$G$7:$G$313,"In progress")</x:f>
        <x:v>5</x:v>
      </x:c>
      <x:c r="I21" s="17" t="str">
        <x:v>See the requirement-level assessment and evidence. A partial count is not package acceptance; the original outcome remains required.</x:v>
      </x:c>
    </x:row>
    <x:row r="22" ht="38" customHeight="1">
      <x:c r="A22" s="10" t="str">
        <x:v>WP15</x:v>
      </x:c>
      <x:c r="B22" s="10" t="str">
        <x:v>User experience and accessibility</x:v>
      </x:c>
      <x:c r="C22" s="10" t="str">
        <x:v>Frontend lead</x:v>
      </x:c>
      <x:c r="D22" s="10" t="str">
        <x:v>WP01</x:v>
      </x:c>
      <x:c r="E22" s="10" t="n">
        <x:f>COUNTIF(Requirements!$D$7:$D$313,A22)</x:f>
        <x:v>12</x:v>
      </x:c>
      <x:c r="F22" s="10" t="n">
        <x:f>COUNTIFS(Requirements!$D$7:$D$313,A22,Requirements!$N$7:$N$313,"Complete")</x:f>
        <x:v>0</x:v>
      </x:c>
      <x:c r="G22" s="10" t="str">
        <x:v>Implement shared components and all UI states, localisation, keyboard navigation and accessibility verification.</x:v>
      </x:c>
      <x:c r="H22" s="17" t="n">
        <x:f>COUNTIFS(Requirements!$D$7:$D$313,A22,Requirements!$G$7:$G$313,"In progress")</x:f>
        <x:v>6</x:v>
      </x:c>
      <x:c r="I22" s="17" t="str">
        <x:v>See the requirement-level assessment and evidence. A partial count is not package acceptance; the original outcome remains required.</x:v>
      </x:c>
    </x:row>
    <x:row r="23" ht="38" customHeight="1">
      <x:c r="A23" s="10" t="str">
        <x:v>WP16</x:v>
      </x:c>
      <x:c r="B23" s="10" t="str">
        <x:v>Migration and exit</x:v>
      </x:c>
      <x:c r="C23" s="10" t="str">
        <x:v>Implementation lead</x:v>
      </x:c>
      <x:c r="D23" s="10" t="str">
        <x:v>WP08, WP13</x:v>
      </x:c>
      <x:c r="E23" s="10" t="n">
        <x:f>COUNTIF(Requirements!$D$7:$D$313,A23)</x:f>
        <x:v>8</x:v>
      </x:c>
      <x:c r="F23" s="10" t="n">
        <x:f>COUNTIFS(Requirements!$D$7:$D$313,A23,Requirements!$N$7:$N$313,"Complete")</x:f>
        <x:v>0</x:v>
      </x:c>
      <x:c r="G23" s="10" t="str">
        <x:v>Implement semantic mapping, trial imports, cutover, exports, exit custody and closure reconciliation.</x:v>
      </x:c>
      <x:c r="H23" s="17" t="n">
        <x:f>COUNTIFS(Requirements!$D$7:$D$313,A23,Requirements!$G$7:$G$313,"In progress")</x:f>
        <x:v>0</x:v>
      </x:c>
      <x:c r="I23" s="17" t="str">
        <x:v>See the requirement-level assessment and evidence. A partial count is not package acceptance; the original outcome remains required.</x:v>
      </x:c>
    </x:row>
    <x:row r="24" ht="38" customHeight="1">
      <x:c r="A24" s="10" t="str">
        <x:v>WP17</x:v>
      </x:c>
      <x:c r="B24" s="10" t="str">
        <x:v>Cross platform qualification</x:v>
      </x:c>
      <x:c r="C24" s="10" t="str">
        <x:v>QA lead</x:v>
      </x:c>
      <x:c r="D24" s="10" t="str">
        <x:v>WP08, WP09, WP10, WP11, WP12, WP13, WP14, WP15, WP16</x:v>
      </x:c>
      <x:c r="E24" s="10" t="n">
        <x:f>COUNTIF(Requirements!$D$7:$D$313,A24)</x:f>
        <x:v>29</x:v>
      </x:c>
      <x:c r="F24" s="10" t="n">
        <x:f>COUNTIFS(Requirements!$D$7:$D$313,A24,Requirements!$N$7:$N$313,"Complete")</x:f>
        <x:v>0</x:v>
      </x:c>
      <x:c r="G24" s="10" t="str">
        <x:v>Execute all NFR profiles, independent assessment, restore drills and release evidence reconciliation.</x:v>
      </x:c>
      <x:c r="H24" s="17" t="n">
        <x:f>COUNTIFS(Requirements!$D$7:$D$313,A24,Requirements!$G$7:$G$313,"In progress")</x:f>
        <x:v>0</x:v>
      </x:c>
      <x:c r="I24" s="17" t="str">
        <x:v>See the requirement-level assessment and evidence. A partial count is not package acceptance; the original outcome remains required.</x:v>
      </x:c>
    </x:row>
  </x:sheetData>
  <x:pageMargins left="0.7" right="0.7" top="0.75" bottom="0.75" header="0.3" footer="0.3"/>
  <x:tableParts count="1">
    <x:tablePart xmlns:r="http://schemas.openxmlformats.org/officeDocument/2006/relationships" r:id="Rd94ac981fc514585"/>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8" hidden="0" customWidth="1"/>
    <x:col min="2" max="2" width="12" hidden="0" customWidth="1"/>
    <x:col min="3" max="3" width="93" hidden="0" customWidth="1"/>
    <x:col min="4" max="4" width="40" hidden="0" customWidth="1"/>
    <x:col min="5" max="5" width="78" hidden="0" customWidth="1"/>
    <x:col min="6" max="6" width="23" hidden="0" customWidth="1"/>
    <x:col min="7" max="7" width="22" hidden="0" customWidth="1"/>
    <x:col min="8" max="8" width="21" hidden="0" customWidth="1"/>
    <x:col min="9" max="9" width="20" hidden="0" customWidth="1"/>
    <x:col min="10" max="10" width="42" hidden="0" customWidth="1"/>
  </x:cols>
  <x:sheetData>
    <x:row r="1">
      <x:c r="A1" s="1"/>
      <x:c r="B1" s="1"/>
      <x:c r="C1" s="1"/>
      <x:c r="D1" s="1"/>
      <x:c r="E1" s="1"/>
      <x:c r="F1" s="1"/>
      <x:c r="G1" s="1"/>
      <x:c r="H1" s="1"/>
      <x:c r="I1" s="1"/>
    </x:row>
    <x:row r="2" ht="30" customHeight="1">
      <x:c r="A2" s="2" t="str">
        <x:v>API operation and capability inventory</x:v>
      </x:c>
      <x:c r="B2" s="1"/>
      <x:c r="C2" s="1"/>
      <x:c r="D2" s="1"/>
      <x:c r="E2" s="1"/>
      <x:c r="F2" s="1"/>
      <x:c r="G2" s="1"/>
      <x:c r="H2" s="1"/>
      <x:c r="I2" s="1"/>
    </x:row>
    <x:row r="3">
      <x:c r="A3" s="1"/>
      <x:c r="B3" s="1"/>
      <x:c r="C3" s="1"/>
      <x:c r="D3" s="1"/>
      <x:c r="E3" s="1"/>
      <x:c r="F3" s="1"/>
      <x:c r="G3" s="1"/>
      <x:c r="H3" s="1"/>
      <x:c r="I3" s="1"/>
    </x:row>
    <x:row r="4" ht="22" customHeight="1">
      <x:c r="A4" s="1" t="str">
        <x:v>Edition 1.1 | 27 September 2026 | Original requirements retained; current coverage annotated.</x:v>
      </x:c>
      <x:c r="B4" s="1"/>
      <x:c r="C4" s="1"/>
      <x:c r="D4" s="1"/>
      <x:c r="E4" s="1"/>
      <x:c r="F4" s="1"/>
      <x:c r="G4" s="1"/>
      <x:c r="H4" s="1"/>
      <x:c r="I4" s="1"/>
    </x:row>
    <x:row r="5">
      <x:c r="A5" s="3"/>
      <x:c r="B5" s="3"/>
      <x:c r="C5" s="3"/>
      <x:c r="D5" s="3"/>
      <x:c r="E5" s="3"/>
      <x:c r="F5" s="3"/>
      <x:c r="G5" s="3"/>
      <x:c r="H5" s="3"/>
      <x:c r="I5" s="3"/>
    </x:row>
    <x:row r="6" ht="36" customHeight="1">
      <x:c r="A6" s="8" t="str">
        <x:v>Operation</x:v>
      </x:c>
      <x:c r="B6" s="8" t="str">
        <x:v>Method</x:v>
      </x:c>
      <x:c r="C6" s="8" t="str">
        <x:v>Route</x:v>
      </x:c>
      <x:c r="D6" s="8" t="str">
        <x:v>Capability</x:v>
      </x:c>
      <x:c r="E6" s="8" t="str">
        <x:v>Role templates</x:v>
      </x:c>
      <x:c r="F6" s="8" t="str">
        <x:v>Assurance seconds</x:v>
      </x:c>
      <x:c r="G6" s="8" t="str">
        <x:v>Independent actor</x:v>
      </x:c>
      <x:c r="H6" s="8" t="str">
        <x:v>Purpose required</x:v>
      </x:c>
      <x:c r="I6" s="8" t="str">
        <x:v>Audit required</x:v>
      </x:c>
      <x:c r="J6" s="17" t="str">
        <x:v>Build 0.12 status</x:v>
      </x:c>
    </x:row>
    <x:row r="7" ht="38" customHeight="1">
      <x:c r="A7" s="10" t="str">
        <x:v>list_tenants</x:v>
      </x:c>
      <x:c r="B7" s="10" t="str">
        <x:v>GET</x:v>
      </x:c>
      <x:c r="C7" s="10" t="str">
        <x:v>/v1/tenants/{tenant_id}/tenants</x:v>
      </x:c>
      <x:c r="D7" s="10" t="str">
        <x:v>tenants.read</x:v>
      </x:c>
      <x:c r="E7" s="10" t="str">
        <x:v>OWNER, TENANT_ADMIN</x:v>
      </x:c>
      <x:c r="F7" s="10" t="str">
        <x:v>Ordinary session</x:v>
      </x:c>
      <x:c r="G7" s="10" t="str">
        <x:v>No</x:v>
      </x:c>
      <x:c r="H7" s="10" t="str">
        <x:v>No</x:v>
      </x:c>
      <x:c r="I7" s="10" t="str">
        <x:v>Read policy</x:v>
      </x:c>
      <x:c r="J7" s="17" t="str">
        <x:v>Design only; not an implemented route</x:v>
      </x:c>
    </x:row>
    <x:row r="8" ht="38" customHeight="1">
      <x:c r="A8" s="10" t="str">
        <x:v>create_tenants</x:v>
      </x:c>
      <x:c r="B8" s="10" t="str">
        <x:v>POST</x:v>
      </x:c>
      <x:c r="C8" s="10" t="str">
        <x:v>/v1/tenants/{tenant_id}/tenants</x:v>
      </x:c>
      <x:c r="D8" s="10" t="str">
        <x:v>tenants.draft.create</x:v>
      </x:c>
      <x:c r="E8" s="10" t="str">
        <x:v>OWNER, TENANT_ADMIN</x:v>
      </x:c>
      <x:c r="F8" s="10" t="str">
        <x:v>Ordinary session</x:v>
      </x:c>
      <x:c r="G8" s="10" t="str">
        <x:v>No</x:v>
      </x:c>
      <x:c r="H8" s="10" t="str">
        <x:v>No</x:v>
      </x:c>
      <x:c r="I8" s="10" t="str">
        <x:v>Yes</x:v>
      </x:c>
      <x:c r="J8" s="17" t="str">
        <x:v>Design only; not an implemented route</x:v>
      </x:c>
    </x:row>
    <x:row r="9" ht="38" customHeight="1">
      <x:c r="A9" s="10" t="str">
        <x:v>get_tenants</x:v>
      </x:c>
      <x:c r="B9" s="10" t="str">
        <x:v>GET</x:v>
      </x:c>
      <x:c r="C9" s="10" t="str">
        <x:v>/v1/tenants/{tenant_id}/tenants/{object_id}</x:v>
      </x:c>
      <x:c r="D9" s="10" t="str">
        <x:v>tenants.read</x:v>
      </x:c>
      <x:c r="E9" s="10" t="str">
        <x:v>OWNER, TENANT_ADMIN</x:v>
      </x:c>
      <x:c r="F9" s="10" t="str">
        <x:v>Ordinary session</x:v>
      </x:c>
      <x:c r="G9" s="10" t="str">
        <x:v>No</x:v>
      </x:c>
      <x:c r="H9" s="10" t="str">
        <x:v>No</x:v>
      </x:c>
      <x:c r="I9" s="10" t="str">
        <x:v>Read policy</x:v>
      </x:c>
      <x:c r="J9" s="17" t="str">
        <x:v>Design only; not an implemented route</x:v>
      </x:c>
    </x:row>
    <x:row r="10" ht="38" customHeight="1">
      <x:c r="A10" s="10" t="str">
        <x:v>patch_tenants</x:v>
      </x:c>
      <x:c r="B10" s="10" t="str">
        <x:v>PATCH</x:v>
      </x:c>
      <x:c r="C10" s="10" t="str">
        <x:v>/v1/tenants/{tenant_id}/tenants/{object_id}</x:v>
      </x:c>
      <x:c r="D10" s="10" t="str">
        <x:v>tenants.draft.edit</x:v>
      </x:c>
      <x:c r="E10" s="10" t="str">
        <x:v>OWNER, TENANT_ADMIN</x:v>
      </x:c>
      <x:c r="F10" s="10" t="str">
        <x:v>Ordinary session</x:v>
      </x:c>
      <x:c r="G10" s="10" t="str">
        <x:v>No</x:v>
      </x:c>
      <x:c r="H10" s="10" t="str">
        <x:v>No</x:v>
      </x:c>
      <x:c r="I10" s="10" t="str">
        <x:v>Yes</x:v>
      </x:c>
      <x:c r="J10" s="17" t="str">
        <x:v>Design only; not an implemented route</x:v>
      </x:c>
    </x:row>
    <x:row r="11" ht="38" customHeight="1">
      <x:c r="A11" s="10" t="str">
        <x:v>list_memberships</x:v>
      </x:c>
      <x:c r="B11" s="10" t="str">
        <x:v>GET</x:v>
      </x:c>
      <x:c r="C11" s="10" t="str">
        <x:v>/v1/tenants/{tenant_id}/memberships</x:v>
      </x:c>
      <x:c r="D11" s="10" t="str">
        <x:v>memberships.read</x:v>
      </x:c>
      <x:c r="E11" s="10" t="str">
        <x:v>OWNER, TENANT_ADMIN</x:v>
      </x:c>
      <x:c r="F11" s="10" t="str">
        <x:v>Ordinary session</x:v>
      </x:c>
      <x:c r="G11" s="10" t="str">
        <x:v>No</x:v>
      </x:c>
      <x:c r="H11" s="10" t="str">
        <x:v>No</x:v>
      </x:c>
      <x:c r="I11" s="10" t="str">
        <x:v>Read policy</x:v>
      </x:c>
      <x:c r="J11" s="17" t="str">
        <x:v>Implemented route; subset limits apply</x:v>
      </x:c>
    </x:row>
    <x:row r="12" ht="38" customHeight="1">
      <x:c r="A12" s="10" t="str">
        <x:v>get_memberships</x:v>
      </x:c>
      <x:c r="B12" s="10" t="str">
        <x:v>GET</x:v>
      </x:c>
      <x:c r="C12" s="10" t="str">
        <x:v>/v1/tenants/{tenant_id}/memberships/{object_id}</x:v>
      </x:c>
      <x:c r="D12" s="10" t="str">
        <x:v>memberships.read</x:v>
      </x:c>
      <x:c r="E12" s="10" t="str">
        <x:v>OWNER, TENANT_ADMIN</x:v>
      </x:c>
      <x:c r="F12" s="10" t="str">
        <x:v>Ordinary session</x:v>
      </x:c>
      <x:c r="G12" s="10" t="str">
        <x:v>No</x:v>
      </x:c>
      <x:c r="H12" s="10" t="str">
        <x:v>No</x:v>
      </x:c>
      <x:c r="I12" s="10" t="str">
        <x:v>Read policy</x:v>
      </x:c>
      <x:c r="J12" s="17" t="str">
        <x:v>Implemented route; subset limits apply</x:v>
      </x:c>
    </x:row>
    <x:row r="13" ht="38" customHeight="1">
      <x:c r="A13" s="10" t="str">
        <x:v>list_grants</x:v>
      </x:c>
      <x:c r="B13" s="10" t="str">
        <x:v>GET</x:v>
      </x:c>
      <x:c r="C13" s="10" t="str">
        <x:v>/v1/tenants/{tenant_id}/grants</x:v>
      </x:c>
      <x:c r="D13" s="10" t="str">
        <x:v>grants.read</x:v>
      </x:c>
      <x:c r="E13" s="10" t="str">
        <x:v>OWNER, TENANT_ADMIN</x:v>
      </x:c>
      <x:c r="F13" s="10" t="str">
        <x:v>Ordinary session</x:v>
      </x:c>
      <x:c r="G13" s="10" t="str">
        <x:v>No</x:v>
      </x:c>
      <x:c r="H13" s="10" t="str">
        <x:v>No</x:v>
      </x:c>
      <x:c r="I13" s="10" t="str">
        <x:v>Read policy</x:v>
      </x:c>
      <x:c r="J13" s="17" t="str">
        <x:v>Implemented route; subset limits apply</x:v>
      </x:c>
    </x:row>
    <x:row r="14" ht="38" customHeight="1">
      <x:c r="A14" s="10" t="str">
        <x:v>get_grants</x:v>
      </x:c>
      <x:c r="B14" s="10" t="str">
        <x:v>GET</x:v>
      </x:c>
      <x:c r="C14" s="10" t="str">
        <x:v>/v1/tenants/{tenant_id}/grants/{object_id}</x:v>
      </x:c>
      <x:c r="D14" s="10" t="str">
        <x:v>grants.read</x:v>
      </x:c>
      <x:c r="E14" s="10" t="str">
        <x:v>OWNER, TENANT_ADMIN</x:v>
      </x:c>
      <x:c r="F14" s="10" t="str">
        <x:v>Ordinary session</x:v>
      </x:c>
      <x:c r="G14" s="10" t="str">
        <x:v>No</x:v>
      </x:c>
      <x:c r="H14" s="10" t="str">
        <x:v>No</x:v>
      </x:c>
      <x:c r="I14" s="10" t="str">
        <x:v>Read policy</x:v>
      </x:c>
      <x:c r="J14" s="17" t="str">
        <x:v>Implemented route; subset limits apply</x:v>
      </x:c>
    </x:row>
    <x:row r="15" ht="38" customHeight="1">
      <x:c r="A15" s="10" t="str">
        <x:v>list_organisation_units</x:v>
      </x:c>
      <x:c r="B15" s="10" t="str">
        <x:v>GET</x:v>
      </x:c>
      <x:c r="C15" s="10" t="str">
        <x:v>/v1/tenants/{tenant_id}/organisation-units</x:v>
      </x:c>
      <x:c r="D15" s="10" t="str">
        <x:v>organisation-units.read</x:v>
      </x:c>
      <x:c r="E15" s="10" t="str">
        <x:v>MEL_ADMIN, PROGRAMME_MANAGER, AUTHOR, REVIEWER, ANALYST, DATA_STEWARD, EXTERNAL</x:v>
      </x:c>
      <x:c r="F15" s="10" t="str">
        <x:v>Ordinary session</x:v>
      </x:c>
      <x:c r="G15" s="10" t="str">
        <x:v>No</x:v>
      </x:c>
      <x:c r="H15" s="10" t="str">
        <x:v>No</x:v>
      </x:c>
      <x:c r="I15" s="10" t="str">
        <x:v>Read policy</x:v>
      </x:c>
      <x:c r="J15" s="17" t="str">
        <x:v>Implemented route; subset limits apply</x:v>
      </x:c>
    </x:row>
    <x:row r="16" ht="38" customHeight="1">
      <x:c r="A16" s="10" t="str">
        <x:v>create_organisation_units</x:v>
      </x:c>
      <x:c r="B16" s="10" t="str">
        <x:v>POST</x:v>
      </x:c>
      <x:c r="C16" s="10" t="str">
        <x:v>/v1/tenants/{tenant_id}/organisation-units</x:v>
      </x:c>
      <x:c r="D16" s="10" t="str">
        <x:v>organisation-units.draft.create</x:v>
      </x:c>
      <x:c r="E16" s="10" t="str">
        <x:v>MEL_ADMIN, PROGRAMME_MANAGER</x:v>
      </x:c>
      <x:c r="F16" s="10" t="str">
        <x:v>Ordinary session</x:v>
      </x:c>
      <x:c r="G16" s="10" t="str">
        <x:v>No</x:v>
      </x:c>
      <x:c r="H16" s="10" t="str">
        <x:v>No</x:v>
      </x:c>
      <x:c r="I16" s="10" t="str">
        <x:v>Yes</x:v>
      </x:c>
      <x:c r="J16" s="17" t="str">
        <x:v>Implemented route; subset limits apply</x:v>
      </x:c>
    </x:row>
    <x:row r="17" ht="38" customHeight="1">
      <x:c r="A17" s="10" t="str">
        <x:v>get_organisation_units</x:v>
      </x:c>
      <x:c r="B17" s="10" t="str">
        <x:v>GET</x:v>
      </x:c>
      <x:c r="C17" s="10" t="str">
        <x:v>/v1/tenants/{tenant_id}/organisation-units/{object_id}</x:v>
      </x:c>
      <x:c r="D17" s="10" t="str">
        <x:v>organisation-units.read</x:v>
      </x:c>
      <x:c r="E17" s="10" t="str">
        <x:v>MEL_ADMIN, PROGRAMME_MANAGER, AUTHOR, REVIEWER, ANALYST, DATA_STEWARD, EXTERNAL</x:v>
      </x:c>
      <x:c r="F17" s="10" t="str">
        <x:v>Ordinary session</x:v>
      </x:c>
      <x:c r="G17" s="10" t="str">
        <x:v>No</x:v>
      </x:c>
      <x:c r="H17" s="10" t="str">
        <x:v>No</x:v>
      </x:c>
      <x:c r="I17" s="10" t="str">
        <x:v>Read policy</x:v>
      </x:c>
      <x:c r="J17" s="17" t="str">
        <x:v>Design only; not an implemented route</x:v>
      </x:c>
    </x:row>
    <x:row r="18" ht="38" customHeight="1">
      <x:c r="A18" s="10" t="str">
        <x:v>patch_organisation_units</x:v>
      </x:c>
      <x:c r="B18" s="10" t="str">
        <x:v>PATCH</x:v>
      </x:c>
      <x:c r="C18" s="10" t="str">
        <x:v>/v1/tenants/{tenant_id}/organisation-units/{object_id}</x:v>
      </x:c>
      <x:c r="D18" s="10" t="str">
        <x:v>organisation-units.draft.edit</x:v>
      </x:c>
      <x:c r="E18" s="10" t="str">
        <x:v>MEL_ADMIN, PROGRAMME_MANAGER</x:v>
      </x:c>
      <x:c r="F18" s="10" t="str">
        <x:v>Ordinary session</x:v>
      </x:c>
      <x:c r="G18" s="10" t="str">
        <x:v>No</x:v>
      </x:c>
      <x:c r="H18" s="10" t="str">
        <x:v>No</x:v>
      </x:c>
      <x:c r="I18" s="10" t="str">
        <x:v>Yes</x:v>
      </x:c>
      <x:c r="J18" s="17" t="str">
        <x:v>Design only; not an implemented route</x:v>
      </x:c>
    </x:row>
    <x:row r="19" ht="38" customHeight="1">
      <x:c r="A19" s="10" t="str">
        <x:v>list_programmes</x:v>
      </x:c>
      <x:c r="B19" s="10" t="str">
        <x:v>GET</x:v>
      </x:c>
      <x:c r="C19" s="10" t="str">
        <x:v>/v1/tenants/{tenant_id}/programmes</x:v>
      </x:c>
      <x:c r="D19" s="10" t="str">
        <x:v>programmes.read</x:v>
      </x:c>
      <x:c r="E19" s="10" t="str">
        <x:v>MEL_ADMIN, PROGRAMME_MANAGER, AUTHOR, REVIEWER, ANALYST, DATA_STEWARD, EXTERNAL</x:v>
      </x:c>
      <x:c r="F19" s="10" t="str">
        <x:v>Ordinary session</x:v>
      </x:c>
      <x:c r="G19" s="10" t="str">
        <x:v>No</x:v>
      </x:c>
      <x:c r="H19" s="10" t="str">
        <x:v>No</x:v>
      </x:c>
      <x:c r="I19" s="10" t="str">
        <x:v>Read policy</x:v>
      </x:c>
      <x:c r="J19" s="17" t="str">
        <x:v>Implemented route; subset limits apply</x:v>
      </x:c>
    </x:row>
    <x:row r="20" ht="38" customHeight="1">
      <x:c r="A20" s="10" t="str">
        <x:v>create_programmes</x:v>
      </x:c>
      <x:c r="B20" s="10" t="str">
        <x:v>POST</x:v>
      </x:c>
      <x:c r="C20" s="10" t="str">
        <x:v>/v1/tenants/{tenant_id}/programmes</x:v>
      </x:c>
      <x:c r="D20" s="10" t="str">
        <x:v>programmes.draft.create</x:v>
      </x:c>
      <x:c r="E20" s="10" t="str">
        <x:v>MEL_ADMIN, PROGRAMME_MANAGER</x:v>
      </x:c>
      <x:c r="F20" s="10" t="str">
        <x:v>Ordinary session</x:v>
      </x:c>
      <x:c r="G20" s="10" t="str">
        <x:v>No</x:v>
      </x:c>
      <x:c r="H20" s="10" t="str">
        <x:v>No</x:v>
      </x:c>
      <x:c r="I20" s="10" t="str">
        <x:v>Yes</x:v>
      </x:c>
      <x:c r="J20" s="17" t="str">
        <x:v>Implemented route; subset limits apply</x:v>
      </x:c>
    </x:row>
    <x:row r="21" ht="38" customHeight="1">
      <x:c r="A21" s="10" t="str">
        <x:v>get_programmes</x:v>
      </x:c>
      <x:c r="B21" s="10" t="str">
        <x:v>GET</x:v>
      </x:c>
      <x:c r="C21" s="10" t="str">
        <x:v>/v1/tenants/{tenant_id}/programmes/{object_id}</x:v>
      </x:c>
      <x:c r="D21" s="10" t="str">
        <x:v>programmes.read</x:v>
      </x:c>
      <x:c r="E21" s="10" t="str">
        <x:v>MEL_ADMIN, PROGRAMME_MANAGER, AUTHOR, REVIEWER, ANALYST, DATA_STEWARD, EXTERNAL</x:v>
      </x:c>
      <x:c r="F21" s="10" t="str">
        <x:v>Ordinary session</x:v>
      </x:c>
      <x:c r="G21" s="10" t="str">
        <x:v>No</x:v>
      </x:c>
      <x:c r="H21" s="10" t="str">
        <x:v>No</x:v>
      </x:c>
      <x:c r="I21" s="10" t="str">
        <x:v>Read policy</x:v>
      </x:c>
      <x:c r="J21" s="17" t="str">
        <x:v>Implemented route; subset limits apply</x:v>
      </x:c>
    </x:row>
    <x:row r="22" ht="38" customHeight="1">
      <x:c r="A22" s="10" t="str">
        <x:v>patch_programmes</x:v>
      </x:c>
      <x:c r="B22" s="10" t="str">
        <x:v>PATCH</x:v>
      </x:c>
      <x:c r="C22" s="10" t="str">
        <x:v>/v1/tenants/{tenant_id}/programmes/{object_id}</x:v>
      </x:c>
      <x:c r="D22" s="10" t="str">
        <x:v>programmes.draft.edit</x:v>
      </x:c>
      <x:c r="E22" s="10" t="str">
        <x:v>MEL_ADMIN, PROGRAMME_MANAGER</x:v>
      </x:c>
      <x:c r="F22" s="10" t="str">
        <x:v>Ordinary session</x:v>
      </x:c>
      <x:c r="G22" s="10" t="str">
        <x:v>No</x:v>
      </x:c>
      <x:c r="H22" s="10" t="str">
        <x:v>No</x:v>
      </x:c>
      <x:c r="I22" s="10" t="str">
        <x:v>Yes</x:v>
      </x:c>
      <x:c r="J22" s="17" t="str">
        <x:v>Implemented route; subset limits apply</x:v>
      </x:c>
    </x:row>
    <x:row r="23" ht="38" customHeight="1">
      <x:c r="A23" s="10" t="str">
        <x:v>list_frameworks</x:v>
      </x:c>
      <x:c r="B23" s="10" t="str">
        <x:v>GET</x:v>
      </x:c>
      <x:c r="C23" s="10" t="str">
        <x:v>/v1/tenants/{tenant_id}/frameworks</x:v>
      </x:c>
      <x:c r="D23" s="10" t="str">
        <x:v>frameworks.read</x:v>
      </x:c>
      <x:c r="E23" s="10" t="str">
        <x:v>MEL_ADMIN, PROGRAMME_MANAGER, AUTHOR, REVIEWER, ANALYST, DATA_STEWARD, EXTERNAL</x:v>
      </x:c>
      <x:c r="F23" s="10" t="str">
        <x:v>Ordinary session</x:v>
      </x:c>
      <x:c r="G23" s="10" t="str">
        <x:v>No</x:v>
      </x:c>
      <x:c r="H23" s="10" t="str">
        <x:v>No</x:v>
      </x:c>
      <x:c r="I23" s="10" t="str">
        <x:v>Read policy</x:v>
      </x:c>
      <x:c r="J23" s="17" t="str">
        <x:v>Design only; not an implemented route</x:v>
      </x:c>
    </x:row>
    <x:row r="24" ht="38" customHeight="1">
      <x:c r="A24" s="10" t="str">
        <x:v>create_frameworks</x:v>
      </x:c>
      <x:c r="B24" s="10" t="str">
        <x:v>POST</x:v>
      </x:c>
      <x:c r="C24" s="10" t="str">
        <x:v>/v1/tenants/{tenant_id}/frameworks</x:v>
      </x:c>
      <x:c r="D24" s="10" t="str">
        <x:v>frameworks.draft.create</x:v>
      </x:c>
      <x:c r="E24" s="10" t="str">
        <x:v>MEL_ADMIN, AUTHOR</x:v>
      </x:c>
      <x:c r="F24" s="10" t="str">
        <x:v>Ordinary session</x:v>
      </x:c>
      <x:c r="G24" s="10" t="str">
        <x:v>No</x:v>
      </x:c>
      <x:c r="H24" s="10" t="str">
        <x:v>No</x:v>
      </x:c>
      <x:c r="I24" s="10" t="str">
        <x:v>Yes</x:v>
      </x:c>
      <x:c r="J24" s="17" t="str">
        <x:v>Design only; not an implemented route</x:v>
      </x:c>
    </x:row>
    <x:row r="25" ht="38" customHeight="1">
      <x:c r="A25" s="10" t="str">
        <x:v>get_frameworks</x:v>
      </x:c>
      <x:c r="B25" s="10" t="str">
        <x:v>GET</x:v>
      </x:c>
      <x:c r="C25" s="10" t="str">
        <x:v>/v1/tenants/{tenant_id}/frameworks/{object_id}</x:v>
      </x:c>
      <x:c r="D25" s="10" t="str">
        <x:v>frameworks.read</x:v>
      </x:c>
      <x:c r="E25" s="10" t="str">
        <x:v>MEL_ADMIN, PROGRAMME_MANAGER, AUTHOR, REVIEWER, ANALYST, DATA_STEWARD, EXTERNAL</x:v>
      </x:c>
      <x:c r="F25" s="10" t="str">
        <x:v>Ordinary session</x:v>
      </x:c>
      <x:c r="G25" s="10" t="str">
        <x:v>No</x:v>
      </x:c>
      <x:c r="H25" s="10" t="str">
        <x:v>No</x:v>
      </x:c>
      <x:c r="I25" s="10" t="str">
        <x:v>Read policy</x:v>
      </x:c>
      <x:c r="J25" s="17" t="str">
        <x:v>Design only; not an implemented route</x:v>
      </x:c>
    </x:row>
    <x:row r="26" ht="38" customHeight="1">
      <x:c r="A26" s="10" t="str">
        <x:v>patch_frameworks</x:v>
      </x:c>
      <x:c r="B26" s="10" t="str">
        <x:v>PATCH</x:v>
      </x:c>
      <x:c r="C26" s="10" t="str">
        <x:v>/v1/tenants/{tenant_id}/frameworks/{object_id}</x:v>
      </x:c>
      <x:c r="D26" s="10" t="str">
        <x:v>frameworks.draft.edit</x:v>
      </x:c>
      <x:c r="E26" s="10" t="str">
        <x:v>MEL_ADMIN, AUTHOR</x:v>
      </x:c>
      <x:c r="F26" s="10" t="str">
        <x:v>Ordinary session</x:v>
      </x:c>
      <x:c r="G26" s="10" t="str">
        <x:v>No</x:v>
      </x:c>
      <x:c r="H26" s="10" t="str">
        <x:v>No</x:v>
      </x:c>
      <x:c r="I26" s="10" t="str">
        <x:v>Yes</x:v>
      </x:c>
      <x:c r="J26" s="17" t="str">
        <x:v>Design only; not an implemented route</x:v>
      </x:c>
    </x:row>
    <x:row r="27" ht="38" customHeight="1">
      <x:c r="A27" s="10" t="str">
        <x:v>list_indicator_definitions</x:v>
      </x:c>
      <x:c r="B27" s="10" t="str">
        <x:v>GET</x:v>
      </x:c>
      <x:c r="C27" s="10" t="str">
        <x:v>/v1/tenants/{tenant_id}/indicator-definitions</x:v>
      </x:c>
      <x:c r="D27" s="10" t="str">
        <x:v>indicator-definitions.read</x:v>
      </x:c>
      <x:c r="E27" s="10" t="str">
        <x:v>MEL_ADMIN, PROGRAMME_MANAGER, AUTHOR, REVIEWER, ANALYST, DATA_STEWARD, EXTERNAL</x:v>
      </x:c>
      <x:c r="F27" s="10" t="str">
        <x:v>Ordinary session</x:v>
      </x:c>
      <x:c r="G27" s="10" t="str">
        <x:v>No</x:v>
      </x:c>
      <x:c r="H27" s="10" t="str">
        <x:v>No</x:v>
      </x:c>
      <x:c r="I27" s="10" t="str">
        <x:v>Read policy</x:v>
      </x:c>
      <x:c r="J27" s="17" t="str">
        <x:v>Implemented route; subset limits apply</x:v>
      </x:c>
    </x:row>
    <x:row r="28" ht="38" customHeight="1">
      <x:c r="A28" s="10" t="str">
        <x:v>create_indicator_definitions</x:v>
      </x:c>
      <x:c r="B28" s="10" t="str">
        <x:v>POST</x:v>
      </x:c>
      <x:c r="C28" s="10" t="str">
        <x:v>/v1/tenants/{tenant_id}/indicator-definitions</x:v>
      </x:c>
      <x:c r="D28" s="10" t="str">
        <x:v>indicator-definitions.draft.create</x:v>
      </x:c>
      <x:c r="E28" s="10" t="str">
        <x:v>MEL_ADMIN, AUTHOR</x:v>
      </x:c>
      <x:c r="F28" s="10" t="str">
        <x:v>Ordinary session</x:v>
      </x:c>
      <x:c r="G28" s="10" t="str">
        <x:v>No</x:v>
      </x:c>
      <x:c r="H28" s="10" t="str">
        <x:v>No</x:v>
      </x:c>
      <x:c r="I28" s="10" t="str">
        <x:v>Yes</x:v>
      </x:c>
      <x:c r="J28" s="17" t="str">
        <x:v>Implemented route; subset limits apply</x:v>
      </x:c>
    </x:row>
    <x:row r="29" ht="38" customHeight="1">
      <x:c r="A29" s="10" t="str">
        <x:v>get_indicator_definitions</x:v>
      </x:c>
      <x:c r="B29" s="10" t="str">
        <x:v>GET</x:v>
      </x:c>
      <x:c r="C29" s="10" t="str">
        <x:v>/v1/tenants/{tenant_id}/indicator-definitions/{object_id}</x:v>
      </x:c>
      <x:c r="D29" s="10" t="str">
        <x:v>indicator-definitions.read</x:v>
      </x:c>
      <x:c r="E29" s="10" t="str">
        <x:v>MEL_ADMIN, PROGRAMME_MANAGER, AUTHOR, REVIEWER, ANALYST, DATA_STEWARD, EXTERNAL</x:v>
      </x:c>
      <x:c r="F29" s="10" t="str">
        <x:v>Ordinary session</x:v>
      </x:c>
      <x:c r="G29" s="10" t="str">
        <x:v>No</x:v>
      </x:c>
      <x:c r="H29" s="10" t="str">
        <x:v>No</x:v>
      </x:c>
      <x:c r="I29" s="10" t="str">
        <x:v>Read policy</x:v>
      </x:c>
      <x:c r="J29" s="17" t="str">
        <x:v>Implemented route; subset limits apply</x:v>
      </x:c>
    </x:row>
    <x:row r="30" ht="38" customHeight="1">
      <x:c r="A30" s="10" t="str">
        <x:v>patch_indicator_definitions</x:v>
      </x:c>
      <x:c r="B30" s="10" t="str">
        <x:v>PATCH</x:v>
      </x:c>
      <x:c r="C30" s="10" t="str">
        <x:v>/v1/tenants/{tenant_id}/indicator-definitions/{object_id}</x:v>
      </x:c>
      <x:c r="D30" s="10" t="str">
        <x:v>indicator-definitions.draft.edit</x:v>
      </x:c>
      <x:c r="E30" s="10" t="str">
        <x:v>MEL_ADMIN, AUTHOR</x:v>
      </x:c>
      <x:c r="F30" s="10" t="str">
        <x:v>Ordinary session</x:v>
      </x:c>
      <x:c r="G30" s="10" t="str">
        <x:v>No</x:v>
      </x:c>
      <x:c r="H30" s="10" t="str">
        <x:v>No</x:v>
      </x:c>
      <x:c r="I30" s="10" t="str">
        <x:v>Yes</x:v>
      </x:c>
      <x:c r="J30" s="17" t="str">
        <x:v>Implemented route; subset limits apply</x:v>
      </x:c>
    </x:row>
    <x:row r="31" ht="38" customHeight="1">
      <x:c r="A31" s="10" t="str">
        <x:v>list_indicator_instances</x:v>
      </x:c>
      <x:c r="B31" s="10" t="str">
        <x:v>GET</x:v>
      </x:c>
      <x:c r="C31" s="10" t="str">
        <x:v>/v1/tenants/{tenant_id}/indicator-instances</x:v>
      </x:c>
      <x:c r="D31" s="10" t="str">
        <x:v>indicator-instances.read</x:v>
      </x:c>
      <x:c r="E31" s="10" t="str">
        <x:v>MEL_ADMIN, PROGRAMME_MANAGER, AUTHOR, REVIEWER, ANALYST, DATA_STEWARD, EXTERNAL</x:v>
      </x:c>
      <x:c r="F31" s="10" t="str">
        <x:v>Ordinary session</x:v>
      </x:c>
      <x:c r="G31" s="10" t="str">
        <x:v>No</x:v>
      </x:c>
      <x:c r="H31" s="10" t="str">
        <x:v>No</x:v>
      </x:c>
      <x:c r="I31" s="10" t="str">
        <x:v>Read policy</x:v>
      </x:c>
      <x:c r="J31" s="17" t="str">
        <x:v>Implemented route; subset limits apply</x:v>
      </x:c>
    </x:row>
    <x:row r="32" ht="38" customHeight="1">
      <x:c r="A32" s="10" t="str">
        <x:v>create_indicator_instances</x:v>
      </x:c>
      <x:c r="B32" s="10" t="str">
        <x:v>POST</x:v>
      </x:c>
      <x:c r="C32" s="10" t="str">
        <x:v>/v1/tenants/{tenant_id}/indicator-instances</x:v>
      </x:c>
      <x:c r="D32" s="10" t="str">
        <x:v>indicator-instances.draft.create</x:v>
      </x:c>
      <x:c r="E32" s="10" t="str">
        <x:v>MEL_ADMIN, AUTHOR</x:v>
      </x:c>
      <x:c r="F32" s="10" t="str">
        <x:v>Ordinary session</x:v>
      </x:c>
      <x:c r="G32" s="10" t="str">
        <x:v>No</x:v>
      </x:c>
      <x:c r="H32" s="10" t="str">
        <x:v>No</x:v>
      </x:c>
      <x:c r="I32" s="10" t="str">
        <x:v>Yes</x:v>
      </x:c>
      <x:c r="J32" s="17" t="str">
        <x:v>Implemented route; subset limits apply</x:v>
      </x:c>
    </x:row>
    <x:row r="33" ht="38" customHeight="1">
      <x:c r="A33" s="10" t="str">
        <x:v>get_indicator_instances</x:v>
      </x:c>
      <x:c r="B33" s="10" t="str">
        <x:v>GET</x:v>
      </x:c>
      <x:c r="C33" s="10" t="str">
        <x:v>/v1/tenants/{tenant_id}/indicator-instances/{object_id}</x:v>
      </x:c>
      <x:c r="D33" s="10" t="str">
        <x:v>indicator-instances.read</x:v>
      </x:c>
      <x:c r="E33" s="10" t="str">
        <x:v>MEL_ADMIN, PROGRAMME_MANAGER, AUTHOR, REVIEWER, ANALYST, DATA_STEWARD, EXTERNAL</x:v>
      </x:c>
      <x:c r="F33" s="10" t="str">
        <x:v>Ordinary session</x:v>
      </x:c>
      <x:c r="G33" s="10" t="str">
        <x:v>No</x:v>
      </x:c>
      <x:c r="H33" s="10" t="str">
        <x:v>No</x:v>
      </x:c>
      <x:c r="I33" s="10" t="str">
        <x:v>Read policy</x:v>
      </x:c>
      <x:c r="J33" s="17" t="str">
        <x:v>Implemented route; subset limits apply</x:v>
      </x:c>
    </x:row>
    <x:row r="34" ht="38" customHeight="1">
      <x:c r="A34" s="10" t="str">
        <x:v>patch_indicator_instances</x:v>
      </x:c>
      <x:c r="B34" s="10" t="str">
        <x:v>PATCH</x:v>
      </x:c>
      <x:c r="C34" s="10" t="str">
        <x:v>/v1/tenants/{tenant_id}/indicator-instances/{object_id}</x:v>
      </x:c>
      <x:c r="D34" s="10" t="str">
        <x:v>indicator-instances.draft.edit</x:v>
      </x:c>
      <x:c r="E34" s="10" t="str">
        <x:v>MEL_ADMIN, AUTHOR</x:v>
      </x:c>
      <x:c r="F34" s="10" t="str">
        <x:v>Ordinary session</x:v>
      </x:c>
      <x:c r="G34" s="10" t="str">
        <x:v>No</x:v>
      </x:c>
      <x:c r="H34" s="10" t="str">
        <x:v>No</x:v>
      </x:c>
      <x:c r="I34" s="10" t="str">
        <x:v>Yes</x:v>
      </x:c>
      <x:c r="J34" s="17" t="str">
        <x:v>Implemented route; subset limits apply</x:v>
      </x:c>
    </x:row>
    <x:row r="35" ht="38" customHeight="1">
      <x:c r="A35" s="10" t="str">
        <x:v>list_targets</x:v>
      </x:c>
      <x:c r="B35" s="10" t="str">
        <x:v>GET</x:v>
      </x:c>
      <x:c r="C35" s="10" t="str">
        <x:v>/v1/tenants/{tenant_id}/targets</x:v>
      </x:c>
      <x:c r="D35" s="10" t="str">
        <x:v>targets.read</x:v>
      </x:c>
      <x:c r="E35" s="10" t="str">
        <x:v>MEL_ADMIN, PROGRAMME_MANAGER, AUTHOR, REVIEWER, ANALYST, DATA_STEWARD, EXTERNAL</x:v>
      </x:c>
      <x:c r="F35" s="10" t="str">
        <x:v>Ordinary session</x:v>
      </x:c>
      <x:c r="G35" s="10" t="str">
        <x:v>No</x:v>
      </x:c>
      <x:c r="H35" s="10" t="str">
        <x:v>No</x:v>
      </x:c>
      <x:c r="I35" s="10" t="str">
        <x:v>Read policy</x:v>
      </x:c>
      <x:c r="J35" s="17" t="str">
        <x:v>Design only; not an implemented route</x:v>
      </x:c>
    </x:row>
    <x:row r="36" ht="38" customHeight="1">
      <x:c r="A36" s="10" t="str">
        <x:v>create_targets</x:v>
      </x:c>
      <x:c r="B36" s="10" t="str">
        <x:v>POST</x:v>
      </x:c>
      <x:c r="C36" s="10" t="str">
        <x:v>/v1/tenants/{tenant_id}/targets</x:v>
      </x:c>
      <x:c r="D36" s="10" t="str">
        <x:v>targets.draft.create</x:v>
      </x:c>
      <x:c r="E36" s="10" t="str">
        <x:v>MEL_ADMIN, AUTHOR</x:v>
      </x:c>
      <x:c r="F36" s="10" t="str">
        <x:v>Ordinary session</x:v>
      </x:c>
      <x:c r="G36" s="10" t="str">
        <x:v>No</x:v>
      </x:c>
      <x:c r="H36" s="10" t="str">
        <x:v>No</x:v>
      </x:c>
      <x:c r="I36" s="10" t="str">
        <x:v>Yes</x:v>
      </x:c>
      <x:c r="J36" s="17" t="str">
        <x:v>Design only; not an implemented route</x:v>
      </x:c>
    </x:row>
    <x:row r="37" ht="38" customHeight="1">
      <x:c r="A37" s="10" t="str">
        <x:v>get_targets</x:v>
      </x:c>
      <x:c r="B37" s="10" t="str">
        <x:v>GET</x:v>
      </x:c>
      <x:c r="C37" s="10" t="str">
        <x:v>/v1/tenants/{tenant_id}/targets/{object_id}</x:v>
      </x:c>
      <x:c r="D37" s="10" t="str">
        <x:v>targets.read</x:v>
      </x:c>
      <x:c r="E37" s="10" t="str">
        <x:v>MEL_ADMIN, PROGRAMME_MANAGER, AUTHOR, REVIEWER, ANALYST, DATA_STEWARD, EXTERNAL</x:v>
      </x:c>
      <x:c r="F37" s="10" t="str">
        <x:v>Ordinary session</x:v>
      </x:c>
      <x:c r="G37" s="10" t="str">
        <x:v>No</x:v>
      </x:c>
      <x:c r="H37" s="10" t="str">
        <x:v>No</x:v>
      </x:c>
      <x:c r="I37" s="10" t="str">
        <x:v>Read policy</x:v>
      </x:c>
      <x:c r="J37" s="17" t="str">
        <x:v>Design only; not an implemented route</x:v>
      </x:c>
    </x:row>
    <x:row r="38" ht="38" customHeight="1">
      <x:c r="A38" s="10" t="str">
        <x:v>patch_targets</x:v>
      </x:c>
      <x:c r="B38" s="10" t="str">
        <x:v>PATCH</x:v>
      </x:c>
      <x:c r="C38" s="10" t="str">
        <x:v>/v1/tenants/{tenant_id}/targets/{object_id}</x:v>
      </x:c>
      <x:c r="D38" s="10" t="str">
        <x:v>targets.draft.edit</x:v>
      </x:c>
      <x:c r="E38" s="10" t="str">
        <x:v>MEL_ADMIN, AUTHOR</x:v>
      </x:c>
      <x:c r="F38" s="10" t="str">
        <x:v>Ordinary session</x:v>
      </x:c>
      <x:c r="G38" s="10" t="str">
        <x:v>No</x:v>
      </x:c>
      <x:c r="H38" s="10" t="str">
        <x:v>No</x:v>
      </x:c>
      <x:c r="I38" s="10" t="str">
        <x:v>Yes</x:v>
      </x:c>
      <x:c r="J38" s="17" t="str">
        <x:v>Design only; not an implemented route</x:v>
      </x:c>
    </x:row>
    <x:row r="39" ht="38" customHeight="1">
      <x:c r="A39" s="10" t="str">
        <x:v>list_dimensions</x:v>
      </x:c>
      <x:c r="B39" s="10" t="str">
        <x:v>GET</x:v>
      </x:c>
      <x:c r="C39" s="10" t="str">
        <x:v>/v1/tenants/{tenant_id}/dimensions</x:v>
      </x:c>
      <x:c r="D39" s="10" t="str">
        <x:v>dimensions.read</x:v>
      </x:c>
      <x:c r="E39" s="10" t="str">
        <x:v>MEL_ADMIN, PROGRAMME_MANAGER, AUTHOR, REVIEWER, ANALYST, DATA_STEWARD, EXTERNAL</x:v>
      </x:c>
      <x:c r="F39" s="10" t="str">
        <x:v>Ordinary session</x:v>
      </x:c>
      <x:c r="G39" s="10" t="str">
        <x:v>No</x:v>
      </x:c>
      <x:c r="H39" s="10" t="str">
        <x:v>No</x:v>
      </x:c>
      <x:c r="I39" s="10" t="str">
        <x:v>Read policy</x:v>
      </x:c>
      <x:c r="J39" s="17" t="str">
        <x:v>Design only; not an implemented route</x:v>
      </x:c>
    </x:row>
    <x:row r="40" ht="38" customHeight="1">
      <x:c r="A40" s="10" t="str">
        <x:v>create_dimensions</x:v>
      </x:c>
      <x:c r="B40" s="10" t="str">
        <x:v>POST</x:v>
      </x:c>
      <x:c r="C40" s="10" t="str">
        <x:v>/v1/tenants/{tenant_id}/dimensions</x:v>
      </x:c>
      <x:c r="D40" s="10" t="str">
        <x:v>dimensions.draft.create</x:v>
      </x:c>
      <x:c r="E40" s="10" t="str">
        <x:v>MEL_ADMIN</x:v>
      </x:c>
      <x:c r="F40" s="10" t="str">
        <x:v>Ordinary session</x:v>
      </x:c>
      <x:c r="G40" s="10" t="str">
        <x:v>No</x:v>
      </x:c>
      <x:c r="H40" s="10" t="str">
        <x:v>No</x:v>
      </x:c>
      <x:c r="I40" s="10" t="str">
        <x:v>Yes</x:v>
      </x:c>
      <x:c r="J40" s="17" t="str">
        <x:v>Design only; not an implemented route</x:v>
      </x:c>
    </x:row>
    <x:row r="41" ht="38" customHeight="1">
      <x:c r="A41" s="10" t="str">
        <x:v>get_dimensions</x:v>
      </x:c>
      <x:c r="B41" s="10" t="str">
        <x:v>GET</x:v>
      </x:c>
      <x:c r="C41" s="10" t="str">
        <x:v>/v1/tenants/{tenant_id}/dimensions/{object_id}</x:v>
      </x:c>
      <x:c r="D41" s="10" t="str">
        <x:v>dimensions.read</x:v>
      </x:c>
      <x:c r="E41" s="10" t="str">
        <x:v>MEL_ADMIN, PROGRAMME_MANAGER, AUTHOR, REVIEWER, ANALYST, DATA_STEWARD, EXTERNAL</x:v>
      </x:c>
      <x:c r="F41" s="10" t="str">
        <x:v>Ordinary session</x:v>
      </x:c>
      <x:c r="G41" s="10" t="str">
        <x:v>No</x:v>
      </x:c>
      <x:c r="H41" s="10" t="str">
        <x:v>No</x:v>
      </x:c>
      <x:c r="I41" s="10" t="str">
        <x:v>Read policy</x:v>
      </x:c>
      <x:c r="J41" s="17" t="str">
        <x:v>Design only; not an implemented route</x:v>
      </x:c>
    </x:row>
    <x:row r="42" ht="38" customHeight="1">
      <x:c r="A42" s="10" t="str">
        <x:v>patch_dimensions</x:v>
      </x:c>
      <x:c r="B42" s="10" t="str">
        <x:v>PATCH</x:v>
      </x:c>
      <x:c r="C42" s="10" t="str">
        <x:v>/v1/tenants/{tenant_id}/dimensions/{object_id}</x:v>
      </x:c>
      <x:c r="D42" s="10" t="str">
        <x:v>dimensions.draft.edit</x:v>
      </x:c>
      <x:c r="E42" s="10" t="str">
        <x:v>MEL_ADMIN</x:v>
      </x:c>
      <x:c r="F42" s="10" t="str">
        <x:v>Ordinary session</x:v>
      </x:c>
      <x:c r="G42" s="10" t="str">
        <x:v>No</x:v>
      </x:c>
      <x:c r="H42" s="10" t="str">
        <x:v>No</x:v>
      </x:c>
      <x:c r="I42" s="10" t="str">
        <x:v>Yes</x:v>
      </x:c>
      <x:c r="J42" s="17" t="str">
        <x:v>Design only; not an implemented route</x:v>
      </x:c>
    </x:row>
    <x:row r="43" ht="38" customHeight="1">
      <x:c r="A43" s="10" t="str">
        <x:v>list_periods</x:v>
      </x:c>
      <x:c r="B43" s="10" t="str">
        <x:v>GET</x:v>
      </x:c>
      <x:c r="C43" s="10" t="str">
        <x:v>/v1/tenants/{tenant_id}/periods</x:v>
      </x:c>
      <x:c r="D43" s="10" t="str">
        <x:v>periods.read</x:v>
      </x:c>
      <x:c r="E43" s="10" t="str">
        <x:v>MEL_ADMIN, PROGRAMME_MANAGER, AUTHOR, REVIEWER, ANALYST, DATA_STEWARD, EXTERNAL</x:v>
      </x:c>
      <x:c r="F43" s="10" t="str">
        <x:v>Ordinary session</x:v>
      </x:c>
      <x:c r="G43" s="10" t="str">
        <x:v>No</x:v>
      </x:c>
      <x:c r="H43" s="10" t="str">
        <x:v>No</x:v>
      </x:c>
      <x:c r="I43" s="10" t="str">
        <x:v>Read policy</x:v>
      </x:c>
      <x:c r="J43" s="17" t="str">
        <x:v>Implemented route; subset limits apply</x:v>
      </x:c>
    </x:row>
    <x:row r="44" ht="38" customHeight="1">
      <x:c r="A44" s="10" t="str">
        <x:v>create_periods</x:v>
      </x:c>
      <x:c r="B44" s="10" t="str">
        <x:v>POST</x:v>
      </x:c>
      <x:c r="C44" s="10" t="str">
        <x:v>/v1/tenants/{tenant_id}/periods</x:v>
      </x:c>
      <x:c r="D44" s="10" t="str">
        <x:v>periods.draft.create</x:v>
      </x:c>
      <x:c r="E44" s="10" t="str">
        <x:v>MEL_ADMIN</x:v>
      </x:c>
      <x:c r="F44" s="10" t="str">
        <x:v>Ordinary session</x:v>
      </x:c>
      <x:c r="G44" s="10" t="str">
        <x:v>No</x:v>
      </x:c>
      <x:c r="H44" s="10" t="str">
        <x:v>No</x:v>
      </x:c>
      <x:c r="I44" s="10" t="str">
        <x:v>Yes</x:v>
      </x:c>
      <x:c r="J44" s="17" t="str">
        <x:v>Design only; not an implemented route</x:v>
      </x:c>
    </x:row>
    <x:row r="45" ht="38" customHeight="1">
      <x:c r="A45" s="10" t="str">
        <x:v>get_periods</x:v>
      </x:c>
      <x:c r="B45" s="10" t="str">
        <x:v>GET</x:v>
      </x:c>
      <x:c r="C45" s="10" t="str">
        <x:v>/v1/tenants/{tenant_id}/periods/{object_id}</x:v>
      </x:c>
      <x:c r="D45" s="10" t="str">
        <x:v>periods.read</x:v>
      </x:c>
      <x:c r="E45" s="10" t="str">
        <x:v>MEL_ADMIN, PROGRAMME_MANAGER, AUTHOR, REVIEWER, ANALYST, DATA_STEWARD, EXTERNAL</x:v>
      </x:c>
      <x:c r="F45" s="10" t="str">
        <x:v>Ordinary session</x:v>
      </x:c>
      <x:c r="G45" s="10" t="str">
        <x:v>No</x:v>
      </x:c>
      <x:c r="H45" s="10" t="str">
        <x:v>No</x:v>
      </x:c>
      <x:c r="I45" s="10" t="str">
        <x:v>Read policy</x:v>
      </x:c>
      <x:c r="J45" s="17" t="str">
        <x:v>Implemented route; subset limits apply</x:v>
      </x:c>
    </x:row>
    <x:row r="46" ht="38" customHeight="1">
      <x:c r="A46" s="10" t="str">
        <x:v>patch_periods</x:v>
      </x:c>
      <x:c r="B46" s="10" t="str">
        <x:v>PATCH</x:v>
      </x:c>
      <x:c r="C46" s="10" t="str">
        <x:v>/v1/tenants/{tenant_id}/periods/{object_id}</x:v>
      </x:c>
      <x:c r="D46" s="10" t="str">
        <x:v>periods.draft.edit</x:v>
      </x:c>
      <x:c r="E46" s="10" t="str">
        <x:v>MEL_ADMIN</x:v>
      </x:c>
      <x:c r="F46" s="10" t="str">
        <x:v>Ordinary session</x:v>
      </x:c>
      <x:c r="G46" s="10" t="str">
        <x:v>No</x:v>
      </x:c>
      <x:c r="H46" s="10" t="str">
        <x:v>No</x:v>
      </x:c>
      <x:c r="I46" s="10" t="str">
        <x:v>Yes</x:v>
      </x:c>
      <x:c r="J46" s="17" t="str">
        <x:v>Design only; not an implemented route</x:v>
      </x:c>
    </x:row>
    <x:row r="47" ht="38" customHeight="1">
      <x:c r="A47" s="10" t="str">
        <x:v>list_observations</x:v>
      </x:c>
      <x:c r="B47" s="10" t="str">
        <x:v>GET</x:v>
      </x:c>
      <x:c r="C47" s="10" t="str">
        <x:v>/v1/tenants/{tenant_id}/observations</x:v>
      </x:c>
      <x:c r="D47" s="10" t="str">
        <x:v>observations.read</x:v>
      </x:c>
      <x:c r="E47" s="10" t="str">
        <x:v>MEL_ADMIN, PROGRAMME_MANAGER, AUTHOR, REVIEWER, ANALYST, DATA_STEWARD, EXTERNAL</x:v>
      </x:c>
      <x:c r="F47" s="10" t="str">
        <x:v>Ordinary session</x:v>
      </x:c>
      <x:c r="G47" s="10" t="str">
        <x:v>No</x:v>
      </x:c>
      <x:c r="H47" s="10" t="str">
        <x:v>No</x:v>
      </x:c>
      <x:c r="I47" s="10" t="str">
        <x:v>Read policy</x:v>
      </x:c>
      <x:c r="J47" s="17" t="str">
        <x:v>Implemented route; subset limits apply</x:v>
      </x:c>
    </x:row>
    <x:row r="48" ht="38" customHeight="1">
      <x:c r="A48" s="10" t="str">
        <x:v>create_observations</x:v>
      </x:c>
      <x:c r="B48" s="10" t="str">
        <x:v>POST</x:v>
      </x:c>
      <x:c r="C48" s="10" t="str">
        <x:v>/v1/tenants/{tenant_id}/observations</x:v>
      </x:c>
      <x:c r="D48" s="10" t="str">
        <x:v>observations.draft.create</x:v>
      </x:c>
      <x:c r="E48" s="10" t="str">
        <x:v>AUTHOR, DATA_STEWARD</x:v>
      </x:c>
      <x:c r="F48" s="10" t="str">
        <x:v>Ordinary session</x:v>
      </x:c>
      <x:c r="G48" s="10" t="str">
        <x:v>No</x:v>
      </x:c>
      <x:c r="H48" s="10" t="str">
        <x:v>No</x:v>
      </x:c>
      <x:c r="I48" s="10" t="str">
        <x:v>Yes</x:v>
      </x:c>
      <x:c r="J48" s="17" t="str">
        <x:v>Implemented route; subset limits apply</x:v>
      </x:c>
    </x:row>
    <x:row r="49" ht="38" customHeight="1">
      <x:c r="A49" s="10" t="str">
        <x:v>get_observations</x:v>
      </x:c>
      <x:c r="B49" s="10" t="str">
        <x:v>GET</x:v>
      </x:c>
      <x:c r="C49" s="10" t="str">
        <x:v>/v1/tenants/{tenant_id}/observations/{object_id}</x:v>
      </x:c>
      <x:c r="D49" s="10" t="str">
        <x:v>observations.read</x:v>
      </x:c>
      <x:c r="E49" s="10" t="str">
        <x:v>MEL_ADMIN, PROGRAMME_MANAGER, AUTHOR, REVIEWER, ANALYST, DATA_STEWARD, EXTERNAL</x:v>
      </x:c>
      <x:c r="F49" s="10" t="str">
        <x:v>Ordinary session</x:v>
      </x:c>
      <x:c r="G49" s="10" t="str">
        <x:v>No</x:v>
      </x:c>
      <x:c r="H49" s="10" t="str">
        <x:v>No</x:v>
      </x:c>
      <x:c r="I49" s="10" t="str">
        <x:v>Read policy</x:v>
      </x:c>
      <x:c r="J49" s="17" t="str">
        <x:v>Implemented route; subset limits apply</x:v>
      </x:c>
    </x:row>
    <x:row r="50" ht="38" customHeight="1">
      <x:c r="A50" s="10" t="str">
        <x:v>patch_observations</x:v>
      </x:c>
      <x:c r="B50" s="10" t="str">
        <x:v>PATCH</x:v>
      </x:c>
      <x:c r="C50" s="10" t="str">
        <x:v>/v1/tenants/{tenant_id}/observations/{object_id}</x:v>
      </x:c>
      <x:c r="D50" s="10" t="str">
        <x:v>observations.draft.edit</x:v>
      </x:c>
      <x:c r="E50" s="10" t="str">
        <x:v>AUTHOR, DATA_STEWARD</x:v>
      </x:c>
      <x:c r="F50" s="10" t="str">
        <x:v>Ordinary session</x:v>
      </x:c>
      <x:c r="G50" s="10" t="str">
        <x:v>No</x:v>
      </x:c>
      <x:c r="H50" s="10" t="str">
        <x:v>No</x:v>
      </x:c>
      <x:c r="I50" s="10" t="str">
        <x:v>Yes</x:v>
      </x:c>
      <x:c r="J50" s="17" t="str">
        <x:v>Implemented route; subset limits apply</x:v>
      </x:c>
    </x:row>
    <x:row r="51" ht="38" customHeight="1">
      <x:c r="A51" s="10" t="str">
        <x:v>list_calculated_results</x:v>
      </x:c>
      <x:c r="B51" s="10" t="str">
        <x:v>GET</x:v>
      </x:c>
      <x:c r="C51" s="10" t="str">
        <x:v>/v1/tenants/{tenant_id}/calculated-results</x:v>
      </x:c>
      <x:c r="D51" s="10" t="str">
        <x:v>calculated-results.read</x:v>
      </x:c>
      <x:c r="E51" s="10" t="str">
        <x:v>MEL_ADMIN, PROGRAMME_MANAGER, AUTHOR, REVIEWER, ANALYST, DATA_STEWARD, EXTERNAL</x:v>
      </x:c>
      <x:c r="F51" s="10" t="str">
        <x:v>Ordinary session</x:v>
      </x:c>
      <x:c r="G51" s="10" t="str">
        <x:v>No</x:v>
      </x:c>
      <x:c r="H51" s="10" t="str">
        <x:v>No</x:v>
      </x:c>
      <x:c r="I51" s="10" t="str">
        <x:v>Read policy</x:v>
      </x:c>
      <x:c r="J51" s="17" t="str">
        <x:v>Implemented route; subset limits apply</x:v>
      </x:c>
    </x:row>
    <x:row r="52" ht="38" customHeight="1">
      <x:c r="A52" s="10" t="str">
        <x:v>get_calculated_results</x:v>
      </x:c>
      <x:c r="B52" s="10" t="str">
        <x:v>GET</x:v>
      </x:c>
      <x:c r="C52" s="10" t="str">
        <x:v>/v1/tenants/{tenant_id}/calculated-results/{object_id}</x:v>
      </x:c>
      <x:c r="D52" s="10" t="str">
        <x:v>calculated-results.read</x:v>
      </x:c>
      <x:c r="E52" s="10" t="str">
        <x:v>MEL_ADMIN, PROGRAMME_MANAGER, AUTHOR, REVIEWER, ANALYST, DATA_STEWARD, EXTERNAL</x:v>
      </x:c>
      <x:c r="F52" s="10" t="str">
        <x:v>Ordinary session</x:v>
      </x:c>
      <x:c r="G52" s="10" t="str">
        <x:v>No</x:v>
      </x:c>
      <x:c r="H52" s="10" t="str">
        <x:v>No</x:v>
      </x:c>
      <x:c r="I52" s="10" t="str">
        <x:v>Read policy</x:v>
      </x:c>
      <x:c r="J52" s="17" t="str">
        <x:v>Implemented route; subset limits apply</x:v>
      </x:c>
    </x:row>
    <x:row r="53" ht="38" customHeight="1">
      <x:c r="A53" s="10" t="str">
        <x:v>list_forms</x:v>
      </x:c>
      <x:c r="B53" s="10" t="str">
        <x:v>GET</x:v>
      </x:c>
      <x:c r="C53" s="10" t="str">
        <x:v>/v1/tenants/{tenant_id}/forms</x:v>
      </x:c>
      <x:c r="D53" s="10" t="str">
        <x:v>forms.read</x:v>
      </x:c>
      <x:c r="E53" s="10" t="str">
        <x:v>MEL_ADMIN, PROGRAMME_MANAGER, AUTHOR, REVIEWER, ENUMERATOR, DATA_STEWARD</x:v>
      </x:c>
      <x:c r="F53" s="10" t="str">
        <x:v>Ordinary session</x:v>
      </x:c>
      <x:c r="G53" s="10" t="str">
        <x:v>No</x:v>
      </x:c>
      <x:c r="H53" s="10" t="str">
        <x:v>No</x:v>
      </x:c>
      <x:c r="I53" s="10" t="str">
        <x:v>Read policy</x:v>
      </x:c>
      <x:c r="J53" s="17" t="str">
        <x:v>Implemented route; subset limits apply</x:v>
      </x:c>
    </x:row>
    <x:row r="54" ht="38" customHeight="1">
      <x:c r="A54" s="10" t="str">
        <x:v>create_forms</x:v>
      </x:c>
      <x:c r="B54" s="10" t="str">
        <x:v>POST</x:v>
      </x:c>
      <x:c r="C54" s="10" t="str">
        <x:v>/v1/tenants/{tenant_id}/forms</x:v>
      </x:c>
      <x:c r="D54" s="10" t="str">
        <x:v>forms.draft.create</x:v>
      </x:c>
      <x:c r="E54" s="10" t="str">
        <x:v>MEL_ADMIN, AUTHOR</x:v>
      </x:c>
      <x:c r="F54" s="10" t="str">
        <x:v>Ordinary session</x:v>
      </x:c>
      <x:c r="G54" s="10" t="str">
        <x:v>No</x:v>
      </x:c>
      <x:c r="H54" s="10" t="str">
        <x:v>No</x:v>
      </x:c>
      <x:c r="I54" s="10" t="str">
        <x:v>Yes</x:v>
      </x:c>
      <x:c r="J54" s="17" t="str">
        <x:v>Design only; not an implemented route</x:v>
      </x:c>
    </x:row>
    <x:row r="55" ht="38" customHeight="1">
      <x:c r="A55" s="10" t="str">
        <x:v>get_forms</x:v>
      </x:c>
      <x:c r="B55" s="10" t="str">
        <x:v>GET</x:v>
      </x:c>
      <x:c r="C55" s="10" t="str">
        <x:v>/v1/tenants/{tenant_id}/forms/{object_id}</x:v>
      </x:c>
      <x:c r="D55" s="10" t="str">
        <x:v>forms.read</x:v>
      </x:c>
      <x:c r="E55" s="10" t="str">
        <x:v>MEL_ADMIN, PROGRAMME_MANAGER, AUTHOR, REVIEWER, ENUMERATOR, DATA_STEWARD</x:v>
      </x:c>
      <x:c r="F55" s="10" t="str">
        <x:v>Ordinary session</x:v>
      </x:c>
      <x:c r="G55" s="10" t="str">
        <x:v>No</x:v>
      </x:c>
      <x:c r="H55" s="10" t="str">
        <x:v>No</x:v>
      </x:c>
      <x:c r="I55" s="10" t="str">
        <x:v>Read policy</x:v>
      </x:c>
      <x:c r="J55" s="17" t="str">
        <x:v>Implemented route; subset limits apply</x:v>
      </x:c>
    </x:row>
    <x:row r="56" ht="38" customHeight="1">
      <x:c r="A56" s="10" t="str">
        <x:v>patch_forms</x:v>
      </x:c>
      <x:c r="B56" s="10" t="str">
        <x:v>PATCH</x:v>
      </x:c>
      <x:c r="C56" s="10" t="str">
        <x:v>/v1/tenants/{tenant_id}/forms/{object_id}</x:v>
      </x:c>
      <x:c r="D56" s="10" t="str">
        <x:v>forms.draft.edit</x:v>
      </x:c>
      <x:c r="E56" s="10" t="str">
        <x:v>MEL_ADMIN, AUTHOR</x:v>
      </x:c>
      <x:c r="F56" s="10" t="str">
        <x:v>Ordinary session</x:v>
      </x:c>
      <x:c r="G56" s="10" t="str">
        <x:v>No</x:v>
      </x:c>
      <x:c r="H56" s="10" t="str">
        <x:v>No</x:v>
      </x:c>
      <x:c r="I56" s="10" t="str">
        <x:v>Yes</x:v>
      </x:c>
      <x:c r="J56" s="17" t="str">
        <x:v>Design only; not an implemented route</x:v>
      </x:c>
    </x:row>
    <x:row r="57" ht="38" customHeight="1">
      <x:c r="A57" s="10" t="str">
        <x:v>list_form_fields</x:v>
      </x:c>
      <x:c r="B57" s="10" t="str">
        <x:v>GET</x:v>
      </x:c>
      <x:c r="C57" s="10" t="str">
        <x:v>/v1/tenants/{tenant_id}/form-fields</x:v>
      </x:c>
      <x:c r="D57" s="10" t="str">
        <x:v>form-fields.read</x:v>
      </x:c>
      <x:c r="E57" s="10" t="str">
        <x:v>MEL_ADMIN, PROGRAMME_MANAGER, AUTHOR, REVIEWER, ENUMERATOR, DATA_STEWARD</x:v>
      </x:c>
      <x:c r="F57" s="10" t="str">
        <x:v>Ordinary session</x:v>
      </x:c>
      <x:c r="G57" s="10" t="str">
        <x:v>No</x:v>
      </x:c>
      <x:c r="H57" s="10" t="str">
        <x:v>No</x:v>
      </x:c>
      <x:c r="I57" s="10" t="str">
        <x:v>Read policy</x:v>
      </x:c>
      <x:c r="J57" s="17" t="str">
        <x:v>Design only; not an implemented route</x:v>
      </x:c>
    </x:row>
    <x:row r="58" ht="38" customHeight="1">
      <x:c r="A58" s="10" t="str">
        <x:v>create_form_fields</x:v>
      </x:c>
      <x:c r="B58" s="10" t="str">
        <x:v>POST</x:v>
      </x:c>
      <x:c r="C58" s="10" t="str">
        <x:v>/v1/tenants/{tenant_id}/form-fields</x:v>
      </x:c>
      <x:c r="D58" s="10" t="str">
        <x:v>form-fields.draft.create</x:v>
      </x:c>
      <x:c r="E58" s="10" t="str">
        <x:v>MEL_ADMIN, AUTHOR</x:v>
      </x:c>
      <x:c r="F58" s="10" t="str">
        <x:v>Ordinary session</x:v>
      </x:c>
      <x:c r="G58" s="10" t="str">
        <x:v>No</x:v>
      </x:c>
      <x:c r="H58" s="10" t="str">
        <x:v>No</x:v>
      </x:c>
      <x:c r="I58" s="10" t="str">
        <x:v>Yes</x:v>
      </x:c>
      <x:c r="J58" s="17" t="str">
        <x:v>Design only; not an implemented route</x:v>
      </x:c>
    </x:row>
    <x:row r="59" ht="38" customHeight="1">
      <x:c r="A59" s="10" t="str">
        <x:v>get_form_fields</x:v>
      </x:c>
      <x:c r="B59" s="10" t="str">
        <x:v>GET</x:v>
      </x:c>
      <x:c r="C59" s="10" t="str">
        <x:v>/v1/tenants/{tenant_id}/form-fields/{object_id}</x:v>
      </x:c>
      <x:c r="D59" s="10" t="str">
        <x:v>form-fields.read</x:v>
      </x:c>
      <x:c r="E59" s="10" t="str">
        <x:v>MEL_ADMIN, PROGRAMME_MANAGER, AUTHOR, REVIEWER, ENUMERATOR, DATA_STEWARD</x:v>
      </x:c>
      <x:c r="F59" s="10" t="str">
        <x:v>Ordinary session</x:v>
      </x:c>
      <x:c r="G59" s="10" t="str">
        <x:v>No</x:v>
      </x:c>
      <x:c r="H59" s="10" t="str">
        <x:v>No</x:v>
      </x:c>
      <x:c r="I59" s="10" t="str">
        <x:v>Read policy</x:v>
      </x:c>
      <x:c r="J59" s="17" t="str">
        <x:v>Design only; not an implemented route</x:v>
      </x:c>
    </x:row>
    <x:row r="60" ht="38" customHeight="1">
      <x:c r="A60" s="10" t="str">
        <x:v>patch_form_fields</x:v>
      </x:c>
      <x:c r="B60" s="10" t="str">
        <x:v>PATCH</x:v>
      </x:c>
      <x:c r="C60" s="10" t="str">
        <x:v>/v1/tenants/{tenant_id}/form-fields/{object_id}</x:v>
      </x:c>
      <x:c r="D60" s="10" t="str">
        <x:v>form-fields.draft.edit</x:v>
      </x:c>
      <x:c r="E60" s="10" t="str">
        <x:v>MEL_ADMIN, AUTHOR</x:v>
      </x:c>
      <x:c r="F60" s="10" t="str">
        <x:v>Ordinary session</x:v>
      </x:c>
      <x:c r="G60" s="10" t="str">
        <x:v>No</x:v>
      </x:c>
      <x:c r="H60" s="10" t="str">
        <x:v>No</x:v>
      </x:c>
      <x:c r="I60" s="10" t="str">
        <x:v>Yes</x:v>
      </x:c>
      <x:c r="J60" s="17" t="str">
        <x:v>Design only; not an implemented route</x:v>
      </x:c>
    </x:row>
    <x:row r="61" ht="38" customHeight="1">
      <x:c r="A61" s="10" t="str">
        <x:v>list_assignments</x:v>
      </x:c>
      <x:c r="B61" s="10" t="str">
        <x:v>GET</x:v>
      </x:c>
      <x:c r="C61" s="10" t="str">
        <x:v>/v1/tenants/{tenant_id}/assignments</x:v>
      </x:c>
      <x:c r="D61" s="10" t="str">
        <x:v>assignments.read</x:v>
      </x:c>
      <x:c r="E61" s="10" t="str">
        <x:v>MEL_ADMIN, PROGRAMME_MANAGER, AUTHOR, REVIEWER, ENUMERATOR, DATA_STEWARD</x:v>
      </x:c>
      <x:c r="F61" s="10" t="str">
        <x:v>Ordinary session</x:v>
      </x:c>
      <x:c r="G61" s="10" t="str">
        <x:v>No</x:v>
      </x:c>
      <x:c r="H61" s="10" t="str">
        <x:v>No</x:v>
      </x:c>
      <x:c r="I61" s="10" t="str">
        <x:v>Read policy</x:v>
      </x:c>
      <x:c r="J61" s="17" t="str">
        <x:v>Design only; not an implemented route</x:v>
      </x:c>
    </x:row>
    <x:row r="62" ht="38" customHeight="1">
      <x:c r="A62" s="10" t="str">
        <x:v>create_assignments</x:v>
      </x:c>
      <x:c r="B62" s="10" t="str">
        <x:v>POST</x:v>
      </x:c>
      <x:c r="C62" s="10" t="str">
        <x:v>/v1/tenants/{tenant_id}/assignments</x:v>
      </x:c>
      <x:c r="D62" s="10" t="str">
        <x:v>assignments.draft.create</x:v>
      </x:c>
      <x:c r="E62" s="10" t="str">
        <x:v>MEL_ADMIN, PROGRAMME_MANAGER</x:v>
      </x:c>
      <x:c r="F62" s="10" t="str">
        <x:v>Ordinary session</x:v>
      </x:c>
      <x:c r="G62" s="10" t="str">
        <x:v>No</x:v>
      </x:c>
      <x:c r="H62" s="10" t="str">
        <x:v>No</x:v>
      </x:c>
      <x:c r="I62" s="10" t="str">
        <x:v>Yes</x:v>
      </x:c>
      <x:c r="J62" s="17" t="str">
        <x:v>Design only; not an implemented route</x:v>
      </x:c>
    </x:row>
    <x:row r="63" ht="38" customHeight="1">
      <x:c r="A63" s="10" t="str">
        <x:v>get_assignments</x:v>
      </x:c>
      <x:c r="B63" s="10" t="str">
        <x:v>GET</x:v>
      </x:c>
      <x:c r="C63" s="10" t="str">
        <x:v>/v1/tenants/{tenant_id}/assignments/{object_id}</x:v>
      </x:c>
      <x:c r="D63" s="10" t="str">
        <x:v>assignments.read</x:v>
      </x:c>
      <x:c r="E63" s="10" t="str">
        <x:v>MEL_ADMIN, PROGRAMME_MANAGER, AUTHOR, REVIEWER, ENUMERATOR, DATA_STEWARD</x:v>
      </x:c>
      <x:c r="F63" s="10" t="str">
        <x:v>Ordinary session</x:v>
      </x:c>
      <x:c r="G63" s="10" t="str">
        <x:v>No</x:v>
      </x:c>
      <x:c r="H63" s="10" t="str">
        <x:v>No</x:v>
      </x:c>
      <x:c r="I63" s="10" t="str">
        <x:v>Read policy</x:v>
      </x:c>
      <x:c r="J63" s="17" t="str">
        <x:v>Design only; not an implemented route</x:v>
      </x:c>
    </x:row>
    <x:row r="64" ht="38" customHeight="1">
      <x:c r="A64" s="10" t="str">
        <x:v>patch_assignments</x:v>
      </x:c>
      <x:c r="B64" s="10" t="str">
        <x:v>PATCH</x:v>
      </x:c>
      <x:c r="C64" s="10" t="str">
        <x:v>/v1/tenants/{tenant_id}/assignments/{object_id}</x:v>
      </x:c>
      <x:c r="D64" s="10" t="str">
        <x:v>assignments.draft.edit</x:v>
      </x:c>
      <x:c r="E64" s="10" t="str">
        <x:v>MEL_ADMIN, PROGRAMME_MANAGER</x:v>
      </x:c>
      <x:c r="F64" s="10" t="str">
        <x:v>Ordinary session</x:v>
      </x:c>
      <x:c r="G64" s="10" t="str">
        <x:v>No</x:v>
      </x:c>
      <x:c r="H64" s="10" t="str">
        <x:v>No</x:v>
      </x:c>
      <x:c r="I64" s="10" t="str">
        <x:v>Yes</x:v>
      </x:c>
      <x:c r="J64" s="17" t="str">
        <x:v>Design only; not an implemented route</x:v>
      </x:c>
    </x:row>
    <x:row r="65" ht="38" customHeight="1">
      <x:c r="A65" s="10" t="str">
        <x:v>list_submissions</x:v>
      </x:c>
      <x:c r="B65" s="10" t="str">
        <x:v>GET</x:v>
      </x:c>
      <x:c r="C65" s="10" t="str">
        <x:v>/v1/tenants/{tenant_id}/submissions</x:v>
      </x:c>
      <x:c r="D65" s="10" t="str">
        <x:v>submissions.read</x:v>
      </x:c>
      <x:c r="E65" s="10" t="str">
        <x:v>MEL_ADMIN, PROGRAMME_MANAGER, AUTHOR, REVIEWER, ENUMERATOR, DATA_STEWARD</x:v>
      </x:c>
      <x:c r="F65" s="10" t="str">
        <x:v>Ordinary session</x:v>
      </x:c>
      <x:c r="G65" s="10" t="str">
        <x:v>No</x:v>
      </x:c>
      <x:c r="H65" s="10" t="str">
        <x:v>No</x:v>
      </x:c>
      <x:c r="I65" s="10" t="str">
        <x:v>Read policy</x:v>
      </x:c>
      <x:c r="J65" s="17" t="str">
        <x:v>Design only; not an implemented route</x:v>
      </x:c>
    </x:row>
    <x:row r="66" ht="38" customHeight="1">
      <x:c r="A66" s="10" t="str">
        <x:v>create_submissions</x:v>
      </x:c>
      <x:c r="B66" s="10" t="str">
        <x:v>POST</x:v>
      </x:c>
      <x:c r="C66" s="10" t="str">
        <x:v>/v1/tenants/{tenant_id}/submissions</x:v>
      </x:c>
      <x:c r="D66" s="10" t="str">
        <x:v>submissions.draft.create</x:v>
      </x:c>
      <x:c r="E66" s="10" t="str">
        <x:v>ENUMERATOR, AUTHOR</x:v>
      </x:c>
      <x:c r="F66" s="10" t="str">
        <x:v>Ordinary session</x:v>
      </x:c>
      <x:c r="G66" s="10" t="str">
        <x:v>No</x:v>
      </x:c>
      <x:c r="H66" s="10" t="str">
        <x:v>No</x:v>
      </x:c>
      <x:c r="I66" s="10" t="str">
        <x:v>Yes</x:v>
      </x:c>
      <x:c r="J66" s="17" t="str">
        <x:v>Design only; not an implemented route</x:v>
      </x:c>
    </x:row>
    <x:row r="67" ht="38" customHeight="1">
      <x:c r="A67" s="10" t="str">
        <x:v>get_submissions</x:v>
      </x:c>
      <x:c r="B67" s="10" t="str">
        <x:v>GET</x:v>
      </x:c>
      <x:c r="C67" s="10" t="str">
        <x:v>/v1/tenants/{tenant_id}/submissions/{object_id}</x:v>
      </x:c>
      <x:c r="D67" s="10" t="str">
        <x:v>submissions.read</x:v>
      </x:c>
      <x:c r="E67" s="10" t="str">
        <x:v>MEL_ADMIN, PROGRAMME_MANAGER, AUTHOR, REVIEWER, ENUMERATOR, DATA_STEWARD</x:v>
      </x:c>
      <x:c r="F67" s="10" t="str">
        <x:v>Ordinary session</x:v>
      </x:c>
      <x:c r="G67" s="10" t="str">
        <x:v>No</x:v>
      </x:c>
      <x:c r="H67" s="10" t="str">
        <x:v>No</x:v>
      </x:c>
      <x:c r="I67" s="10" t="str">
        <x:v>Read policy</x:v>
      </x:c>
      <x:c r="J67" s="17" t="str">
        <x:v>Design only; not an implemented route</x:v>
      </x:c>
    </x:row>
    <x:row r="68" ht="38" customHeight="1">
      <x:c r="A68" s="10" t="str">
        <x:v>patch_submissions</x:v>
      </x:c>
      <x:c r="B68" s="10" t="str">
        <x:v>PATCH</x:v>
      </x:c>
      <x:c r="C68" s="10" t="str">
        <x:v>/v1/tenants/{tenant_id}/submissions/{object_id}</x:v>
      </x:c>
      <x:c r="D68" s="10" t="str">
        <x:v>submissions.draft.edit</x:v>
      </x:c>
      <x:c r="E68" s="10" t="str">
        <x:v>ENUMERATOR, AUTHOR</x:v>
      </x:c>
      <x:c r="F68" s="10" t="str">
        <x:v>Ordinary session</x:v>
      </x:c>
      <x:c r="G68" s="10" t="str">
        <x:v>No</x:v>
      </x:c>
      <x:c r="H68" s="10" t="str">
        <x:v>No</x:v>
      </x:c>
      <x:c r="I68" s="10" t="str">
        <x:v>Yes</x:v>
      </x:c>
      <x:c r="J68" s="17" t="str">
        <x:v>Design only; not an implemented route</x:v>
      </x:c>
    </x:row>
    <x:row r="69" ht="38" customHeight="1">
      <x:c r="A69" s="10" t="str">
        <x:v>list_participants</x:v>
      </x:c>
      <x:c r="B69" s="10" t="str">
        <x:v>GET</x:v>
      </x:c>
      <x:c r="C69" s="10" t="str">
        <x:v>/v1/tenants/{tenant_id}/participants</x:v>
      </x:c>
      <x:c r="D69" s="10" t="str">
        <x:v>participants.read</x:v>
      </x:c>
      <x:c r="E69" s="10" t="str">
        <x:v>MEL_ADMIN, PROGRAMME_MANAGER, AUTHOR, REVIEWER, ENUMERATOR, DATA_STEWARD</x:v>
      </x:c>
      <x:c r="F69" s="10" t="str">
        <x:v>Ordinary session</x:v>
      </x:c>
      <x:c r="G69" s="10" t="str">
        <x:v>No</x:v>
      </x:c>
      <x:c r="H69" s="10" t="str">
        <x:v>Yes</x:v>
      </x:c>
      <x:c r="I69" s="10" t="str">
        <x:v>Read policy</x:v>
      </x:c>
      <x:c r="J69" s="17" t="str">
        <x:v>Design only; not an implemented route</x:v>
      </x:c>
    </x:row>
    <x:row r="70" ht="38" customHeight="1">
      <x:c r="A70" s="10" t="str">
        <x:v>create_participants</x:v>
      </x:c>
      <x:c r="B70" s="10" t="str">
        <x:v>POST</x:v>
      </x:c>
      <x:c r="C70" s="10" t="str">
        <x:v>/v1/tenants/{tenant_id}/participants</x:v>
      </x:c>
      <x:c r="D70" s="10" t="str">
        <x:v>participants.draft.create</x:v>
      </x:c>
      <x:c r="E70" s="10" t="str">
        <x:v>AUTHOR</x:v>
      </x:c>
      <x:c r="F70" s="10" t="str">
        <x:v>Ordinary session</x:v>
      </x:c>
      <x:c r="G70" s="10" t="str">
        <x:v>No</x:v>
      </x:c>
      <x:c r="H70" s="10" t="str">
        <x:v>Yes</x:v>
      </x:c>
      <x:c r="I70" s="10" t="str">
        <x:v>Yes</x:v>
      </x:c>
      <x:c r="J70" s="17" t="str">
        <x:v>Design only; not an implemented route</x:v>
      </x:c>
    </x:row>
    <x:row r="71" ht="38" customHeight="1">
      <x:c r="A71" s="10" t="str">
        <x:v>get_participants</x:v>
      </x:c>
      <x:c r="B71" s="10" t="str">
        <x:v>GET</x:v>
      </x:c>
      <x:c r="C71" s="10" t="str">
        <x:v>/v1/tenants/{tenant_id}/participants/{object_id}</x:v>
      </x:c>
      <x:c r="D71" s="10" t="str">
        <x:v>participants.read</x:v>
      </x:c>
      <x:c r="E71" s="10" t="str">
        <x:v>MEL_ADMIN, PROGRAMME_MANAGER, AUTHOR, REVIEWER, ENUMERATOR, DATA_STEWARD</x:v>
      </x:c>
      <x:c r="F71" s="10" t="str">
        <x:v>Ordinary session</x:v>
      </x:c>
      <x:c r="G71" s="10" t="str">
        <x:v>No</x:v>
      </x:c>
      <x:c r="H71" s="10" t="str">
        <x:v>Yes</x:v>
      </x:c>
      <x:c r="I71" s="10" t="str">
        <x:v>Read policy</x:v>
      </x:c>
      <x:c r="J71" s="17" t="str">
        <x:v>Design only; not an implemented route</x:v>
      </x:c>
    </x:row>
    <x:row r="72" ht="38" customHeight="1">
      <x:c r="A72" s="10" t="str">
        <x:v>patch_participants</x:v>
      </x:c>
      <x:c r="B72" s="10" t="str">
        <x:v>PATCH</x:v>
      </x:c>
      <x:c r="C72" s="10" t="str">
        <x:v>/v1/tenants/{tenant_id}/participants/{object_id}</x:v>
      </x:c>
      <x:c r="D72" s="10" t="str">
        <x:v>participants.draft.edit</x:v>
      </x:c>
      <x:c r="E72" s="10" t="str">
        <x:v>AUTHOR</x:v>
      </x:c>
      <x:c r="F72" s="10" t="str">
        <x:v>Ordinary session</x:v>
      </x:c>
      <x:c r="G72" s="10" t="str">
        <x:v>No</x:v>
      </x:c>
      <x:c r="H72" s="10" t="str">
        <x:v>Yes</x:v>
      </x:c>
      <x:c r="I72" s="10" t="str">
        <x:v>Yes</x:v>
      </x:c>
      <x:c r="J72" s="17" t="str">
        <x:v>Design only; not an implemented route</x:v>
      </x:c>
    </x:row>
    <x:row r="73" ht="38" customHeight="1">
      <x:c r="A73" s="10" t="str">
        <x:v>list_service_events</x:v>
      </x:c>
      <x:c r="B73" s="10" t="str">
        <x:v>GET</x:v>
      </x:c>
      <x:c r="C73" s="10" t="str">
        <x:v>/v1/tenants/{tenant_id}/service-events</x:v>
      </x:c>
      <x:c r="D73" s="10" t="str">
        <x:v>service-events.read</x:v>
      </x:c>
      <x:c r="E73" s="10" t="str">
        <x:v>MEL_ADMIN, PROGRAMME_MANAGER, AUTHOR, REVIEWER, ENUMERATOR, DATA_STEWARD</x:v>
      </x:c>
      <x:c r="F73" s="10" t="str">
        <x:v>Ordinary session</x:v>
      </x:c>
      <x:c r="G73" s="10" t="str">
        <x:v>No</x:v>
      </x:c>
      <x:c r="H73" s="10" t="str">
        <x:v>No</x:v>
      </x:c>
      <x:c r="I73" s="10" t="str">
        <x:v>Read policy</x:v>
      </x:c>
      <x:c r="J73" s="17" t="str">
        <x:v>Design only; not an implemented route</x:v>
      </x:c>
    </x:row>
    <x:row r="74" ht="38" customHeight="1">
      <x:c r="A74" s="10" t="str">
        <x:v>create_service_events</x:v>
      </x:c>
      <x:c r="B74" s="10" t="str">
        <x:v>POST</x:v>
      </x:c>
      <x:c r="C74" s="10" t="str">
        <x:v>/v1/tenants/{tenant_id}/service-events</x:v>
      </x:c>
      <x:c r="D74" s="10" t="str">
        <x:v>service-events.draft.create</x:v>
      </x:c>
      <x:c r="E74" s="10" t="str">
        <x:v>AUTHOR</x:v>
      </x:c>
      <x:c r="F74" s="10" t="str">
        <x:v>Ordinary session</x:v>
      </x:c>
      <x:c r="G74" s="10" t="str">
        <x:v>No</x:v>
      </x:c>
      <x:c r="H74" s="10" t="str">
        <x:v>No</x:v>
      </x:c>
      <x:c r="I74" s="10" t="str">
        <x:v>Yes</x:v>
      </x:c>
      <x:c r="J74" s="17" t="str">
        <x:v>Design only; not an implemented route</x:v>
      </x:c>
    </x:row>
    <x:row r="75" ht="38" customHeight="1">
      <x:c r="A75" s="10" t="str">
        <x:v>get_service_events</x:v>
      </x:c>
      <x:c r="B75" s="10" t="str">
        <x:v>GET</x:v>
      </x:c>
      <x:c r="C75" s="10" t="str">
        <x:v>/v1/tenants/{tenant_id}/service-events/{object_id}</x:v>
      </x:c>
      <x:c r="D75" s="10" t="str">
        <x:v>service-events.read</x:v>
      </x:c>
      <x:c r="E75" s="10" t="str">
        <x:v>MEL_ADMIN, PROGRAMME_MANAGER, AUTHOR, REVIEWER, ENUMERATOR, DATA_STEWARD</x:v>
      </x:c>
      <x:c r="F75" s="10" t="str">
        <x:v>Ordinary session</x:v>
      </x:c>
      <x:c r="G75" s="10" t="str">
        <x:v>No</x:v>
      </x:c>
      <x:c r="H75" s="10" t="str">
        <x:v>No</x:v>
      </x:c>
      <x:c r="I75" s="10" t="str">
        <x:v>Read policy</x:v>
      </x:c>
      <x:c r="J75" s="17" t="str">
        <x:v>Design only; not an implemented route</x:v>
      </x:c>
    </x:row>
    <x:row r="76" ht="38" customHeight="1">
      <x:c r="A76" s="10" t="str">
        <x:v>patch_service_events</x:v>
      </x:c>
      <x:c r="B76" s="10" t="str">
        <x:v>PATCH</x:v>
      </x:c>
      <x:c r="C76" s="10" t="str">
        <x:v>/v1/tenants/{tenant_id}/service-events/{object_id}</x:v>
      </x:c>
      <x:c r="D76" s="10" t="str">
        <x:v>service-events.draft.edit</x:v>
      </x:c>
      <x:c r="E76" s="10" t="str">
        <x:v>AUTHOR</x:v>
      </x:c>
      <x:c r="F76" s="10" t="str">
        <x:v>Ordinary session</x:v>
      </x:c>
      <x:c r="G76" s="10" t="str">
        <x:v>No</x:v>
      </x:c>
      <x:c r="H76" s="10" t="str">
        <x:v>No</x:v>
      </x:c>
      <x:c r="I76" s="10" t="str">
        <x:v>Yes</x:v>
      </x:c>
      <x:c r="J76" s="17" t="str">
        <x:v>Design only; not an implemented route</x:v>
      </x:c>
    </x:row>
    <x:row r="77" ht="38" customHeight="1">
      <x:c r="A77" s="10" t="str">
        <x:v>list_handling_records</x:v>
      </x:c>
      <x:c r="B77" s="10" t="str">
        <x:v>GET</x:v>
      </x:c>
      <x:c r="C77" s="10" t="str">
        <x:v>/v1/tenants/{tenant_id}/handling-records</x:v>
      </x:c>
      <x:c r="D77" s="10" t="str">
        <x:v>handling-records.read</x:v>
      </x:c>
      <x:c r="E77" s="10" t="str">
        <x:v>PRIVACY</x:v>
      </x:c>
      <x:c r="F77" s="10" t="str">
        <x:v>Ordinary session</x:v>
      </x:c>
      <x:c r="G77" s="10" t="str">
        <x:v>No</x:v>
      </x:c>
      <x:c r="H77" s="10" t="str">
        <x:v>Yes</x:v>
      </x:c>
      <x:c r="I77" s="10" t="str">
        <x:v>Read policy</x:v>
      </x:c>
      <x:c r="J77" s="17" t="str">
        <x:v>Design only; not an implemented route</x:v>
      </x:c>
    </x:row>
    <x:row r="78" ht="38" customHeight="1">
      <x:c r="A78" s="10" t="str">
        <x:v>record_handling</x:v>
      </x:c>
      <x:c r="B78" s="10" t="str">
        <x:v>POST</x:v>
      </x:c>
      <x:c r="C78" s="10" t="str">
        <x:v>/v1/tenants/{tenant_id}/handling-records</x:v>
      </x:c>
      <x:c r="D78" s="10" t="str">
        <x:v>handling.record</x:v>
      </x:c>
      <x:c r="E78" s="10" t="str">
        <x:v>AUTHOR, PRIVACY</x:v>
      </x:c>
      <x:c r="F78" s="10" t="str">
        <x:v>Ordinary session</x:v>
      </x:c>
      <x:c r="G78" s="10" t="str">
        <x:v>No</x:v>
      </x:c>
      <x:c r="H78" s="10" t="str">
        <x:v>Yes</x:v>
      </x:c>
      <x:c r="I78" s="10" t="str">
        <x:v>Yes</x:v>
      </x:c>
      <x:c r="J78" s="17" t="str">
        <x:v>Design only; not an implemented route</x:v>
      </x:c>
    </x:row>
    <x:row r="79" ht="38" customHeight="1">
      <x:c r="A79" s="10" t="str">
        <x:v>get_handling_records</x:v>
      </x:c>
      <x:c r="B79" s="10" t="str">
        <x:v>GET</x:v>
      </x:c>
      <x:c r="C79" s="10" t="str">
        <x:v>/v1/tenants/{tenant_id}/handling-records/{object_id}</x:v>
      </x:c>
      <x:c r="D79" s="10" t="str">
        <x:v>handling-records.read</x:v>
      </x:c>
      <x:c r="E79" s="10" t="str">
        <x:v>PRIVACY</x:v>
      </x:c>
      <x:c r="F79" s="10" t="str">
        <x:v>Ordinary session</x:v>
      </x:c>
      <x:c r="G79" s="10" t="str">
        <x:v>No</x:v>
      </x:c>
      <x:c r="H79" s="10" t="str">
        <x:v>Yes</x:v>
      </x:c>
      <x:c r="I79" s="10" t="str">
        <x:v>Read policy</x:v>
      </x:c>
      <x:c r="J79" s="17" t="str">
        <x:v>Design only; not an implemented route</x:v>
      </x:c>
    </x:row>
    <x:row r="80" ht="38" customHeight="1">
      <x:c r="A80" s="10" t="str">
        <x:v>list_datasets</x:v>
      </x:c>
      <x:c r="B80" s="10" t="str">
        <x:v>GET</x:v>
      </x:c>
      <x:c r="C80" s="10" t="str">
        <x:v>/v1/tenants/{tenant_id}/datasets</x:v>
      </x:c>
      <x:c r="D80" s="10" t="str">
        <x:v>datasets.read</x:v>
      </x:c>
      <x:c r="E80" s="10" t="str">
        <x:v>MEL_ADMIN, PROGRAMME_MANAGER, AUTHOR, REVIEWER, ANALYST, DATA_STEWARD, EXTERNAL</x:v>
      </x:c>
      <x:c r="F80" s="10" t="str">
        <x:v>Ordinary session</x:v>
      </x:c>
      <x:c r="G80" s="10" t="str">
        <x:v>No</x:v>
      </x:c>
      <x:c r="H80" s="10" t="str">
        <x:v>No</x:v>
      </x:c>
      <x:c r="I80" s="10" t="str">
        <x:v>Read policy</x:v>
      </x:c>
      <x:c r="J80" s="17" t="str">
        <x:v>Design only; not an implemented route</x:v>
      </x:c>
    </x:row>
    <x:row r="81" ht="38" customHeight="1">
      <x:c r="A81" s="10" t="str">
        <x:v>create_datasets</x:v>
      </x:c>
      <x:c r="B81" s="10" t="str">
        <x:v>POST</x:v>
      </x:c>
      <x:c r="C81" s="10" t="str">
        <x:v>/v1/tenants/{tenant_id}/datasets</x:v>
      </x:c>
      <x:c r="D81" s="10" t="str">
        <x:v>datasets.draft.create</x:v>
      </x:c>
      <x:c r="E81" s="10" t="str">
        <x:v>DATA_STEWARD</x:v>
      </x:c>
      <x:c r="F81" s="10" t="str">
        <x:v>Ordinary session</x:v>
      </x:c>
      <x:c r="G81" s="10" t="str">
        <x:v>No</x:v>
      </x:c>
      <x:c r="H81" s="10" t="str">
        <x:v>No</x:v>
      </x:c>
      <x:c r="I81" s="10" t="str">
        <x:v>Yes</x:v>
      </x:c>
      <x:c r="J81" s="17" t="str">
        <x:v>Design only; not an implemented route</x:v>
      </x:c>
    </x:row>
    <x:row r="82" ht="38" customHeight="1">
      <x:c r="A82" s="10" t="str">
        <x:v>get_datasets</x:v>
      </x:c>
      <x:c r="B82" s="10" t="str">
        <x:v>GET</x:v>
      </x:c>
      <x:c r="C82" s="10" t="str">
        <x:v>/v1/tenants/{tenant_id}/datasets/{object_id}</x:v>
      </x:c>
      <x:c r="D82" s="10" t="str">
        <x:v>datasets.read</x:v>
      </x:c>
      <x:c r="E82" s="10" t="str">
        <x:v>MEL_ADMIN, PROGRAMME_MANAGER, AUTHOR, REVIEWER, ANALYST, DATA_STEWARD, EXTERNAL</x:v>
      </x:c>
      <x:c r="F82" s="10" t="str">
        <x:v>Ordinary session</x:v>
      </x:c>
      <x:c r="G82" s="10" t="str">
        <x:v>No</x:v>
      </x:c>
      <x:c r="H82" s="10" t="str">
        <x:v>No</x:v>
      </x:c>
      <x:c r="I82" s="10" t="str">
        <x:v>Read policy</x:v>
      </x:c>
      <x:c r="J82" s="17" t="str">
        <x:v>Design only; not an implemented route</x:v>
      </x:c>
    </x:row>
    <x:row r="83" ht="38" customHeight="1">
      <x:c r="A83" s="10" t="str">
        <x:v>patch_datasets</x:v>
      </x:c>
      <x:c r="B83" s="10" t="str">
        <x:v>PATCH</x:v>
      </x:c>
      <x:c r="C83" s="10" t="str">
        <x:v>/v1/tenants/{tenant_id}/datasets/{object_id}</x:v>
      </x:c>
      <x:c r="D83" s="10" t="str">
        <x:v>datasets.draft.edit</x:v>
      </x:c>
      <x:c r="E83" s="10" t="str">
        <x:v>DATA_STEWARD</x:v>
      </x:c>
      <x:c r="F83" s="10" t="str">
        <x:v>Ordinary session</x:v>
      </x:c>
      <x:c r="G83" s="10" t="str">
        <x:v>No</x:v>
      </x:c>
      <x:c r="H83" s="10" t="str">
        <x:v>No</x:v>
      </x:c>
      <x:c r="I83" s="10" t="str">
        <x:v>Yes</x:v>
      </x:c>
      <x:c r="J83" s="17" t="str">
        <x:v>Design only; not an implemented route</x:v>
      </x:c>
    </x:row>
    <x:row r="84" ht="38" customHeight="1">
      <x:c r="A84" s="10" t="str">
        <x:v>list_imports</x:v>
      </x:c>
      <x:c r="B84" s="10" t="str">
        <x:v>GET</x:v>
      </x:c>
      <x:c r="C84" s="10" t="str">
        <x:v>/v1/tenants/{tenant_id}/imports</x:v>
      </x:c>
      <x:c r="D84" s="10" t="str">
        <x:v>imports.read</x:v>
      </x:c>
      <x:c r="E84" s="10" t="str">
        <x:v>MEL_ADMIN, PROGRAMME_MANAGER, AUTHOR, REVIEWER, ANALYST, DATA_STEWARD, EXTERNAL</x:v>
      </x:c>
      <x:c r="F84" s="10" t="str">
        <x:v>Ordinary session</x:v>
      </x:c>
      <x:c r="G84" s="10" t="str">
        <x:v>No</x:v>
      </x:c>
      <x:c r="H84" s="10" t="str">
        <x:v>No</x:v>
      </x:c>
      <x:c r="I84" s="10" t="str">
        <x:v>Read policy</x:v>
      </x:c>
      <x:c r="J84" s="17" t="str">
        <x:v>Design only; not an implemented route</x:v>
      </x:c>
    </x:row>
    <x:row r="85" ht="38" customHeight="1">
      <x:c r="A85" s="10" t="str">
        <x:v>get_imports</x:v>
      </x:c>
      <x:c r="B85" s="10" t="str">
        <x:v>GET</x:v>
      </x:c>
      <x:c r="C85" s="10" t="str">
        <x:v>/v1/tenants/{tenant_id}/imports/{object_id}</x:v>
      </x:c>
      <x:c r="D85" s="10" t="str">
        <x:v>imports.read</x:v>
      </x:c>
      <x:c r="E85" s="10" t="str">
        <x:v>MEL_ADMIN, PROGRAMME_MANAGER, AUTHOR, REVIEWER, ANALYST, DATA_STEWARD, EXTERNAL</x:v>
      </x:c>
      <x:c r="F85" s="10" t="str">
        <x:v>Ordinary session</x:v>
      </x:c>
      <x:c r="G85" s="10" t="str">
        <x:v>No</x:v>
      </x:c>
      <x:c r="H85" s="10" t="str">
        <x:v>No</x:v>
      </x:c>
      <x:c r="I85" s="10" t="str">
        <x:v>Read policy</x:v>
      </x:c>
      <x:c r="J85" s="17" t="str">
        <x:v>Design only; not an implemented route</x:v>
      </x:c>
    </x:row>
    <x:row r="86" ht="38" customHeight="1">
      <x:c r="A86" s="10" t="str">
        <x:v>list_quality_issues</x:v>
      </x:c>
      <x:c r="B86" s="10" t="str">
        <x:v>GET</x:v>
      </x:c>
      <x:c r="C86" s="10" t="str">
        <x:v>/v1/tenants/{tenant_id}/quality-issues</x:v>
      </x:c>
      <x:c r="D86" s="10" t="str">
        <x:v>quality-issues.read</x:v>
      </x:c>
      <x:c r="E86" s="10" t="str">
        <x:v>MEL_ADMIN, PROGRAMME_MANAGER, AUTHOR, REVIEWER, ANALYST, DATA_STEWARD, EXTERNAL</x:v>
      </x:c>
      <x:c r="F86" s="10" t="str">
        <x:v>Ordinary session</x:v>
      </x:c>
      <x:c r="G86" s="10" t="str">
        <x:v>No</x:v>
      </x:c>
      <x:c r="H86" s="10" t="str">
        <x:v>No</x:v>
      </x:c>
      <x:c r="I86" s="10" t="str">
        <x:v>Read policy</x:v>
      </x:c>
      <x:c r="J86" s="17" t="str">
        <x:v>Design only; not an implemented route</x:v>
      </x:c>
    </x:row>
    <x:row r="87" ht="38" customHeight="1">
      <x:c r="A87" s="10" t="str">
        <x:v>create_quality_issues</x:v>
      </x:c>
      <x:c r="B87" s="10" t="str">
        <x:v>POST</x:v>
      </x:c>
      <x:c r="C87" s="10" t="str">
        <x:v>/v1/tenants/{tenant_id}/quality-issues</x:v>
      </x:c>
      <x:c r="D87" s="10" t="str">
        <x:v>quality-issues.draft.create</x:v>
      </x:c>
      <x:c r="E87" s="10" t="str">
        <x:v>DATA_STEWARD</x:v>
      </x:c>
      <x:c r="F87" s="10" t="str">
        <x:v>Ordinary session</x:v>
      </x:c>
      <x:c r="G87" s="10" t="str">
        <x:v>No</x:v>
      </x:c>
      <x:c r="H87" s="10" t="str">
        <x:v>No</x:v>
      </x:c>
      <x:c r="I87" s="10" t="str">
        <x:v>Yes</x:v>
      </x:c>
      <x:c r="J87" s="17" t="str">
        <x:v>Design only; not an implemented route</x:v>
      </x:c>
    </x:row>
    <x:row r="88" ht="38" customHeight="1">
      <x:c r="A88" s="10" t="str">
        <x:v>get_quality_issues</x:v>
      </x:c>
      <x:c r="B88" s="10" t="str">
        <x:v>GET</x:v>
      </x:c>
      <x:c r="C88" s="10" t="str">
        <x:v>/v1/tenants/{tenant_id}/quality-issues/{object_id}</x:v>
      </x:c>
      <x:c r="D88" s="10" t="str">
        <x:v>quality-issues.read</x:v>
      </x:c>
      <x:c r="E88" s="10" t="str">
        <x:v>MEL_ADMIN, PROGRAMME_MANAGER, AUTHOR, REVIEWER, ANALYST, DATA_STEWARD, EXTERNAL</x:v>
      </x:c>
      <x:c r="F88" s="10" t="str">
        <x:v>Ordinary session</x:v>
      </x:c>
      <x:c r="G88" s="10" t="str">
        <x:v>No</x:v>
      </x:c>
      <x:c r="H88" s="10" t="str">
        <x:v>No</x:v>
      </x:c>
      <x:c r="I88" s="10" t="str">
        <x:v>Read policy</x:v>
      </x:c>
      <x:c r="J88" s="17" t="str">
        <x:v>Design only; not an implemented route</x:v>
      </x:c>
    </x:row>
    <x:row r="89" ht="38" customHeight="1">
      <x:c r="A89" s="10" t="str">
        <x:v>patch_quality_issues</x:v>
      </x:c>
      <x:c r="B89" s="10" t="str">
        <x:v>PATCH</x:v>
      </x:c>
      <x:c r="C89" s="10" t="str">
        <x:v>/v1/tenants/{tenant_id}/quality-issues/{object_id}</x:v>
      </x:c>
      <x:c r="D89" s="10" t="str">
        <x:v>quality-issues.draft.edit</x:v>
      </x:c>
      <x:c r="E89" s="10" t="str">
        <x:v>DATA_STEWARD</x:v>
      </x:c>
      <x:c r="F89" s="10" t="str">
        <x:v>Ordinary session</x:v>
      </x:c>
      <x:c r="G89" s="10" t="str">
        <x:v>No</x:v>
      </x:c>
      <x:c r="H89" s="10" t="str">
        <x:v>No</x:v>
      </x:c>
      <x:c r="I89" s="10" t="str">
        <x:v>Yes</x:v>
      </x:c>
      <x:c r="J89" s="17" t="str">
        <x:v>Design only; not an implemented route</x:v>
      </x:c>
    </x:row>
    <x:row r="90" ht="38" customHeight="1">
      <x:c r="A90" s="10" t="str">
        <x:v>list_evidence</x:v>
      </x:c>
      <x:c r="B90" s="10" t="str">
        <x:v>GET</x:v>
      </x:c>
      <x:c r="C90" s="10" t="str">
        <x:v>/v1/tenants/{tenant_id}/evidence</x:v>
      </x:c>
      <x:c r="D90" s="10" t="str">
        <x:v>evidence.read</x:v>
      </x:c>
      <x:c r="E90" s="10" t="str">
        <x:v>MEL_ADMIN, PROGRAMME_MANAGER, AUTHOR, REVIEWER, ANALYST, DATA_STEWARD, EXTERNAL</x:v>
      </x:c>
      <x:c r="F90" s="10" t="str">
        <x:v>Ordinary session</x:v>
      </x:c>
      <x:c r="G90" s="10" t="str">
        <x:v>No</x:v>
      </x:c>
      <x:c r="H90" s="10" t="str">
        <x:v>No</x:v>
      </x:c>
      <x:c r="I90" s="10" t="str">
        <x:v>Read policy</x:v>
      </x:c>
      <x:c r="J90" s="17" t="str">
        <x:v>Implemented route; subset limits apply</x:v>
      </x:c>
    </x:row>
    <x:row r="91" ht="38" customHeight="1">
      <x:c r="A91" s="10" t="str">
        <x:v>create_evidence</x:v>
      </x:c>
      <x:c r="B91" s="10" t="str">
        <x:v>POST</x:v>
      </x:c>
      <x:c r="C91" s="10" t="str">
        <x:v>/v1/tenants/{tenant_id}/evidence</x:v>
      </x:c>
      <x:c r="D91" s="10" t="str">
        <x:v>evidence.draft.create</x:v>
      </x:c>
      <x:c r="E91" s="10" t="str">
        <x:v>AUTHOR, DATA_STEWARD</x:v>
      </x:c>
      <x:c r="F91" s="10" t="str">
        <x:v>Ordinary session</x:v>
      </x:c>
      <x:c r="G91" s="10" t="str">
        <x:v>No</x:v>
      </x:c>
      <x:c r="H91" s="10" t="str">
        <x:v>No</x:v>
      </x:c>
      <x:c r="I91" s="10" t="str">
        <x:v>Yes</x:v>
      </x:c>
      <x:c r="J91" s="17" t="str">
        <x:v>Design only; not an implemented route</x:v>
      </x:c>
    </x:row>
    <x:row r="92" ht="38" customHeight="1">
      <x:c r="A92" s="10" t="str">
        <x:v>get_evidence</x:v>
      </x:c>
      <x:c r="B92" s="10" t="str">
        <x:v>GET</x:v>
      </x:c>
      <x:c r="C92" s="10" t="str">
        <x:v>/v1/tenants/{tenant_id}/evidence/{object_id}</x:v>
      </x:c>
      <x:c r="D92" s="10" t="str">
        <x:v>evidence.read</x:v>
      </x:c>
      <x:c r="E92" s="10" t="str">
        <x:v>MEL_ADMIN, PROGRAMME_MANAGER, AUTHOR, REVIEWER, ANALYST, DATA_STEWARD, EXTERNAL</x:v>
      </x:c>
      <x:c r="F92" s="10" t="str">
        <x:v>Ordinary session</x:v>
      </x:c>
      <x:c r="G92" s="10" t="str">
        <x:v>No</x:v>
      </x:c>
      <x:c r="H92" s="10" t="str">
        <x:v>No</x:v>
      </x:c>
      <x:c r="I92" s="10" t="str">
        <x:v>Read policy</x:v>
      </x:c>
      <x:c r="J92" s="17" t="str">
        <x:v>Implemented route; subset limits apply</x:v>
      </x:c>
    </x:row>
    <x:row r="93" ht="38" customHeight="1">
      <x:c r="A93" s="10" t="str">
        <x:v>patch_evidence</x:v>
      </x:c>
      <x:c r="B93" s="10" t="str">
        <x:v>PATCH</x:v>
      </x:c>
      <x:c r="C93" s="10" t="str">
        <x:v>/v1/tenants/{tenant_id}/evidence/{object_id}</x:v>
      </x:c>
      <x:c r="D93" s="10" t="str">
        <x:v>evidence.draft.edit</x:v>
      </x:c>
      <x:c r="E93" s="10" t="str">
        <x:v>AUTHOR, DATA_STEWARD</x:v>
      </x:c>
      <x:c r="F93" s="10" t="str">
        <x:v>Ordinary session</x:v>
      </x:c>
      <x:c r="G93" s="10" t="str">
        <x:v>No</x:v>
      </x:c>
      <x:c r="H93" s="10" t="str">
        <x:v>No</x:v>
      </x:c>
      <x:c r="I93" s="10" t="str">
        <x:v>Yes</x:v>
      </x:c>
      <x:c r="J93" s="17" t="str">
        <x:v>Design only; not an implemented route</x:v>
      </x:c>
    </x:row>
    <x:row r="94" ht="38" customHeight="1">
      <x:c r="A94" s="10" t="str">
        <x:v>list_workflows</x:v>
      </x:c>
      <x:c r="B94" s="10" t="str">
        <x:v>GET</x:v>
      </x:c>
      <x:c r="C94" s="10" t="str">
        <x:v>/v1/tenants/{tenant_id}/workflows</x:v>
      </x:c>
      <x:c r="D94" s="10" t="str">
        <x:v>workflows.read</x:v>
      </x:c>
      <x:c r="E94" s="10" t="str">
        <x:v>MEL_ADMIN, PROGRAMME_MANAGER, AUTHOR, REVIEWER, ANALYST, DATA_STEWARD, EXTERNAL</x:v>
      </x:c>
      <x:c r="F94" s="10" t="str">
        <x:v>Ordinary session</x:v>
      </x:c>
      <x:c r="G94" s="10" t="str">
        <x:v>No</x:v>
      </x:c>
      <x:c r="H94" s="10" t="str">
        <x:v>No</x:v>
      </x:c>
      <x:c r="I94" s="10" t="str">
        <x:v>Read policy</x:v>
      </x:c>
      <x:c r="J94" s="17" t="str">
        <x:v>Implemented route; subset limits apply</x:v>
      </x:c>
    </x:row>
    <x:row r="95" ht="38" customHeight="1">
      <x:c r="A95" s="10" t="str">
        <x:v>get_workflows</x:v>
      </x:c>
      <x:c r="B95" s="10" t="str">
        <x:v>GET</x:v>
      </x:c>
      <x:c r="C95" s="10" t="str">
        <x:v>/v1/tenants/{tenant_id}/workflows/{object_id}</x:v>
      </x:c>
      <x:c r="D95" s="10" t="str">
        <x:v>workflows.read</x:v>
      </x:c>
      <x:c r="E95" s="10" t="str">
        <x:v>MEL_ADMIN, PROGRAMME_MANAGER, AUTHOR, REVIEWER, ANALYST, DATA_STEWARD, EXTERNAL</x:v>
      </x:c>
      <x:c r="F95" s="10" t="str">
        <x:v>Ordinary session</x:v>
      </x:c>
      <x:c r="G95" s="10" t="str">
        <x:v>No</x:v>
      </x:c>
      <x:c r="H95" s="10" t="str">
        <x:v>No</x:v>
      </x:c>
      <x:c r="I95" s="10" t="str">
        <x:v>Read policy</x:v>
      </x:c>
      <x:c r="J95" s="17" t="str">
        <x:v>Implemented route; subset limits apply</x:v>
      </x:c>
    </x:row>
    <x:row r="96" ht="38" customHeight="1">
      <x:c r="A96" s="10" t="str">
        <x:v>list_decisions</x:v>
      </x:c>
      <x:c r="B96" s="10" t="str">
        <x:v>GET</x:v>
      </x:c>
      <x:c r="C96" s="10" t="str">
        <x:v>/v1/tenants/{tenant_id}/decisions</x:v>
      </x:c>
      <x:c r="D96" s="10" t="str">
        <x:v>decisions.read</x:v>
      </x:c>
      <x:c r="E96" s="10" t="str">
        <x:v>MEL_ADMIN, PROGRAMME_MANAGER, AUTHOR, REVIEWER, ANALYST, DATA_STEWARD, EXTERNAL</x:v>
      </x:c>
      <x:c r="F96" s="10" t="str">
        <x:v>Ordinary session</x:v>
      </x:c>
      <x:c r="G96" s="10" t="str">
        <x:v>No</x:v>
      </x:c>
      <x:c r="H96" s="10" t="str">
        <x:v>No</x:v>
      </x:c>
      <x:c r="I96" s="10" t="str">
        <x:v>Read policy</x:v>
      </x:c>
      <x:c r="J96" s="17" t="str">
        <x:v>Implemented route; subset limits apply</x:v>
      </x:c>
    </x:row>
    <x:row r="97" ht="38" customHeight="1">
      <x:c r="A97" s="10" t="str">
        <x:v>get_decisions</x:v>
      </x:c>
      <x:c r="B97" s="10" t="str">
        <x:v>GET</x:v>
      </x:c>
      <x:c r="C97" s="10" t="str">
        <x:v>/v1/tenants/{tenant_id}/decisions/{object_id}</x:v>
      </x:c>
      <x:c r="D97" s="10" t="str">
        <x:v>decisions.read</x:v>
      </x:c>
      <x:c r="E97" s="10" t="str">
        <x:v>MEL_ADMIN, PROGRAMME_MANAGER, AUTHOR, REVIEWER, ANALYST, DATA_STEWARD, EXTERNAL</x:v>
      </x:c>
      <x:c r="F97" s="10" t="str">
        <x:v>Ordinary session</x:v>
      </x:c>
      <x:c r="G97" s="10" t="str">
        <x:v>No</x:v>
      </x:c>
      <x:c r="H97" s="10" t="str">
        <x:v>No</x:v>
      </x:c>
      <x:c r="I97" s="10" t="str">
        <x:v>Read policy</x:v>
      </x:c>
      <x:c r="J97" s="17" t="str">
        <x:v>Implemented route; subset limits apply</x:v>
      </x:c>
    </x:row>
    <x:row r="98" ht="38" customHeight="1">
      <x:c r="A98" s="10" t="str">
        <x:v>list_snapshots</x:v>
      </x:c>
      <x:c r="B98" s="10" t="str">
        <x:v>GET</x:v>
      </x:c>
      <x:c r="C98" s="10" t="str">
        <x:v>/v1/tenants/{tenant_id}/snapshots</x:v>
      </x:c>
      <x:c r="D98" s="10" t="str">
        <x:v>snapshots.read</x:v>
      </x:c>
      <x:c r="E98" s="10" t="str">
        <x:v>MEL_ADMIN, PROGRAMME_MANAGER, AUTHOR, REVIEWER, ANALYST, DATA_STEWARD, EXTERNAL</x:v>
      </x:c>
      <x:c r="F98" s="10" t="str">
        <x:v>Ordinary session</x:v>
      </x:c>
      <x:c r="G98" s="10" t="str">
        <x:v>No</x:v>
      </x:c>
      <x:c r="H98" s="10" t="str">
        <x:v>No</x:v>
      </x:c>
      <x:c r="I98" s="10" t="str">
        <x:v>Read policy</x:v>
      </x:c>
      <x:c r="J98" s="17" t="str">
        <x:v>Implemented route; subset limits apply</x:v>
      </x:c>
    </x:row>
    <x:row r="99" ht="38" customHeight="1">
      <x:c r="A99" s="10" t="str">
        <x:v>get_snapshots</x:v>
      </x:c>
      <x:c r="B99" s="10" t="str">
        <x:v>GET</x:v>
      </x:c>
      <x:c r="C99" s="10" t="str">
        <x:v>/v1/tenants/{tenant_id}/snapshots/{object_id}</x:v>
      </x:c>
      <x:c r="D99" s="10" t="str">
        <x:v>snapshots.read</x:v>
      </x:c>
      <x:c r="E99" s="10" t="str">
        <x:v>MEL_ADMIN, PROGRAMME_MANAGER, AUTHOR, REVIEWER, ANALYST, DATA_STEWARD, EXTERNAL</x:v>
      </x:c>
      <x:c r="F99" s="10" t="str">
        <x:v>Ordinary session</x:v>
      </x:c>
      <x:c r="G99" s="10" t="str">
        <x:v>No</x:v>
      </x:c>
      <x:c r="H99" s="10" t="str">
        <x:v>No</x:v>
      </x:c>
      <x:c r="I99" s="10" t="str">
        <x:v>Read policy</x:v>
      </x:c>
      <x:c r="J99" s="17" t="str">
        <x:v>Implemented route; subset limits apply</x:v>
      </x:c>
    </x:row>
    <x:row r="100" ht="38" customHeight="1">
      <x:c r="A100" s="10" t="str">
        <x:v>list_reports</x:v>
      </x:c>
      <x:c r="B100" s="10" t="str">
        <x:v>GET</x:v>
      </x:c>
      <x:c r="C100" s="10" t="str">
        <x:v>/v1/tenants/{tenant_id}/reports</x:v>
      </x:c>
      <x:c r="D100" s="10" t="str">
        <x:v>reports.read</x:v>
      </x:c>
      <x:c r="E100" s="10" t="str">
        <x:v>MEL_ADMIN, PROGRAMME_MANAGER, AUTHOR, REVIEWER, ANALYST, DATA_STEWARD, EXTERNAL</x:v>
      </x:c>
      <x:c r="F100" s="10" t="str">
        <x:v>Ordinary session</x:v>
      </x:c>
      <x:c r="G100" s="10" t="str">
        <x:v>No</x:v>
      </x:c>
      <x:c r="H100" s="10" t="str">
        <x:v>No</x:v>
      </x:c>
      <x:c r="I100" s="10" t="str">
        <x:v>Read policy</x:v>
      </x:c>
      <x:c r="J100" s="17" t="str">
        <x:v>Implemented route; subset limits apply</x:v>
      </x:c>
    </x:row>
    <x:row r="101" ht="38" customHeight="1">
      <x:c r="A101" s="10" t="str">
        <x:v>create_reports</x:v>
      </x:c>
      <x:c r="B101" s="10" t="str">
        <x:v>POST</x:v>
      </x:c>
      <x:c r="C101" s="10" t="str">
        <x:v>/v1/tenants/{tenant_id}/reports</x:v>
      </x:c>
      <x:c r="D101" s="10" t="str">
        <x:v>reports.draft.create</x:v>
      </x:c>
      <x:c r="E101" s="10" t="str">
        <x:v>AUTHOR</x:v>
      </x:c>
      <x:c r="F101" s="10" t="str">
        <x:v>Ordinary session</x:v>
      </x:c>
      <x:c r="G101" s="10" t="str">
        <x:v>No</x:v>
      </x:c>
      <x:c r="H101" s="10" t="str">
        <x:v>No</x:v>
      </x:c>
      <x:c r="I101" s="10" t="str">
        <x:v>Yes</x:v>
      </x:c>
      <x:c r="J101" s="17" t="str">
        <x:v>Implemented route; subset limits apply</x:v>
      </x:c>
    </x:row>
    <x:row r="102" ht="38" customHeight="1">
      <x:c r="A102" s="10" t="str">
        <x:v>get_reports</x:v>
      </x:c>
      <x:c r="B102" s="10" t="str">
        <x:v>GET</x:v>
      </x:c>
      <x:c r="C102" s="10" t="str">
        <x:v>/v1/tenants/{tenant_id}/reports/{object_id}</x:v>
      </x:c>
      <x:c r="D102" s="10" t="str">
        <x:v>reports.read</x:v>
      </x:c>
      <x:c r="E102" s="10" t="str">
        <x:v>MEL_ADMIN, PROGRAMME_MANAGER, AUTHOR, REVIEWER, ANALYST, DATA_STEWARD, EXTERNAL</x:v>
      </x:c>
      <x:c r="F102" s="10" t="str">
        <x:v>Ordinary session</x:v>
      </x:c>
      <x:c r="G102" s="10" t="str">
        <x:v>No</x:v>
      </x:c>
      <x:c r="H102" s="10" t="str">
        <x:v>No</x:v>
      </x:c>
      <x:c r="I102" s="10" t="str">
        <x:v>Read policy</x:v>
      </x:c>
      <x:c r="J102" s="17" t="str">
        <x:v>Implemented route; subset limits apply</x:v>
      </x:c>
    </x:row>
    <x:row r="103" ht="38" customHeight="1">
      <x:c r="A103" s="10" t="str">
        <x:v>patch_reports</x:v>
      </x:c>
      <x:c r="B103" s="10" t="str">
        <x:v>PATCH</x:v>
      </x:c>
      <x:c r="C103" s="10" t="str">
        <x:v>/v1/tenants/{tenant_id}/reports/{object_id}</x:v>
      </x:c>
      <x:c r="D103" s="10" t="str">
        <x:v>reports.draft.edit</x:v>
      </x:c>
      <x:c r="E103" s="10" t="str">
        <x:v>AUTHOR</x:v>
      </x:c>
      <x:c r="F103" s="10" t="str">
        <x:v>Ordinary session</x:v>
      </x:c>
      <x:c r="G103" s="10" t="str">
        <x:v>No</x:v>
      </x:c>
      <x:c r="H103" s="10" t="str">
        <x:v>No</x:v>
      </x:c>
      <x:c r="I103" s="10" t="str">
        <x:v>Yes</x:v>
      </x:c>
      <x:c r="J103" s="17" t="str">
        <x:v>Implemented route; subset limits apply</x:v>
      </x:c>
    </x:row>
    <x:row r="104" ht="38" customHeight="1">
      <x:c r="A104" s="10" t="str">
        <x:v>list_disclosures</x:v>
      </x:c>
      <x:c r="B104" s="10" t="str">
        <x:v>GET</x:v>
      </x:c>
      <x:c r="C104" s="10" t="str">
        <x:v>/v1/tenants/{tenant_id}/disclosures</x:v>
      </x:c>
      <x:c r="D104" s="10" t="str">
        <x:v>disclosures.read</x:v>
      </x:c>
      <x:c r="E104" s="10" t="str">
        <x:v>PRIVACY</x:v>
      </x:c>
      <x:c r="F104" s="10" t="str">
        <x:v>Ordinary session</x:v>
      </x:c>
      <x:c r="G104" s="10" t="str">
        <x:v>No</x:v>
      </x:c>
      <x:c r="H104" s="10" t="str">
        <x:v>Yes</x:v>
      </x:c>
      <x:c r="I104" s="10" t="str">
        <x:v>Read policy</x:v>
      </x:c>
      <x:c r="J104" s="17" t="str">
        <x:v>Implemented route; subset limits apply</x:v>
      </x:c>
    </x:row>
    <x:row r="105" ht="38" customHeight="1">
      <x:c r="A105" s="10" t="str">
        <x:v>get_disclosures</x:v>
      </x:c>
      <x:c r="B105" s="10" t="str">
        <x:v>GET</x:v>
      </x:c>
      <x:c r="C105" s="10" t="str">
        <x:v>/v1/tenants/{tenant_id}/disclosures/{object_id}</x:v>
      </x:c>
      <x:c r="D105" s="10" t="str">
        <x:v>disclosures.read</x:v>
      </x:c>
      <x:c r="E105" s="10" t="str">
        <x:v>PRIVACY</x:v>
      </x:c>
      <x:c r="F105" s="10" t="str">
        <x:v>Ordinary session</x:v>
      </x:c>
      <x:c r="G105" s="10" t="str">
        <x:v>No</x:v>
      </x:c>
      <x:c r="H105" s="10" t="str">
        <x:v>Yes</x:v>
      </x:c>
      <x:c r="I105" s="10" t="str">
        <x:v>Read policy</x:v>
      </x:c>
      <x:c r="J105" s="17" t="str">
        <x:v>Implemented route; subset limits apply</x:v>
      </x:c>
    </x:row>
    <x:row r="106" ht="38" customHeight="1">
      <x:c r="A106" s="10" t="str">
        <x:v>patch_disclosures</x:v>
      </x:c>
      <x:c r="B106" s="10" t="str">
        <x:v>PATCH</x:v>
      </x:c>
      <x:c r="C106" s="10" t="str">
        <x:v>/v1/tenants/{tenant_id}/disclosures/{object_id}</x:v>
      </x:c>
      <x:c r="D106" s="10" t="str">
        <x:v>disclosures.draft.edit</x:v>
      </x:c>
      <x:c r="E106" s="10" t="str">
        <x:v>PRIVACY</x:v>
      </x:c>
      <x:c r="F106" s="10" t="str">
        <x:v>Ordinary session</x:v>
      </x:c>
      <x:c r="G106" s="10" t="str">
        <x:v>No</x:v>
      </x:c>
      <x:c r="H106" s="10" t="str">
        <x:v>Yes</x:v>
      </x:c>
      <x:c r="I106" s="10" t="str">
        <x:v>Yes</x:v>
      </x:c>
      <x:c r="J106" s="17" t="str">
        <x:v>Design only; not an implemented route</x:v>
      </x:c>
    </x:row>
    <x:row r="107" ht="38" customHeight="1">
      <x:c r="A107" s="10" t="str">
        <x:v>list_budget_lines</x:v>
      </x:c>
      <x:c r="B107" s="10" t="str">
        <x:v>GET</x:v>
      </x:c>
      <x:c r="C107" s="10" t="str">
        <x:v>/v1/tenants/{tenant_id}/budget-lines</x:v>
      </x:c>
      <x:c r="D107" s="10" t="str">
        <x:v>budget-lines.read</x:v>
      </x:c>
      <x:c r="E107" s="10" t="str">
        <x:v>FINANCE</x:v>
      </x:c>
      <x:c r="F107" s="10" t="str">
        <x:v>Ordinary session</x:v>
      </x:c>
      <x:c r="G107" s="10" t="str">
        <x:v>No</x:v>
      </x:c>
      <x:c r="H107" s="10" t="str">
        <x:v>No</x:v>
      </x:c>
      <x:c r="I107" s="10" t="str">
        <x:v>Read policy</x:v>
      </x:c>
      <x:c r="J107" s="17" t="str">
        <x:v>Design only; not an implemented route</x:v>
      </x:c>
    </x:row>
    <x:row r="108" ht="38" customHeight="1">
      <x:c r="A108" s="10" t="str">
        <x:v>create_budget_lines</x:v>
      </x:c>
      <x:c r="B108" s="10" t="str">
        <x:v>POST</x:v>
      </x:c>
      <x:c r="C108" s="10" t="str">
        <x:v>/v1/tenants/{tenant_id}/budget-lines</x:v>
      </x:c>
      <x:c r="D108" s="10" t="str">
        <x:v>budget-lines.draft.create</x:v>
      </x:c>
      <x:c r="E108" s="10" t="str">
        <x:v>FINANCE</x:v>
      </x:c>
      <x:c r="F108" s="10" t="str">
        <x:v>Ordinary session</x:v>
      </x:c>
      <x:c r="G108" s="10" t="str">
        <x:v>No</x:v>
      </x:c>
      <x:c r="H108" s="10" t="str">
        <x:v>No</x:v>
      </x:c>
      <x:c r="I108" s="10" t="str">
        <x:v>Yes</x:v>
      </x:c>
      <x:c r="J108" s="17" t="str">
        <x:v>Design only; not an implemented route</x:v>
      </x:c>
    </x:row>
    <x:row r="109" ht="38" customHeight="1">
      <x:c r="A109" s="10" t="str">
        <x:v>get_budget_lines</x:v>
      </x:c>
      <x:c r="B109" s="10" t="str">
        <x:v>GET</x:v>
      </x:c>
      <x:c r="C109" s="10" t="str">
        <x:v>/v1/tenants/{tenant_id}/budget-lines/{object_id}</x:v>
      </x:c>
      <x:c r="D109" s="10" t="str">
        <x:v>budget-lines.read</x:v>
      </x:c>
      <x:c r="E109" s="10" t="str">
        <x:v>FINANCE</x:v>
      </x:c>
      <x:c r="F109" s="10" t="str">
        <x:v>Ordinary session</x:v>
      </x:c>
      <x:c r="G109" s="10" t="str">
        <x:v>No</x:v>
      </x:c>
      <x:c r="H109" s="10" t="str">
        <x:v>No</x:v>
      </x:c>
      <x:c r="I109" s="10" t="str">
        <x:v>Read policy</x:v>
      </x:c>
      <x:c r="J109" s="17" t="str">
        <x:v>Design only; not an implemented route</x:v>
      </x:c>
    </x:row>
    <x:row r="110" ht="38" customHeight="1">
      <x:c r="A110" s="10" t="str">
        <x:v>patch_budget_lines</x:v>
      </x:c>
      <x:c r="B110" s="10" t="str">
        <x:v>PATCH</x:v>
      </x:c>
      <x:c r="C110" s="10" t="str">
        <x:v>/v1/tenants/{tenant_id}/budget-lines/{object_id}</x:v>
      </x:c>
      <x:c r="D110" s="10" t="str">
        <x:v>budget-lines.draft.edit</x:v>
      </x:c>
      <x:c r="E110" s="10" t="str">
        <x:v>FINANCE</x:v>
      </x:c>
      <x:c r="F110" s="10" t="str">
        <x:v>Ordinary session</x:v>
      </x:c>
      <x:c r="G110" s="10" t="str">
        <x:v>No</x:v>
      </x:c>
      <x:c r="H110" s="10" t="str">
        <x:v>No</x:v>
      </x:c>
      <x:c r="I110" s="10" t="str">
        <x:v>Yes</x:v>
      </x:c>
      <x:c r="J110" s="17" t="str">
        <x:v>Design only; not an implemented route</x:v>
      </x:c>
    </x:row>
    <x:row r="111" ht="38" customHeight="1">
      <x:c r="A111" s="10" t="str">
        <x:v>list_connections</x:v>
      </x:c>
      <x:c r="B111" s="10" t="str">
        <x:v>GET</x:v>
      </x:c>
      <x:c r="C111" s="10" t="str">
        <x:v>/v1/tenants/{tenant_id}/connections</x:v>
      </x:c>
      <x:c r="D111" s="10" t="str">
        <x:v>connections.read</x:v>
      </x:c>
      <x:c r="E111" s="10" t="str">
        <x:v>OWNER, TENANT_ADMIN</x:v>
      </x:c>
      <x:c r="F111" s="10" t="str">
        <x:v>Ordinary session</x:v>
      </x:c>
      <x:c r="G111" s="10" t="str">
        <x:v>No</x:v>
      </x:c>
      <x:c r="H111" s="10" t="str">
        <x:v>No</x:v>
      </x:c>
      <x:c r="I111" s="10" t="str">
        <x:v>Read policy</x:v>
      </x:c>
      <x:c r="J111" s="17" t="str">
        <x:v>Implemented route; subset limits apply</x:v>
      </x:c>
    </x:row>
    <x:row r="112" ht="38" customHeight="1">
      <x:c r="A112" s="10" t="str">
        <x:v>create_connections</x:v>
      </x:c>
      <x:c r="B112" s="10" t="str">
        <x:v>POST</x:v>
      </x:c>
      <x:c r="C112" s="10" t="str">
        <x:v>/v1/tenants/{tenant_id}/connections</x:v>
      </x:c>
      <x:c r="D112" s="10" t="str">
        <x:v>connections.draft.create</x:v>
      </x:c>
      <x:c r="E112" s="10" t="str">
        <x:v>TENANT_ADMIN</x:v>
      </x:c>
      <x:c r="F112" s="10" t="str">
        <x:v>Ordinary session</x:v>
      </x:c>
      <x:c r="G112" s="10" t="str">
        <x:v>No</x:v>
      </x:c>
      <x:c r="H112" s="10" t="str">
        <x:v>No</x:v>
      </x:c>
      <x:c r="I112" s="10" t="str">
        <x:v>Yes</x:v>
      </x:c>
      <x:c r="J112" s="17" t="str">
        <x:v>Design only; not an implemented route</x:v>
      </x:c>
    </x:row>
    <x:row r="113" ht="38" customHeight="1">
      <x:c r="A113" s="10" t="str">
        <x:v>get_connections</x:v>
      </x:c>
      <x:c r="B113" s="10" t="str">
        <x:v>GET</x:v>
      </x:c>
      <x:c r="C113" s="10" t="str">
        <x:v>/v1/tenants/{tenant_id}/connections/{object_id}</x:v>
      </x:c>
      <x:c r="D113" s="10" t="str">
        <x:v>connections.read</x:v>
      </x:c>
      <x:c r="E113" s="10" t="str">
        <x:v>OWNER, TENANT_ADMIN</x:v>
      </x:c>
      <x:c r="F113" s="10" t="str">
        <x:v>Ordinary session</x:v>
      </x:c>
      <x:c r="G113" s="10" t="str">
        <x:v>No</x:v>
      </x:c>
      <x:c r="H113" s="10" t="str">
        <x:v>No</x:v>
      </x:c>
      <x:c r="I113" s="10" t="str">
        <x:v>Read policy</x:v>
      </x:c>
      <x:c r="J113" s="17" t="str">
        <x:v>Implemented route; subset limits apply</x:v>
      </x:c>
    </x:row>
    <x:row r="114" ht="38" customHeight="1">
      <x:c r="A114" s="10" t="str">
        <x:v>patch_connections</x:v>
      </x:c>
      <x:c r="B114" s="10" t="str">
        <x:v>PATCH</x:v>
      </x:c>
      <x:c r="C114" s="10" t="str">
        <x:v>/v1/tenants/{tenant_id}/connections/{object_id}</x:v>
      </x:c>
      <x:c r="D114" s="10" t="str">
        <x:v>connections.draft.edit</x:v>
      </x:c>
      <x:c r="E114" s="10" t="str">
        <x:v>TENANT_ADMIN</x:v>
      </x:c>
      <x:c r="F114" s="10" t="str">
        <x:v>Ordinary session</x:v>
      </x:c>
      <x:c r="G114" s="10" t="str">
        <x:v>No</x:v>
      </x:c>
      <x:c r="H114" s="10" t="str">
        <x:v>No</x:v>
      </x:c>
      <x:c r="I114" s="10" t="str">
        <x:v>Yes</x:v>
      </x:c>
      <x:c r="J114" s="17" t="str">
        <x:v>Design only; not an implemented route</x:v>
      </x:c>
    </x:row>
    <x:row r="115" ht="38" customHeight="1">
      <x:c r="A115" s="10" t="str">
        <x:v>list_ai_tasks</x:v>
      </x:c>
      <x:c r="B115" s="10" t="str">
        <x:v>GET</x:v>
      </x:c>
      <x:c r="C115" s="10" t="str">
        <x:v>/v1/tenants/{tenant_id}/ai-tasks</x:v>
      </x:c>
      <x:c r="D115" s="10" t="str">
        <x:v>ai-tasks.read</x:v>
      </x:c>
      <x:c r="E115" s="10" t="str">
        <x:v>MEL_ADMIN, PROGRAMME_MANAGER, AUTHOR, REVIEWER, ANALYST, DATA_STEWARD, EXTERNAL</x:v>
      </x:c>
      <x:c r="F115" s="10" t="str">
        <x:v>Ordinary session</x:v>
      </x:c>
      <x:c r="G115" s="10" t="str">
        <x:v>No</x:v>
      </x:c>
      <x:c r="H115" s="10" t="str">
        <x:v>No</x:v>
      </x:c>
      <x:c r="I115" s="10" t="str">
        <x:v>Read policy</x:v>
      </x:c>
      <x:c r="J115" s="17" t="str">
        <x:v>Design only; not an implemented route</x:v>
      </x:c>
    </x:row>
    <x:row r="116" ht="38" customHeight="1">
      <x:c r="A116" s="10" t="str">
        <x:v>get_ai_tasks</x:v>
      </x:c>
      <x:c r="B116" s="10" t="str">
        <x:v>GET</x:v>
      </x:c>
      <x:c r="C116" s="10" t="str">
        <x:v>/v1/tenants/{tenant_id}/ai-tasks/{object_id}</x:v>
      </x:c>
      <x:c r="D116" s="10" t="str">
        <x:v>ai-tasks.read</x:v>
      </x:c>
      <x:c r="E116" s="10" t="str">
        <x:v>MEL_ADMIN, PROGRAMME_MANAGER, AUTHOR, REVIEWER, ANALYST, DATA_STEWARD, EXTERNAL</x:v>
      </x:c>
      <x:c r="F116" s="10" t="str">
        <x:v>Ordinary session</x:v>
      </x:c>
      <x:c r="G116" s="10" t="str">
        <x:v>No</x:v>
      </x:c>
      <x:c r="H116" s="10" t="str">
        <x:v>No</x:v>
      </x:c>
      <x:c r="I116" s="10" t="str">
        <x:v>Read policy</x:v>
      </x:c>
      <x:c r="J116" s="17" t="str">
        <x:v>Design only; not an implemented route</x:v>
      </x:c>
    </x:row>
    <x:row r="117" ht="38" customHeight="1">
      <x:c r="A117" s="10" t="str">
        <x:v>list_privacy_cases</x:v>
      </x:c>
      <x:c r="B117" s="10" t="str">
        <x:v>GET</x:v>
      </x:c>
      <x:c r="C117" s="10" t="str">
        <x:v>/v1/tenants/{tenant_id}/privacy-cases</x:v>
      </x:c>
      <x:c r="D117" s="10" t="str">
        <x:v>privacy-cases.read</x:v>
      </x:c>
      <x:c r="E117" s="10" t="str">
        <x:v>PRIVACY</x:v>
      </x:c>
      <x:c r="F117" s="10" t="str">
        <x:v>Ordinary session</x:v>
      </x:c>
      <x:c r="G117" s="10" t="str">
        <x:v>No</x:v>
      </x:c>
      <x:c r="H117" s="10" t="str">
        <x:v>Yes</x:v>
      </x:c>
      <x:c r="I117" s="10" t="str">
        <x:v>Read policy</x:v>
      </x:c>
      <x:c r="J117" s="17" t="str">
        <x:v>Design only; not an implemented route</x:v>
      </x:c>
    </x:row>
    <x:row r="118" ht="38" customHeight="1">
      <x:c r="A118" s="10" t="str">
        <x:v>create_privacy_cases</x:v>
      </x:c>
      <x:c r="B118" s="10" t="str">
        <x:v>POST</x:v>
      </x:c>
      <x:c r="C118" s="10" t="str">
        <x:v>/v1/tenants/{tenant_id}/privacy-cases</x:v>
      </x:c>
      <x:c r="D118" s="10" t="str">
        <x:v>privacy-cases.draft.create</x:v>
      </x:c>
      <x:c r="E118" s="10" t="str">
        <x:v>PRIVACY</x:v>
      </x:c>
      <x:c r="F118" s="10" t="str">
        <x:v>Ordinary session</x:v>
      </x:c>
      <x:c r="G118" s="10" t="str">
        <x:v>No</x:v>
      </x:c>
      <x:c r="H118" s="10" t="str">
        <x:v>Yes</x:v>
      </x:c>
      <x:c r="I118" s="10" t="str">
        <x:v>Yes</x:v>
      </x:c>
      <x:c r="J118" s="17" t="str">
        <x:v>Design only; not an implemented route</x:v>
      </x:c>
    </x:row>
    <x:row r="119" ht="38" customHeight="1">
      <x:c r="A119" s="10" t="str">
        <x:v>get_privacy_cases</x:v>
      </x:c>
      <x:c r="B119" s="10" t="str">
        <x:v>GET</x:v>
      </x:c>
      <x:c r="C119" s="10" t="str">
        <x:v>/v1/tenants/{tenant_id}/privacy-cases/{object_id}</x:v>
      </x:c>
      <x:c r="D119" s="10" t="str">
        <x:v>privacy-cases.read</x:v>
      </x:c>
      <x:c r="E119" s="10" t="str">
        <x:v>PRIVACY</x:v>
      </x:c>
      <x:c r="F119" s="10" t="str">
        <x:v>Ordinary session</x:v>
      </x:c>
      <x:c r="G119" s="10" t="str">
        <x:v>No</x:v>
      </x:c>
      <x:c r="H119" s="10" t="str">
        <x:v>Yes</x:v>
      </x:c>
      <x:c r="I119" s="10" t="str">
        <x:v>Read policy</x:v>
      </x:c>
      <x:c r="J119" s="17" t="str">
        <x:v>Design only; not an implemented route</x:v>
      </x:c>
    </x:row>
    <x:row r="120" ht="38" customHeight="1">
      <x:c r="A120" s="10" t="str">
        <x:v>patch_privacy_cases</x:v>
      </x:c>
      <x:c r="B120" s="10" t="str">
        <x:v>PATCH</x:v>
      </x:c>
      <x:c r="C120" s="10" t="str">
        <x:v>/v1/tenants/{tenant_id}/privacy-cases/{object_id}</x:v>
      </x:c>
      <x:c r="D120" s="10" t="str">
        <x:v>privacy-cases.draft.edit</x:v>
      </x:c>
      <x:c r="E120" s="10" t="str">
        <x:v>PRIVACY</x:v>
      </x:c>
      <x:c r="F120" s="10" t="str">
        <x:v>Ordinary session</x:v>
      </x:c>
      <x:c r="G120" s="10" t="str">
        <x:v>No</x:v>
      </x:c>
      <x:c r="H120" s="10" t="str">
        <x:v>Yes</x:v>
      </x:c>
      <x:c r="I120" s="10" t="str">
        <x:v>Yes</x:v>
      </x:c>
      <x:c r="J120" s="17" t="str">
        <x:v>Design only; not an implemented route</x:v>
      </x:c>
    </x:row>
    <x:row r="121" ht="38" customHeight="1">
      <x:c r="A121" s="10" t="str">
        <x:v>list_audit_events</x:v>
      </x:c>
      <x:c r="B121" s="10" t="str">
        <x:v>GET</x:v>
      </x:c>
      <x:c r="C121" s="10" t="str">
        <x:v>/v1/tenants/{tenant_id}/audit-events</x:v>
      </x:c>
      <x:c r="D121" s="10" t="str">
        <x:v>audit-events.read</x:v>
      </x:c>
      <x:c r="E121" s="10" t="str">
        <x:v>OPERATOR</x:v>
      </x:c>
      <x:c r="F121" s="10" t="str">
        <x:v>Ordinary session</x:v>
      </x:c>
      <x:c r="G121" s="10" t="str">
        <x:v>No</x:v>
      </x:c>
      <x:c r="H121" s="10" t="str">
        <x:v>No</x:v>
      </x:c>
      <x:c r="I121" s="10" t="str">
        <x:v>Read policy</x:v>
      </x:c>
      <x:c r="J121" s="17" t="str">
        <x:v>Implemented route; subset limits apply</x:v>
      </x:c>
    </x:row>
    <x:row r="122" ht="38" customHeight="1">
      <x:c r="A122" s="10" t="str">
        <x:v>get_audit_events</x:v>
      </x:c>
      <x:c r="B122" s="10" t="str">
        <x:v>GET</x:v>
      </x:c>
      <x:c r="C122" s="10" t="str">
        <x:v>/v1/tenants/{tenant_id}/audit-events/{object_id}</x:v>
      </x:c>
      <x:c r="D122" s="10" t="str">
        <x:v>audit-events.read</x:v>
      </x:c>
      <x:c r="E122" s="10" t="str">
        <x:v>OPERATOR</x:v>
      </x:c>
      <x:c r="F122" s="10" t="str">
        <x:v>Ordinary session</x:v>
      </x:c>
      <x:c r="G122" s="10" t="str">
        <x:v>No</x:v>
      </x:c>
      <x:c r="H122" s="10" t="str">
        <x:v>No</x:v>
      </x:c>
      <x:c r="I122" s="10" t="str">
        <x:v>Read policy</x:v>
      </x:c>
      <x:c r="J122" s="17" t="str">
        <x:v>Implemented route; subset limits apply</x:v>
      </x:c>
    </x:row>
    <x:row r="123" ht="38" customHeight="1">
      <x:c r="A123" s="10" t="str">
        <x:v>list_evaluations</x:v>
      </x:c>
      <x:c r="B123" s="10" t="str">
        <x:v>GET</x:v>
      </x:c>
      <x:c r="C123" s="10" t="str">
        <x:v>/v1/tenants/{tenant_id}/evaluations</x:v>
      </x:c>
      <x:c r="D123" s="10" t="str">
        <x:v>evaluations.read</x:v>
      </x:c>
      <x:c r="E123" s="10" t="str">
        <x:v>MEL_ADMIN, PROGRAMME_MANAGER, AUTHOR, REVIEWER, ANALYST, DATA_STEWARD, EXTERNAL</x:v>
      </x:c>
      <x:c r="F123" s="10" t="str">
        <x:v>Ordinary session</x:v>
      </x:c>
      <x:c r="G123" s="10" t="str">
        <x:v>No</x:v>
      </x:c>
      <x:c r="H123" s="10" t="str">
        <x:v>No</x:v>
      </x:c>
      <x:c r="I123" s="10" t="str">
        <x:v>Read policy</x:v>
      </x:c>
      <x:c r="J123" s="17" t="str">
        <x:v>Design only; not an implemented route</x:v>
      </x:c>
    </x:row>
    <x:row r="124" ht="38" customHeight="1">
      <x:c r="A124" s="10" t="str">
        <x:v>create_evaluations</x:v>
      </x:c>
      <x:c r="B124" s="10" t="str">
        <x:v>POST</x:v>
      </x:c>
      <x:c r="C124" s="10" t="str">
        <x:v>/v1/tenants/{tenant_id}/evaluations</x:v>
      </x:c>
      <x:c r="D124" s="10" t="str">
        <x:v>evaluations.draft.create</x:v>
      </x:c>
      <x:c r="E124" s="10" t="str">
        <x:v>AUTHOR, ANALYST</x:v>
      </x:c>
      <x:c r="F124" s="10" t="str">
        <x:v>Ordinary session</x:v>
      </x:c>
      <x:c r="G124" s="10" t="str">
        <x:v>No</x:v>
      </x:c>
      <x:c r="H124" s="10" t="str">
        <x:v>No</x:v>
      </x:c>
      <x:c r="I124" s="10" t="str">
        <x:v>Yes</x:v>
      </x:c>
      <x:c r="J124" s="17" t="str">
        <x:v>Design only; not an implemented route</x:v>
      </x:c>
    </x:row>
    <x:row r="125" ht="38" customHeight="1">
      <x:c r="A125" s="10" t="str">
        <x:v>get_evaluations</x:v>
      </x:c>
      <x:c r="B125" s="10" t="str">
        <x:v>GET</x:v>
      </x:c>
      <x:c r="C125" s="10" t="str">
        <x:v>/v1/tenants/{tenant_id}/evaluations/{object_id}</x:v>
      </x:c>
      <x:c r="D125" s="10" t="str">
        <x:v>evaluations.read</x:v>
      </x:c>
      <x:c r="E125" s="10" t="str">
        <x:v>MEL_ADMIN, PROGRAMME_MANAGER, AUTHOR, REVIEWER, ANALYST, DATA_STEWARD, EXTERNAL</x:v>
      </x:c>
      <x:c r="F125" s="10" t="str">
        <x:v>Ordinary session</x:v>
      </x:c>
      <x:c r="G125" s="10" t="str">
        <x:v>No</x:v>
      </x:c>
      <x:c r="H125" s="10" t="str">
        <x:v>No</x:v>
      </x:c>
      <x:c r="I125" s="10" t="str">
        <x:v>Read policy</x:v>
      </x:c>
      <x:c r="J125" s="17" t="str">
        <x:v>Design only; not an implemented route</x:v>
      </x:c>
    </x:row>
    <x:row r="126" ht="38" customHeight="1">
      <x:c r="A126" s="10" t="str">
        <x:v>patch_evaluations</x:v>
      </x:c>
      <x:c r="B126" s="10" t="str">
        <x:v>PATCH</x:v>
      </x:c>
      <x:c r="C126" s="10" t="str">
        <x:v>/v1/tenants/{tenant_id}/evaluations/{object_id}</x:v>
      </x:c>
      <x:c r="D126" s="10" t="str">
        <x:v>evaluations.draft.edit</x:v>
      </x:c>
      <x:c r="E126" s="10" t="str">
        <x:v>AUTHOR, ANALYST</x:v>
      </x:c>
      <x:c r="F126" s="10" t="str">
        <x:v>Ordinary session</x:v>
      </x:c>
      <x:c r="G126" s="10" t="str">
        <x:v>No</x:v>
      </x:c>
      <x:c r="H126" s="10" t="str">
        <x:v>No</x:v>
      </x:c>
      <x:c r="I126" s="10" t="str">
        <x:v>Yes</x:v>
      </x:c>
      <x:c r="J126" s="17" t="str">
        <x:v>Design only; not an implemented route</x:v>
      </x:c>
    </x:row>
    <x:row r="127" ht="38" customHeight="1">
      <x:c r="A127" s="10" t="str">
        <x:v>list_retention_policies</x:v>
      </x:c>
      <x:c r="B127" s="10" t="str">
        <x:v>GET</x:v>
      </x:c>
      <x:c r="C127" s="10" t="str">
        <x:v>/v1/tenants/{tenant_id}/retention-policies</x:v>
      </x:c>
      <x:c r="D127" s="10" t="str">
        <x:v>retention-policies.read</x:v>
      </x:c>
      <x:c r="E127" s="10" t="str">
        <x:v>PRIVACY</x:v>
      </x:c>
      <x:c r="F127" s="10" t="str">
        <x:v>Ordinary session</x:v>
      </x:c>
      <x:c r="G127" s="10" t="str">
        <x:v>No</x:v>
      </x:c>
      <x:c r="H127" s="10" t="str">
        <x:v>No</x:v>
      </x:c>
      <x:c r="I127" s="10" t="str">
        <x:v>Read policy</x:v>
      </x:c>
      <x:c r="J127" s="17" t="str">
        <x:v>Design only; not an implemented route</x:v>
      </x:c>
    </x:row>
    <x:row r="128" ht="38" customHeight="1">
      <x:c r="A128" s="10" t="str">
        <x:v>create_retention_policies</x:v>
      </x:c>
      <x:c r="B128" s="10" t="str">
        <x:v>POST</x:v>
      </x:c>
      <x:c r="C128" s="10" t="str">
        <x:v>/v1/tenants/{tenant_id}/retention-policies</x:v>
      </x:c>
      <x:c r="D128" s="10" t="str">
        <x:v>retention-policies.draft.create</x:v>
      </x:c>
      <x:c r="E128" s="10" t="str">
        <x:v>PRIVACY</x:v>
      </x:c>
      <x:c r="F128" s="10" t="str">
        <x:v>Ordinary session</x:v>
      </x:c>
      <x:c r="G128" s="10" t="str">
        <x:v>No</x:v>
      </x:c>
      <x:c r="H128" s="10" t="str">
        <x:v>No</x:v>
      </x:c>
      <x:c r="I128" s="10" t="str">
        <x:v>Yes</x:v>
      </x:c>
      <x:c r="J128" s="17" t="str">
        <x:v>Design only; not an implemented route</x:v>
      </x:c>
    </x:row>
    <x:row r="129" ht="38" customHeight="1">
      <x:c r="A129" s="10" t="str">
        <x:v>get_retention_policies</x:v>
      </x:c>
      <x:c r="B129" s="10" t="str">
        <x:v>GET</x:v>
      </x:c>
      <x:c r="C129" s="10" t="str">
        <x:v>/v1/tenants/{tenant_id}/retention-policies/{object_id}</x:v>
      </x:c>
      <x:c r="D129" s="10" t="str">
        <x:v>retention-policies.read</x:v>
      </x:c>
      <x:c r="E129" s="10" t="str">
        <x:v>PRIVACY</x:v>
      </x:c>
      <x:c r="F129" s="10" t="str">
        <x:v>Ordinary session</x:v>
      </x:c>
      <x:c r="G129" s="10" t="str">
        <x:v>No</x:v>
      </x:c>
      <x:c r="H129" s="10" t="str">
        <x:v>No</x:v>
      </x:c>
      <x:c r="I129" s="10" t="str">
        <x:v>Read policy</x:v>
      </x:c>
      <x:c r="J129" s="17" t="str">
        <x:v>Design only; not an implemented route</x:v>
      </x:c>
    </x:row>
    <x:row r="130" ht="38" customHeight="1">
      <x:c r="A130" s="10" t="str">
        <x:v>patch_retention_policies</x:v>
      </x:c>
      <x:c r="B130" s="10" t="str">
        <x:v>PATCH</x:v>
      </x:c>
      <x:c r="C130" s="10" t="str">
        <x:v>/v1/tenants/{tenant_id}/retention-policies/{object_id}</x:v>
      </x:c>
      <x:c r="D130" s="10" t="str">
        <x:v>retention-policies.draft.edit</x:v>
      </x:c>
      <x:c r="E130" s="10" t="str">
        <x:v>PRIVACY</x:v>
      </x:c>
      <x:c r="F130" s="10" t="str">
        <x:v>Ordinary session</x:v>
      </x:c>
      <x:c r="G130" s="10" t="str">
        <x:v>No</x:v>
      </x:c>
      <x:c r="H130" s="10" t="str">
        <x:v>No</x:v>
      </x:c>
      <x:c r="I130" s="10" t="str">
        <x:v>Yes</x:v>
      </x:c>
      <x:c r="J130" s="17" t="str">
        <x:v>Design only; not an implemented route</x:v>
      </x:c>
    </x:row>
    <x:row r="131" ht="38" customHeight="1">
      <x:c r="A131" s="10" t="str">
        <x:v>list_subscriptions</x:v>
      </x:c>
      <x:c r="B131" s="10" t="str">
        <x:v>GET</x:v>
      </x:c>
      <x:c r="C131" s="10" t="str">
        <x:v>/v1/tenants/{tenant_id}/subscriptions</x:v>
      </x:c>
      <x:c r="D131" s="10" t="str">
        <x:v>subscriptions.read</x:v>
      </x:c>
      <x:c r="E131" s="10" t="str">
        <x:v>OPERATOR</x:v>
      </x:c>
      <x:c r="F131" s="10" t="str">
        <x:v>Ordinary session</x:v>
      </x:c>
      <x:c r="G131" s="10" t="str">
        <x:v>No</x:v>
      </x:c>
      <x:c r="H131" s="10" t="str">
        <x:v>No</x:v>
      </x:c>
      <x:c r="I131" s="10" t="str">
        <x:v>Read policy</x:v>
      </x:c>
      <x:c r="J131" s="17" t="str">
        <x:v>Design only; not an implemented route</x:v>
      </x:c>
    </x:row>
    <x:row r="132" ht="38" customHeight="1">
      <x:c r="A132" s="10" t="str">
        <x:v>get_subscriptions</x:v>
      </x:c>
      <x:c r="B132" s="10" t="str">
        <x:v>GET</x:v>
      </x:c>
      <x:c r="C132" s="10" t="str">
        <x:v>/v1/tenants/{tenant_id}/subscriptions/{object_id}</x:v>
      </x:c>
      <x:c r="D132" s="10" t="str">
        <x:v>subscriptions.read</x:v>
      </x:c>
      <x:c r="E132" s="10" t="str">
        <x:v>OPERATOR</x:v>
      </x:c>
      <x:c r="F132" s="10" t="str">
        <x:v>Ordinary session</x:v>
      </x:c>
      <x:c r="G132" s="10" t="str">
        <x:v>No</x:v>
      </x:c>
      <x:c r="H132" s="10" t="str">
        <x:v>No</x:v>
      </x:c>
      <x:c r="I132" s="10" t="str">
        <x:v>Read policy</x:v>
      </x:c>
      <x:c r="J132" s="17" t="str">
        <x:v>Design only; not an implemented route</x:v>
      </x:c>
    </x:row>
    <x:row r="133" ht="38" customHeight="1">
      <x:c r="A133" s="10" t="str">
        <x:v>list_funding_agreements</x:v>
      </x:c>
      <x:c r="B133" s="10" t="str">
        <x:v>GET</x:v>
      </x:c>
      <x:c r="C133" s="10" t="str">
        <x:v>/v1/tenants/{tenant_id}/funding-agreements</x:v>
      </x:c>
      <x:c r="D133" s="10" t="str">
        <x:v>funding-agreements.read</x:v>
      </x:c>
      <x:c r="E133" s="10" t="str">
        <x:v>FINANCE</x:v>
      </x:c>
      <x:c r="F133" s="10" t="str">
        <x:v>Ordinary session</x:v>
      </x:c>
      <x:c r="G133" s="10" t="str">
        <x:v>No</x:v>
      </x:c>
      <x:c r="H133" s="10" t="str">
        <x:v>No</x:v>
      </x:c>
      <x:c r="I133" s="10" t="str">
        <x:v>Read policy</x:v>
      </x:c>
      <x:c r="J133" s="17" t="str">
        <x:v>Design only; not an implemented route</x:v>
      </x:c>
    </x:row>
    <x:row r="134" ht="38" customHeight="1">
      <x:c r="A134" s="10" t="str">
        <x:v>create_funding_agreements</x:v>
      </x:c>
      <x:c r="B134" s="10" t="str">
        <x:v>POST</x:v>
      </x:c>
      <x:c r="C134" s="10" t="str">
        <x:v>/v1/tenants/{tenant_id}/funding-agreements</x:v>
      </x:c>
      <x:c r="D134" s="10" t="str">
        <x:v>funding-agreements.draft.create</x:v>
      </x:c>
      <x:c r="E134" s="10" t="str">
        <x:v>FINANCE</x:v>
      </x:c>
      <x:c r="F134" s="10" t="str">
        <x:v>Ordinary session</x:v>
      </x:c>
      <x:c r="G134" s="10" t="str">
        <x:v>No</x:v>
      </x:c>
      <x:c r="H134" s="10" t="str">
        <x:v>No</x:v>
      </x:c>
      <x:c r="I134" s="10" t="str">
        <x:v>Yes</x:v>
      </x:c>
      <x:c r="J134" s="17" t="str">
        <x:v>Design only; not an implemented route</x:v>
      </x:c>
    </x:row>
    <x:row r="135" ht="38" customHeight="1">
      <x:c r="A135" s="10" t="str">
        <x:v>get_funding_agreements</x:v>
      </x:c>
      <x:c r="B135" s="10" t="str">
        <x:v>GET</x:v>
      </x:c>
      <x:c r="C135" s="10" t="str">
        <x:v>/v1/tenants/{tenant_id}/funding-agreements/{object_id}</x:v>
      </x:c>
      <x:c r="D135" s="10" t="str">
        <x:v>funding-agreements.read</x:v>
      </x:c>
      <x:c r="E135" s="10" t="str">
        <x:v>FINANCE</x:v>
      </x:c>
      <x:c r="F135" s="10" t="str">
        <x:v>Ordinary session</x:v>
      </x:c>
      <x:c r="G135" s="10" t="str">
        <x:v>No</x:v>
      </x:c>
      <x:c r="H135" s="10" t="str">
        <x:v>No</x:v>
      </x:c>
      <x:c r="I135" s="10" t="str">
        <x:v>Read policy</x:v>
      </x:c>
      <x:c r="J135" s="17" t="str">
        <x:v>Design only; not an implemented route</x:v>
      </x:c>
    </x:row>
    <x:row r="136" ht="38" customHeight="1">
      <x:c r="A136" s="10" t="str">
        <x:v>patch_funding_agreements</x:v>
      </x:c>
      <x:c r="B136" s="10" t="str">
        <x:v>PATCH</x:v>
      </x:c>
      <x:c r="C136" s="10" t="str">
        <x:v>/v1/tenants/{tenant_id}/funding-agreements/{object_id}</x:v>
      </x:c>
      <x:c r="D136" s="10" t="str">
        <x:v>funding-agreements.draft.edit</x:v>
      </x:c>
      <x:c r="E136" s="10" t="str">
        <x:v>FINANCE</x:v>
      </x:c>
      <x:c r="F136" s="10" t="str">
        <x:v>Ordinary session</x:v>
      </x:c>
      <x:c r="G136" s="10" t="str">
        <x:v>No</x:v>
      </x:c>
      <x:c r="H136" s="10" t="str">
        <x:v>No</x:v>
      </x:c>
      <x:c r="I136" s="10" t="str">
        <x:v>Yes</x:v>
      </x:c>
      <x:c r="J136" s="17" t="str">
        <x:v>Design only; not an implemented route</x:v>
      </x:c>
    </x:row>
    <x:row r="137" ht="38" customHeight="1">
      <x:c r="A137" s="10" t="str">
        <x:v>list_finance_transactions</x:v>
      </x:c>
      <x:c r="B137" s="10" t="str">
        <x:v>GET</x:v>
      </x:c>
      <x:c r="C137" s="10" t="str">
        <x:v>/v1/tenants/{tenant_id}/finance-transactions</x:v>
      </x:c>
      <x:c r="D137" s="10" t="str">
        <x:v>finance-transactions.read</x:v>
      </x:c>
      <x:c r="E137" s="10" t="str">
        <x:v>FINANCE</x:v>
      </x:c>
      <x:c r="F137" s="10" t="str">
        <x:v>Ordinary session</x:v>
      </x:c>
      <x:c r="G137" s="10" t="str">
        <x:v>No</x:v>
      </x:c>
      <x:c r="H137" s="10" t="str">
        <x:v>No</x:v>
      </x:c>
      <x:c r="I137" s="10" t="str">
        <x:v>Read policy</x:v>
      </x:c>
      <x:c r="J137" s="17" t="str">
        <x:v>Design only; not an implemented route</x:v>
      </x:c>
    </x:row>
    <x:row r="138" ht="38" customHeight="1">
      <x:c r="A138" s="10" t="str">
        <x:v>create_finance_transactions</x:v>
      </x:c>
      <x:c r="B138" s="10" t="str">
        <x:v>POST</x:v>
      </x:c>
      <x:c r="C138" s="10" t="str">
        <x:v>/v1/tenants/{tenant_id}/finance-transactions</x:v>
      </x:c>
      <x:c r="D138" s="10" t="str">
        <x:v>finance-transactions.draft.create</x:v>
      </x:c>
      <x:c r="E138" s="10" t="str">
        <x:v>FINANCE</x:v>
      </x:c>
      <x:c r="F138" s="10" t="str">
        <x:v>Ordinary session</x:v>
      </x:c>
      <x:c r="G138" s="10" t="str">
        <x:v>No</x:v>
      </x:c>
      <x:c r="H138" s="10" t="str">
        <x:v>No</x:v>
      </x:c>
      <x:c r="I138" s="10" t="str">
        <x:v>Yes</x:v>
      </x:c>
      <x:c r="J138" s="17" t="str">
        <x:v>Design only; not an implemented route</x:v>
      </x:c>
    </x:row>
    <x:row r="139" ht="38" customHeight="1">
      <x:c r="A139" s="10" t="str">
        <x:v>get_finance_transactions</x:v>
      </x:c>
      <x:c r="B139" s="10" t="str">
        <x:v>GET</x:v>
      </x:c>
      <x:c r="C139" s="10" t="str">
        <x:v>/v1/tenants/{tenant_id}/finance-transactions/{object_id}</x:v>
      </x:c>
      <x:c r="D139" s="10" t="str">
        <x:v>finance-transactions.read</x:v>
      </x:c>
      <x:c r="E139" s="10" t="str">
        <x:v>FINANCE</x:v>
      </x:c>
      <x:c r="F139" s="10" t="str">
        <x:v>Ordinary session</x:v>
      </x:c>
      <x:c r="G139" s="10" t="str">
        <x:v>No</x:v>
      </x:c>
      <x:c r="H139" s="10" t="str">
        <x:v>No</x:v>
      </x:c>
      <x:c r="I139" s="10" t="str">
        <x:v>Read policy</x:v>
      </x:c>
      <x:c r="J139" s="17" t="str">
        <x:v>Design only; not an implemented route</x:v>
      </x:c>
    </x:row>
    <x:row r="140" ht="38" customHeight="1">
      <x:c r="A140" s="10" t="str">
        <x:v>patch_finance_transactions</x:v>
      </x:c>
      <x:c r="B140" s="10" t="str">
        <x:v>PATCH</x:v>
      </x:c>
      <x:c r="C140" s="10" t="str">
        <x:v>/v1/tenants/{tenant_id}/finance-transactions/{object_id}</x:v>
      </x:c>
      <x:c r="D140" s="10" t="str">
        <x:v>finance-transactions.draft.edit</x:v>
      </x:c>
      <x:c r="E140" s="10" t="str">
        <x:v>FINANCE</x:v>
      </x:c>
      <x:c r="F140" s="10" t="str">
        <x:v>Ordinary session</x:v>
      </x:c>
      <x:c r="G140" s="10" t="str">
        <x:v>No</x:v>
      </x:c>
      <x:c r="H140" s="10" t="str">
        <x:v>No</x:v>
      </x:c>
      <x:c r="I140" s="10" t="str">
        <x:v>Yes</x:v>
      </x:c>
      <x:c r="J140" s="17" t="str">
        <x:v>Design only; not an implemented route</x:v>
      </x:c>
    </x:row>
    <x:row r="141" ht="38" customHeight="1">
      <x:c r="A141" s="10" t="str">
        <x:v>list_exchange_rates</x:v>
      </x:c>
      <x:c r="B141" s="10" t="str">
        <x:v>GET</x:v>
      </x:c>
      <x:c r="C141" s="10" t="str">
        <x:v>/v1/tenants/{tenant_id}/exchange-rates</x:v>
      </x:c>
      <x:c r="D141" s="10" t="str">
        <x:v>exchange-rates.read</x:v>
      </x:c>
      <x:c r="E141" s="10" t="str">
        <x:v>FINANCE</x:v>
      </x:c>
      <x:c r="F141" s="10" t="str">
        <x:v>Ordinary session</x:v>
      </x:c>
      <x:c r="G141" s="10" t="str">
        <x:v>No</x:v>
      </x:c>
      <x:c r="H141" s="10" t="str">
        <x:v>No</x:v>
      </x:c>
      <x:c r="I141" s="10" t="str">
        <x:v>Read policy</x:v>
      </x:c>
      <x:c r="J141" s="17" t="str">
        <x:v>Design only; not an implemented route</x:v>
      </x:c>
    </x:row>
    <x:row r="142" ht="38" customHeight="1">
      <x:c r="A142" s="10" t="str">
        <x:v>create_exchange_rates</x:v>
      </x:c>
      <x:c r="B142" s="10" t="str">
        <x:v>POST</x:v>
      </x:c>
      <x:c r="C142" s="10" t="str">
        <x:v>/v1/tenants/{tenant_id}/exchange-rates</x:v>
      </x:c>
      <x:c r="D142" s="10" t="str">
        <x:v>exchange-rates.draft.create</x:v>
      </x:c>
      <x:c r="E142" s="10" t="str">
        <x:v>FINANCE</x:v>
      </x:c>
      <x:c r="F142" s="10" t="str">
        <x:v>Ordinary session</x:v>
      </x:c>
      <x:c r="G142" s="10" t="str">
        <x:v>No</x:v>
      </x:c>
      <x:c r="H142" s="10" t="str">
        <x:v>No</x:v>
      </x:c>
      <x:c r="I142" s="10" t="str">
        <x:v>Yes</x:v>
      </x:c>
      <x:c r="J142" s="17" t="str">
        <x:v>Design only; not an implemented route</x:v>
      </x:c>
    </x:row>
    <x:row r="143" ht="38" customHeight="1">
      <x:c r="A143" s="10" t="str">
        <x:v>get_exchange_rates</x:v>
      </x:c>
      <x:c r="B143" s="10" t="str">
        <x:v>GET</x:v>
      </x:c>
      <x:c r="C143" s="10" t="str">
        <x:v>/v1/tenants/{tenant_id}/exchange-rates/{object_id}</x:v>
      </x:c>
      <x:c r="D143" s="10" t="str">
        <x:v>exchange-rates.read</x:v>
      </x:c>
      <x:c r="E143" s="10" t="str">
        <x:v>FINANCE</x:v>
      </x:c>
      <x:c r="F143" s="10" t="str">
        <x:v>Ordinary session</x:v>
      </x:c>
      <x:c r="G143" s="10" t="str">
        <x:v>No</x:v>
      </x:c>
      <x:c r="H143" s="10" t="str">
        <x:v>No</x:v>
      </x:c>
      <x:c r="I143" s="10" t="str">
        <x:v>Read policy</x:v>
      </x:c>
      <x:c r="J143" s="17" t="str">
        <x:v>Design only; not an implemented route</x:v>
      </x:c>
    </x:row>
    <x:row r="144" ht="38" customHeight="1">
      <x:c r="A144" s="10" t="str">
        <x:v>patch_exchange_rates</x:v>
      </x:c>
      <x:c r="B144" s="10" t="str">
        <x:v>PATCH</x:v>
      </x:c>
      <x:c r="C144" s="10" t="str">
        <x:v>/v1/tenants/{tenant_id}/exchange-rates/{object_id}</x:v>
      </x:c>
      <x:c r="D144" s="10" t="str">
        <x:v>exchange-rates.draft.edit</x:v>
      </x:c>
      <x:c r="E144" s="10" t="str">
        <x:v>FINANCE</x:v>
      </x:c>
      <x:c r="F144" s="10" t="str">
        <x:v>Ordinary session</x:v>
      </x:c>
      <x:c r="G144" s="10" t="str">
        <x:v>No</x:v>
      </x:c>
      <x:c r="H144" s="10" t="str">
        <x:v>No</x:v>
      </x:c>
      <x:c r="I144" s="10" t="str">
        <x:v>Yes</x:v>
      </x:c>
      <x:c r="J144" s="17" t="str">
        <x:v>Design only; not an implemented route</x:v>
      </x:c>
    </x:row>
    <x:row r="145" ht="38" customHeight="1">
      <x:c r="A145" s="10" t="str">
        <x:v>list_allocation_rules</x:v>
      </x:c>
      <x:c r="B145" s="10" t="str">
        <x:v>GET</x:v>
      </x:c>
      <x:c r="C145" s="10" t="str">
        <x:v>/v1/tenants/{tenant_id}/allocation-rules</x:v>
      </x:c>
      <x:c r="D145" s="10" t="str">
        <x:v>allocation-rules.read</x:v>
      </x:c>
      <x:c r="E145" s="10" t="str">
        <x:v>FINANCE</x:v>
      </x:c>
      <x:c r="F145" s="10" t="str">
        <x:v>Ordinary session</x:v>
      </x:c>
      <x:c r="G145" s="10" t="str">
        <x:v>No</x:v>
      </x:c>
      <x:c r="H145" s="10" t="str">
        <x:v>No</x:v>
      </x:c>
      <x:c r="I145" s="10" t="str">
        <x:v>Read policy</x:v>
      </x:c>
      <x:c r="J145" s="17" t="str">
        <x:v>Design only; not an implemented route</x:v>
      </x:c>
    </x:row>
    <x:row r="146" ht="38" customHeight="1">
      <x:c r="A146" s="10" t="str">
        <x:v>create_allocation_rules</x:v>
      </x:c>
      <x:c r="B146" s="10" t="str">
        <x:v>POST</x:v>
      </x:c>
      <x:c r="C146" s="10" t="str">
        <x:v>/v1/tenants/{tenant_id}/allocation-rules</x:v>
      </x:c>
      <x:c r="D146" s="10" t="str">
        <x:v>allocation-rules.draft.create</x:v>
      </x:c>
      <x:c r="E146" s="10" t="str">
        <x:v>FINANCE</x:v>
      </x:c>
      <x:c r="F146" s="10" t="str">
        <x:v>Ordinary session</x:v>
      </x:c>
      <x:c r="G146" s="10" t="str">
        <x:v>No</x:v>
      </x:c>
      <x:c r="H146" s="10" t="str">
        <x:v>No</x:v>
      </x:c>
      <x:c r="I146" s="10" t="str">
        <x:v>Yes</x:v>
      </x:c>
      <x:c r="J146" s="17" t="str">
        <x:v>Design only; not an implemented route</x:v>
      </x:c>
    </x:row>
    <x:row r="147" ht="38" customHeight="1">
      <x:c r="A147" s="10" t="str">
        <x:v>get_allocation_rules</x:v>
      </x:c>
      <x:c r="B147" s="10" t="str">
        <x:v>GET</x:v>
      </x:c>
      <x:c r="C147" s="10" t="str">
        <x:v>/v1/tenants/{tenant_id}/allocation-rules/{object_id}</x:v>
      </x:c>
      <x:c r="D147" s="10" t="str">
        <x:v>allocation-rules.read</x:v>
      </x:c>
      <x:c r="E147" s="10" t="str">
        <x:v>FINANCE</x:v>
      </x:c>
      <x:c r="F147" s="10" t="str">
        <x:v>Ordinary session</x:v>
      </x:c>
      <x:c r="G147" s="10" t="str">
        <x:v>No</x:v>
      </x:c>
      <x:c r="H147" s="10" t="str">
        <x:v>No</x:v>
      </x:c>
      <x:c r="I147" s="10" t="str">
        <x:v>Read policy</x:v>
      </x:c>
      <x:c r="J147" s="17" t="str">
        <x:v>Design only; not an implemented route</x:v>
      </x:c>
    </x:row>
    <x:row r="148" ht="38" customHeight="1">
      <x:c r="A148" s="10" t="str">
        <x:v>patch_allocation_rules</x:v>
      </x:c>
      <x:c r="B148" s="10" t="str">
        <x:v>PATCH</x:v>
      </x:c>
      <x:c r="C148" s="10" t="str">
        <x:v>/v1/tenants/{tenant_id}/allocation-rules/{object_id}</x:v>
      </x:c>
      <x:c r="D148" s="10" t="str">
        <x:v>allocation-rules.draft.edit</x:v>
      </x:c>
      <x:c r="E148" s="10" t="str">
        <x:v>FINANCE</x:v>
      </x:c>
      <x:c r="F148" s="10" t="str">
        <x:v>Ordinary session</x:v>
      </x:c>
      <x:c r="G148" s="10" t="str">
        <x:v>No</x:v>
      </x:c>
      <x:c r="H148" s="10" t="str">
        <x:v>No</x:v>
      </x:c>
      <x:c r="I148" s="10" t="str">
        <x:v>Yes</x:v>
      </x:c>
      <x:c r="J148" s="17" t="str">
        <x:v>Design only; not an implemented route</x:v>
      </x:c>
    </x:row>
    <x:row r="149" ht="38" customHeight="1">
      <x:c r="A149" s="10" t="str">
        <x:v>list_work_items</x:v>
      </x:c>
      <x:c r="B149" s="10" t="str">
        <x:v>GET</x:v>
      </x:c>
      <x:c r="C149" s="10" t="str">
        <x:v>/v1/tenants/{tenant_id}/work-items</x:v>
      </x:c>
      <x:c r="D149" s="10" t="str">
        <x:v>work-items.read</x:v>
      </x:c>
      <x:c r="E149" s="10" t="str">
        <x:v>MEL_ADMIN, PROGRAMME_MANAGER, AUTHOR, REVIEWER, ANALYST, DATA_STEWARD, EXTERNAL</x:v>
      </x:c>
      <x:c r="F149" s="10" t="str">
        <x:v>Ordinary session</x:v>
      </x:c>
      <x:c r="G149" s="10" t="str">
        <x:v>No</x:v>
      </x:c>
      <x:c r="H149" s="10" t="str">
        <x:v>No</x:v>
      </x:c>
      <x:c r="I149" s="10" t="str">
        <x:v>Read policy</x:v>
      </x:c>
      <x:c r="J149" s="17" t="str">
        <x:v>Implemented route; subset limits apply</x:v>
      </x:c>
    </x:row>
    <x:row r="150" ht="38" customHeight="1">
      <x:c r="A150" s="10" t="str">
        <x:v>create_work_items</x:v>
      </x:c>
      <x:c r="B150" s="10" t="str">
        <x:v>POST</x:v>
      </x:c>
      <x:c r="C150" s="10" t="str">
        <x:v>/v1/tenants/{tenant_id}/work-items</x:v>
      </x:c>
      <x:c r="D150" s="10" t="str">
        <x:v>work-items.draft.create</x:v>
      </x:c>
      <x:c r="E150" s="10" t="str">
        <x:v>PROGRAMME_MANAGER, AUTHOR</x:v>
      </x:c>
      <x:c r="F150" s="10" t="str">
        <x:v>Ordinary session</x:v>
      </x:c>
      <x:c r="G150" s="10" t="str">
        <x:v>No</x:v>
      </x:c>
      <x:c r="H150" s="10" t="str">
        <x:v>No</x:v>
      </x:c>
      <x:c r="I150" s="10" t="str">
        <x:v>Yes</x:v>
      </x:c>
      <x:c r="J150" s="17" t="str">
        <x:v>Design only; not an implemented route</x:v>
      </x:c>
    </x:row>
    <x:row r="151" ht="38" customHeight="1">
      <x:c r="A151" s="10" t="str">
        <x:v>get_work_items</x:v>
      </x:c>
      <x:c r="B151" s="10" t="str">
        <x:v>GET</x:v>
      </x:c>
      <x:c r="C151" s="10" t="str">
        <x:v>/v1/tenants/{tenant_id}/work-items/{object_id}</x:v>
      </x:c>
      <x:c r="D151" s="10" t="str">
        <x:v>work-items.read</x:v>
      </x:c>
      <x:c r="E151" s="10" t="str">
        <x:v>MEL_ADMIN, PROGRAMME_MANAGER, AUTHOR, REVIEWER, ANALYST, DATA_STEWARD, EXTERNAL</x:v>
      </x:c>
      <x:c r="F151" s="10" t="str">
        <x:v>Ordinary session</x:v>
      </x:c>
      <x:c r="G151" s="10" t="str">
        <x:v>No</x:v>
      </x:c>
      <x:c r="H151" s="10" t="str">
        <x:v>No</x:v>
      </x:c>
      <x:c r="I151" s="10" t="str">
        <x:v>Read policy</x:v>
      </x:c>
      <x:c r="J151" s="17" t="str">
        <x:v>Implemented route; subset limits apply</x:v>
      </x:c>
    </x:row>
    <x:row r="152" ht="38" customHeight="1">
      <x:c r="A152" s="10" t="str">
        <x:v>patch_work_items</x:v>
      </x:c>
      <x:c r="B152" s="10" t="str">
        <x:v>PATCH</x:v>
      </x:c>
      <x:c r="C152" s="10" t="str">
        <x:v>/v1/tenants/{tenant_id}/work-items/{object_id}</x:v>
      </x:c>
      <x:c r="D152" s="10" t="str">
        <x:v>work-items.draft.edit</x:v>
      </x:c>
      <x:c r="E152" s="10" t="str">
        <x:v>PROGRAMME_MANAGER, AUTHOR</x:v>
      </x:c>
      <x:c r="F152" s="10" t="str">
        <x:v>Ordinary session</x:v>
      </x:c>
      <x:c r="G152" s="10" t="str">
        <x:v>No</x:v>
      </x:c>
      <x:c r="H152" s="10" t="str">
        <x:v>No</x:v>
      </x:c>
      <x:c r="I152" s="10" t="str">
        <x:v>Yes</x:v>
      </x:c>
      <x:c r="J152" s="17" t="str">
        <x:v>Design only; not an implemented route</x:v>
      </x:c>
    </x:row>
    <x:row r="153" ht="38" customHeight="1">
      <x:c r="A153" s="10" t="str">
        <x:v>list_dashboards</x:v>
      </x:c>
      <x:c r="B153" s="10" t="str">
        <x:v>GET</x:v>
      </x:c>
      <x:c r="C153" s="10" t="str">
        <x:v>/v1/tenants/{tenant_id}/dashboards</x:v>
      </x:c>
      <x:c r="D153" s="10" t="str">
        <x:v>dashboards.read</x:v>
      </x:c>
      <x:c r="E153" s="10" t="str">
        <x:v>MEL_ADMIN, PROGRAMME_MANAGER, AUTHOR, REVIEWER, ANALYST, DATA_STEWARD, EXTERNAL</x:v>
      </x:c>
      <x:c r="F153" s="10" t="str">
        <x:v>Ordinary session</x:v>
      </x:c>
      <x:c r="G153" s="10" t="str">
        <x:v>No</x:v>
      </x:c>
      <x:c r="H153" s="10" t="str">
        <x:v>No</x:v>
      </x:c>
      <x:c r="I153" s="10" t="str">
        <x:v>Read policy</x:v>
      </x:c>
      <x:c r="J153" s="17" t="str">
        <x:v>Design only; not an implemented route</x:v>
      </x:c>
    </x:row>
    <x:row r="154" ht="38" customHeight="1">
      <x:c r="A154" s="10" t="str">
        <x:v>create_dashboards</x:v>
      </x:c>
      <x:c r="B154" s="10" t="str">
        <x:v>POST</x:v>
      </x:c>
      <x:c r="C154" s="10" t="str">
        <x:v>/v1/tenants/{tenant_id}/dashboards</x:v>
      </x:c>
      <x:c r="D154" s="10" t="str">
        <x:v>dashboards.draft.create</x:v>
      </x:c>
      <x:c r="E154" s="10" t="str">
        <x:v>ANALYST</x:v>
      </x:c>
      <x:c r="F154" s="10" t="str">
        <x:v>Ordinary session</x:v>
      </x:c>
      <x:c r="G154" s="10" t="str">
        <x:v>No</x:v>
      </x:c>
      <x:c r="H154" s="10" t="str">
        <x:v>No</x:v>
      </x:c>
      <x:c r="I154" s="10" t="str">
        <x:v>Yes</x:v>
      </x:c>
      <x:c r="J154" s="17" t="str">
        <x:v>Design only; not an implemented route</x:v>
      </x:c>
    </x:row>
    <x:row r="155" ht="38" customHeight="1">
      <x:c r="A155" s="10" t="str">
        <x:v>get_dashboards</x:v>
      </x:c>
      <x:c r="B155" s="10" t="str">
        <x:v>GET</x:v>
      </x:c>
      <x:c r="C155" s="10" t="str">
        <x:v>/v1/tenants/{tenant_id}/dashboards/{object_id}</x:v>
      </x:c>
      <x:c r="D155" s="10" t="str">
        <x:v>dashboards.read</x:v>
      </x:c>
      <x:c r="E155" s="10" t="str">
        <x:v>MEL_ADMIN, PROGRAMME_MANAGER, AUTHOR, REVIEWER, ANALYST, DATA_STEWARD, EXTERNAL</x:v>
      </x:c>
      <x:c r="F155" s="10" t="str">
        <x:v>Ordinary session</x:v>
      </x:c>
      <x:c r="G155" s="10" t="str">
        <x:v>No</x:v>
      </x:c>
      <x:c r="H155" s="10" t="str">
        <x:v>No</x:v>
      </x:c>
      <x:c r="I155" s="10" t="str">
        <x:v>Read policy</x:v>
      </x:c>
      <x:c r="J155" s="17" t="str">
        <x:v>Design only; not an implemented route</x:v>
      </x:c>
    </x:row>
    <x:row r="156" ht="38" customHeight="1">
      <x:c r="A156" s="10" t="str">
        <x:v>patch_dashboards</x:v>
      </x:c>
      <x:c r="B156" s="10" t="str">
        <x:v>PATCH</x:v>
      </x:c>
      <x:c r="C156" s="10" t="str">
        <x:v>/v1/tenants/{tenant_id}/dashboards/{object_id}</x:v>
      </x:c>
      <x:c r="D156" s="10" t="str">
        <x:v>dashboards.draft.edit</x:v>
      </x:c>
      <x:c r="E156" s="10" t="str">
        <x:v>ANALYST</x:v>
      </x:c>
      <x:c r="F156" s="10" t="str">
        <x:v>Ordinary session</x:v>
      </x:c>
      <x:c r="G156" s="10" t="str">
        <x:v>No</x:v>
      </x:c>
      <x:c r="H156" s="10" t="str">
        <x:v>No</x:v>
      </x:c>
      <x:c r="I156" s="10" t="str">
        <x:v>Yes</x:v>
      </x:c>
      <x:c r="J156" s="17" t="str">
        <x:v>Design only; not an implemented route</x:v>
      </x:c>
    </x:row>
    <x:row r="157" ht="38" customHeight="1">
      <x:c r="A157" s="10" t="str">
        <x:v>list_report_templates</x:v>
      </x:c>
      <x:c r="B157" s="10" t="str">
        <x:v>GET</x:v>
      </x:c>
      <x:c r="C157" s="10" t="str">
        <x:v>/v1/tenants/{tenant_id}/report-templates</x:v>
      </x:c>
      <x:c r="D157" s="10" t="str">
        <x:v>report-templates.read</x:v>
      </x:c>
      <x:c r="E157" s="10" t="str">
        <x:v>MEL_ADMIN, PROGRAMME_MANAGER, AUTHOR, REVIEWER, ANALYST, DATA_STEWARD, EXTERNAL</x:v>
      </x:c>
      <x:c r="F157" s="10" t="str">
        <x:v>Ordinary session</x:v>
      </x:c>
      <x:c r="G157" s="10" t="str">
        <x:v>No</x:v>
      </x:c>
      <x:c r="H157" s="10" t="str">
        <x:v>No</x:v>
      </x:c>
      <x:c r="I157" s="10" t="str">
        <x:v>Read policy</x:v>
      </x:c>
      <x:c r="J157" s="17" t="str">
        <x:v>Implemented route; subset limits apply</x:v>
      </x:c>
    </x:row>
    <x:row r="158" ht="38" customHeight="1">
      <x:c r="A158" s="10" t="str">
        <x:v>create_report_templates</x:v>
      </x:c>
      <x:c r="B158" s="10" t="str">
        <x:v>POST</x:v>
      </x:c>
      <x:c r="C158" s="10" t="str">
        <x:v>/v1/tenants/{tenant_id}/report-templates</x:v>
      </x:c>
      <x:c r="D158" s="10" t="str">
        <x:v>report-templates.draft.create</x:v>
      </x:c>
      <x:c r="E158" s="10" t="str">
        <x:v>MEL_ADMIN, AUTHOR</x:v>
      </x:c>
      <x:c r="F158" s="10" t="str">
        <x:v>Ordinary session</x:v>
      </x:c>
      <x:c r="G158" s="10" t="str">
        <x:v>No</x:v>
      </x:c>
      <x:c r="H158" s="10" t="str">
        <x:v>No</x:v>
      </x:c>
      <x:c r="I158" s="10" t="str">
        <x:v>Yes</x:v>
      </x:c>
      <x:c r="J158" s="17" t="str">
        <x:v>Design only; not an implemented route</x:v>
      </x:c>
    </x:row>
    <x:row r="159" ht="38" customHeight="1">
      <x:c r="A159" s="10" t="str">
        <x:v>get_report_templates</x:v>
      </x:c>
      <x:c r="B159" s="10" t="str">
        <x:v>GET</x:v>
      </x:c>
      <x:c r="C159" s="10" t="str">
        <x:v>/v1/tenants/{tenant_id}/report-templates/{object_id}</x:v>
      </x:c>
      <x:c r="D159" s="10" t="str">
        <x:v>report-templates.read</x:v>
      </x:c>
      <x:c r="E159" s="10" t="str">
        <x:v>MEL_ADMIN, PROGRAMME_MANAGER, AUTHOR, REVIEWER, ANALYST, DATA_STEWARD, EXTERNAL</x:v>
      </x:c>
      <x:c r="F159" s="10" t="str">
        <x:v>Ordinary session</x:v>
      </x:c>
      <x:c r="G159" s="10" t="str">
        <x:v>No</x:v>
      </x:c>
      <x:c r="H159" s="10" t="str">
        <x:v>No</x:v>
      </x:c>
      <x:c r="I159" s="10" t="str">
        <x:v>Read policy</x:v>
      </x:c>
      <x:c r="J159" s="17" t="str">
        <x:v>Implemented route; subset limits apply</x:v>
      </x:c>
    </x:row>
    <x:row r="160" ht="38" customHeight="1">
      <x:c r="A160" s="10" t="str">
        <x:v>patch_report_templates</x:v>
      </x:c>
      <x:c r="B160" s="10" t="str">
        <x:v>PATCH</x:v>
      </x:c>
      <x:c r="C160" s="10" t="str">
        <x:v>/v1/tenants/{tenant_id}/report-templates/{object_id}</x:v>
      </x:c>
      <x:c r="D160" s="10" t="str">
        <x:v>report-templates.draft.edit</x:v>
      </x:c>
      <x:c r="E160" s="10" t="str">
        <x:v>MEL_ADMIN, AUTHOR</x:v>
      </x:c>
      <x:c r="F160" s="10" t="str">
        <x:v>Ordinary session</x:v>
      </x:c>
      <x:c r="G160" s="10" t="str">
        <x:v>No</x:v>
      </x:c>
      <x:c r="H160" s="10" t="str">
        <x:v>No</x:v>
      </x:c>
      <x:c r="I160" s="10" t="str">
        <x:v>Yes</x:v>
      </x:c>
      <x:c r="J160" s="17" t="str">
        <x:v>Design only; not an implemented route</x:v>
      </x:c>
    </x:row>
    <x:row r="161" ht="51" customHeight="1">
      <x:c r="A161" s="10" t="str">
        <x:v>list_notifications</x:v>
      </x:c>
      <x:c r="B161" s="10" t="str">
        <x:v>GET</x:v>
      </x:c>
      <x:c r="C161" s="10" t="str">
        <x:v>/v1/tenants/{tenant_id}/notifications</x:v>
      </x:c>
      <x:c r="D161" s="10" t="str">
        <x:v>notifications.read</x:v>
      </x:c>
      <x:c r="E161" s="10" t="str">
        <x:v>OWNER, TENANT_ADMIN, MEL_ADMIN, PROGRAMME_MANAGER, AUTHOR, REVIEWER, ENUMERATOR, DATA_STEWARD, ANALYST, FINANCE, PRIVACY, OPERATOR, SUPPORT, SERVICE, EXTERNAL</x:v>
      </x:c>
      <x:c r="F161" s="10" t="str">
        <x:v>Ordinary session</x:v>
      </x:c>
      <x:c r="G161" s="10" t="str">
        <x:v>No</x:v>
      </x:c>
      <x:c r="H161" s="10" t="str">
        <x:v>No</x:v>
      </x:c>
      <x:c r="I161" s="10" t="str">
        <x:v>Read policy</x:v>
      </x:c>
      <x:c r="J161" s="17" t="str">
        <x:v>Implemented route; subset limits apply</x:v>
      </x:c>
    </x:row>
    <x:row r="162" ht="51" customHeight="1">
      <x:c r="A162" s="10" t="str">
        <x:v>get_notifications</x:v>
      </x:c>
      <x:c r="B162" s="10" t="str">
        <x:v>GET</x:v>
      </x:c>
      <x:c r="C162" s="10" t="str">
        <x:v>/v1/tenants/{tenant_id}/notifications/{object_id}</x:v>
      </x:c>
      <x:c r="D162" s="10" t="str">
        <x:v>notifications.read</x:v>
      </x:c>
      <x:c r="E162" s="10" t="str">
        <x:v>OWNER, TENANT_ADMIN, MEL_ADMIN, PROGRAMME_MANAGER, AUTHOR, REVIEWER, ENUMERATOR, DATA_STEWARD, ANALYST, FINANCE, PRIVACY, OPERATOR, SUPPORT, SERVICE, EXTERNAL</x:v>
      </x:c>
      <x:c r="F162" s="10" t="str">
        <x:v>Ordinary session</x:v>
      </x:c>
      <x:c r="G162" s="10" t="str">
        <x:v>No</x:v>
      </x:c>
      <x:c r="H162" s="10" t="str">
        <x:v>No</x:v>
      </x:c>
      <x:c r="I162" s="10" t="str">
        <x:v>Read policy</x:v>
      </x:c>
      <x:c r="J162" s="17" t="str">
        <x:v>Implemented route; subset limits apply</x:v>
      </x:c>
    </x:row>
    <x:row r="163" ht="38" customHeight="1">
      <x:c r="A163" s="10" t="str">
        <x:v>list_schedules</x:v>
      </x:c>
      <x:c r="B163" s="10" t="str">
        <x:v>GET</x:v>
      </x:c>
      <x:c r="C163" s="10" t="str">
        <x:v>/v1/tenants/{tenant_id}/schedules</x:v>
      </x:c>
      <x:c r="D163" s="10" t="str">
        <x:v>schedules.read</x:v>
      </x:c>
      <x:c r="E163" s="10" t="str">
        <x:v>OWNER, TENANT_ADMIN</x:v>
      </x:c>
      <x:c r="F163" s="10" t="str">
        <x:v>Ordinary session</x:v>
      </x:c>
      <x:c r="G163" s="10" t="str">
        <x:v>No</x:v>
      </x:c>
      <x:c r="H163" s="10" t="str">
        <x:v>No</x:v>
      </x:c>
      <x:c r="I163" s="10" t="str">
        <x:v>Read policy</x:v>
      </x:c>
      <x:c r="J163" s="17" t="str">
        <x:v>Design only; not an implemented route</x:v>
      </x:c>
    </x:row>
    <x:row r="164" ht="38" customHeight="1">
      <x:c r="A164" s="10" t="str">
        <x:v>create_schedules</x:v>
      </x:c>
      <x:c r="B164" s="10" t="str">
        <x:v>POST</x:v>
      </x:c>
      <x:c r="C164" s="10" t="str">
        <x:v>/v1/tenants/{tenant_id}/schedules</x:v>
      </x:c>
      <x:c r="D164" s="10" t="str">
        <x:v>schedules.draft.create</x:v>
      </x:c>
      <x:c r="E164" s="10" t="str">
        <x:v>TENANT_ADMIN</x:v>
      </x:c>
      <x:c r="F164" s="10" t="str">
        <x:v>Ordinary session</x:v>
      </x:c>
      <x:c r="G164" s="10" t="str">
        <x:v>No</x:v>
      </x:c>
      <x:c r="H164" s="10" t="str">
        <x:v>No</x:v>
      </x:c>
      <x:c r="I164" s="10" t="str">
        <x:v>Yes</x:v>
      </x:c>
      <x:c r="J164" s="17" t="str">
        <x:v>Design only; not an implemented route</x:v>
      </x:c>
    </x:row>
    <x:row r="165" ht="38" customHeight="1">
      <x:c r="A165" s="10" t="str">
        <x:v>get_schedules</x:v>
      </x:c>
      <x:c r="B165" s="10" t="str">
        <x:v>GET</x:v>
      </x:c>
      <x:c r="C165" s="10" t="str">
        <x:v>/v1/tenants/{tenant_id}/schedules/{object_id}</x:v>
      </x:c>
      <x:c r="D165" s="10" t="str">
        <x:v>schedules.read</x:v>
      </x:c>
      <x:c r="E165" s="10" t="str">
        <x:v>OWNER, TENANT_ADMIN</x:v>
      </x:c>
      <x:c r="F165" s="10" t="str">
        <x:v>Ordinary session</x:v>
      </x:c>
      <x:c r="G165" s="10" t="str">
        <x:v>No</x:v>
      </x:c>
      <x:c r="H165" s="10" t="str">
        <x:v>No</x:v>
      </x:c>
      <x:c r="I165" s="10" t="str">
        <x:v>Read policy</x:v>
      </x:c>
      <x:c r="J165" s="17" t="str">
        <x:v>Design only; not an implemented route</x:v>
      </x:c>
    </x:row>
    <x:row r="166" ht="38" customHeight="1">
      <x:c r="A166" s="10" t="str">
        <x:v>patch_schedules</x:v>
      </x:c>
      <x:c r="B166" s="10" t="str">
        <x:v>PATCH</x:v>
      </x:c>
      <x:c r="C166" s="10" t="str">
        <x:v>/v1/tenants/{tenant_id}/schedules/{object_id}</x:v>
      </x:c>
      <x:c r="D166" s="10" t="str">
        <x:v>schedules.draft.edit</x:v>
      </x:c>
      <x:c r="E166" s="10" t="str">
        <x:v>TENANT_ADMIN</x:v>
      </x:c>
      <x:c r="F166" s="10" t="str">
        <x:v>Ordinary session</x:v>
      </x:c>
      <x:c r="G166" s="10" t="str">
        <x:v>No</x:v>
      </x:c>
      <x:c r="H166" s="10" t="str">
        <x:v>No</x:v>
      </x:c>
      <x:c r="I166" s="10" t="str">
        <x:v>Yes</x:v>
      </x:c>
      <x:c r="J166" s="17" t="str">
        <x:v>Design only; not an implemented route</x:v>
      </x:c>
    </x:row>
    <x:row r="167" ht="38" customHeight="1">
      <x:c r="A167" s="10" t="str">
        <x:v>list_qualitative_extracts</x:v>
      </x:c>
      <x:c r="B167" s="10" t="str">
        <x:v>GET</x:v>
      </x:c>
      <x:c r="C167" s="10" t="str">
        <x:v>/v1/tenants/{tenant_id}/qualitative-extracts</x:v>
      </x:c>
      <x:c r="D167" s="10" t="str">
        <x:v>qualitative-extracts.read</x:v>
      </x:c>
      <x:c r="E167" s="10" t="str">
        <x:v>MEL_ADMIN, PROGRAMME_MANAGER, AUTHOR, REVIEWER, ANALYST, DATA_STEWARD, EXTERNAL</x:v>
      </x:c>
      <x:c r="F167" s="10" t="str">
        <x:v>Ordinary session</x:v>
      </x:c>
      <x:c r="G167" s="10" t="str">
        <x:v>No</x:v>
      </x:c>
      <x:c r="H167" s="10" t="str">
        <x:v>No</x:v>
      </x:c>
      <x:c r="I167" s="10" t="str">
        <x:v>Read policy</x:v>
      </x:c>
      <x:c r="J167" s="17" t="str">
        <x:v>Design only; not an implemented route</x:v>
      </x:c>
    </x:row>
    <x:row r="168" ht="38" customHeight="1">
      <x:c r="A168" s="10" t="str">
        <x:v>create_qualitative_extracts</x:v>
      </x:c>
      <x:c r="B168" s="10" t="str">
        <x:v>POST</x:v>
      </x:c>
      <x:c r="C168" s="10" t="str">
        <x:v>/v1/tenants/{tenant_id}/qualitative-extracts</x:v>
      </x:c>
      <x:c r="D168" s="10" t="str">
        <x:v>qualitative-extracts.draft.create</x:v>
      </x:c>
      <x:c r="E168" s="10" t="str">
        <x:v>AUTHOR, ANALYST</x:v>
      </x:c>
      <x:c r="F168" s="10" t="str">
        <x:v>Ordinary session</x:v>
      </x:c>
      <x:c r="G168" s="10" t="str">
        <x:v>No</x:v>
      </x:c>
      <x:c r="H168" s="10" t="str">
        <x:v>No</x:v>
      </x:c>
      <x:c r="I168" s="10" t="str">
        <x:v>Yes</x:v>
      </x:c>
      <x:c r="J168" s="17" t="str">
        <x:v>Design only; not an implemented route</x:v>
      </x:c>
    </x:row>
    <x:row r="169" ht="38" customHeight="1">
      <x:c r="A169" s="10" t="str">
        <x:v>get_qualitative_extracts</x:v>
      </x:c>
      <x:c r="B169" s="10" t="str">
        <x:v>GET</x:v>
      </x:c>
      <x:c r="C169" s="10" t="str">
        <x:v>/v1/tenants/{tenant_id}/qualitative-extracts/{object_id}</x:v>
      </x:c>
      <x:c r="D169" s="10" t="str">
        <x:v>qualitative-extracts.read</x:v>
      </x:c>
      <x:c r="E169" s="10" t="str">
        <x:v>MEL_ADMIN, PROGRAMME_MANAGER, AUTHOR, REVIEWER, ANALYST, DATA_STEWARD, EXTERNAL</x:v>
      </x:c>
      <x:c r="F169" s="10" t="str">
        <x:v>Ordinary session</x:v>
      </x:c>
      <x:c r="G169" s="10" t="str">
        <x:v>No</x:v>
      </x:c>
      <x:c r="H169" s="10" t="str">
        <x:v>No</x:v>
      </x:c>
      <x:c r="I169" s="10" t="str">
        <x:v>Read policy</x:v>
      </x:c>
      <x:c r="J169" s="17" t="str">
        <x:v>Design only; not an implemented route</x:v>
      </x:c>
    </x:row>
    <x:row r="170" ht="38" customHeight="1">
      <x:c r="A170" s="10" t="str">
        <x:v>patch_qualitative_extracts</x:v>
      </x:c>
      <x:c r="B170" s="10" t="str">
        <x:v>PATCH</x:v>
      </x:c>
      <x:c r="C170" s="10" t="str">
        <x:v>/v1/tenants/{tenant_id}/qualitative-extracts/{object_id}</x:v>
      </x:c>
      <x:c r="D170" s="10" t="str">
        <x:v>qualitative-extracts.draft.edit</x:v>
      </x:c>
      <x:c r="E170" s="10" t="str">
        <x:v>AUTHOR, ANALYST</x:v>
      </x:c>
      <x:c r="F170" s="10" t="str">
        <x:v>Ordinary session</x:v>
      </x:c>
      <x:c r="G170" s="10" t="str">
        <x:v>No</x:v>
      </x:c>
      <x:c r="H170" s="10" t="str">
        <x:v>No</x:v>
      </x:c>
      <x:c r="I170" s="10" t="str">
        <x:v>Yes</x:v>
      </x:c>
      <x:c r="J170" s="17" t="str">
        <x:v>Design only; not an implemented route</x:v>
      </x:c>
    </x:row>
    <x:row r="171" ht="38" customHeight="1">
      <x:c r="A171" s="10" t="str">
        <x:v>list_devices</x:v>
      </x:c>
      <x:c r="B171" s="10" t="str">
        <x:v>GET</x:v>
      </x:c>
      <x:c r="C171" s="10" t="str">
        <x:v>/v1/tenants/{tenant_id}/devices</x:v>
      </x:c>
      <x:c r="D171" s="10" t="str">
        <x:v>devices.read</x:v>
      </x:c>
      <x:c r="E171" s="10" t="str">
        <x:v>MEL_ADMIN, PROGRAMME_MANAGER, AUTHOR, REVIEWER, ENUMERATOR, DATA_STEWARD</x:v>
      </x:c>
      <x:c r="F171" s="10" t="str">
        <x:v>Ordinary session</x:v>
      </x:c>
      <x:c r="G171" s="10" t="str">
        <x:v>No</x:v>
      </x:c>
      <x:c r="H171" s="10" t="str">
        <x:v>No</x:v>
      </x:c>
      <x:c r="I171" s="10" t="str">
        <x:v>Read policy</x:v>
      </x:c>
      <x:c r="J171" s="17" t="str">
        <x:v>Design only; not an implemented route</x:v>
      </x:c>
    </x:row>
    <x:row r="172" ht="38" customHeight="1">
      <x:c r="A172" s="10" t="str">
        <x:v>create_devices</x:v>
      </x:c>
      <x:c r="B172" s="10" t="str">
        <x:v>POST</x:v>
      </x:c>
      <x:c r="C172" s="10" t="str">
        <x:v>/v1/tenants/{tenant_id}/devices</x:v>
      </x:c>
      <x:c r="D172" s="10" t="str">
        <x:v>devices.draft.create</x:v>
      </x:c>
      <x:c r="E172" s="10" t="str">
        <x:v>ENUMERATOR</x:v>
      </x:c>
      <x:c r="F172" s="10" t="str">
        <x:v>Ordinary session</x:v>
      </x:c>
      <x:c r="G172" s="10" t="str">
        <x:v>No</x:v>
      </x:c>
      <x:c r="H172" s="10" t="str">
        <x:v>No</x:v>
      </x:c>
      <x:c r="I172" s="10" t="str">
        <x:v>Yes</x:v>
      </x:c>
      <x:c r="J172" s="17" t="str">
        <x:v>Design only; not an implemented route</x:v>
      </x:c>
    </x:row>
    <x:row r="173" ht="38" customHeight="1">
      <x:c r="A173" s="10" t="str">
        <x:v>get_devices</x:v>
      </x:c>
      <x:c r="B173" s="10" t="str">
        <x:v>GET</x:v>
      </x:c>
      <x:c r="C173" s="10" t="str">
        <x:v>/v1/tenants/{tenant_id}/devices/{object_id}</x:v>
      </x:c>
      <x:c r="D173" s="10" t="str">
        <x:v>devices.read</x:v>
      </x:c>
      <x:c r="E173" s="10" t="str">
        <x:v>MEL_ADMIN, PROGRAMME_MANAGER, AUTHOR, REVIEWER, ENUMERATOR, DATA_STEWARD</x:v>
      </x:c>
      <x:c r="F173" s="10" t="str">
        <x:v>Ordinary session</x:v>
      </x:c>
      <x:c r="G173" s="10" t="str">
        <x:v>No</x:v>
      </x:c>
      <x:c r="H173" s="10" t="str">
        <x:v>No</x:v>
      </x:c>
      <x:c r="I173" s="10" t="str">
        <x:v>Read policy</x:v>
      </x:c>
      <x:c r="J173" s="17" t="str">
        <x:v>Design only; not an implemented route</x:v>
      </x:c>
    </x:row>
    <x:row r="174" ht="38" customHeight="1">
      <x:c r="A174" s="10" t="str">
        <x:v>patch_devices</x:v>
      </x:c>
      <x:c r="B174" s="10" t="str">
        <x:v>PATCH</x:v>
      </x:c>
      <x:c r="C174" s="10" t="str">
        <x:v>/v1/tenants/{tenant_id}/devices/{object_id}</x:v>
      </x:c>
      <x:c r="D174" s="10" t="str">
        <x:v>devices.draft.edit</x:v>
      </x:c>
      <x:c r="E174" s="10" t="str">
        <x:v>ENUMERATOR</x:v>
      </x:c>
      <x:c r="F174" s="10" t="str">
        <x:v>Ordinary session</x:v>
      </x:c>
      <x:c r="G174" s="10" t="str">
        <x:v>No</x:v>
      </x:c>
      <x:c r="H174" s="10" t="str">
        <x:v>No</x:v>
      </x:c>
      <x:c r="I174" s="10" t="str">
        <x:v>Yes</x:v>
      </x:c>
      <x:c r="J174" s="17" t="str">
        <x:v>Design only; not an implemented route</x:v>
      </x:c>
    </x:row>
    <x:row r="175" ht="38" customHeight="1">
      <x:c r="A175" s="10" t="str">
        <x:v>list_support_requests</x:v>
      </x:c>
      <x:c r="B175" s="10" t="str">
        <x:v>GET</x:v>
      </x:c>
      <x:c r="C175" s="10" t="str">
        <x:v>/v1/tenants/{tenant_id}/support-requests</x:v>
      </x:c>
      <x:c r="D175" s="10" t="str">
        <x:v>support-requests.read</x:v>
      </x:c>
      <x:c r="E175" s="10" t="str">
        <x:v>OWNER, TENANT_ADMIN</x:v>
      </x:c>
      <x:c r="F175" s="10" t="str">
        <x:v>Ordinary session</x:v>
      </x:c>
      <x:c r="G175" s="10" t="str">
        <x:v>No</x:v>
      </x:c>
      <x:c r="H175" s="10" t="str">
        <x:v>No</x:v>
      </x:c>
      <x:c r="I175" s="10" t="str">
        <x:v>Read policy</x:v>
      </x:c>
      <x:c r="J175" s="17" t="str">
        <x:v>Design only; not an implemented route</x:v>
      </x:c>
    </x:row>
    <x:row r="176" ht="38" customHeight="1">
      <x:c r="A176" s="10" t="str">
        <x:v>request_support</x:v>
      </x:c>
      <x:c r="B176" s="10" t="str">
        <x:v>POST</x:v>
      </x:c>
      <x:c r="C176" s="10" t="str">
        <x:v>/v1/tenants/{tenant_id}/support-requests</x:v>
      </x:c>
      <x:c r="D176" s="10" t="str">
        <x:v>support.request</x:v>
      </x:c>
      <x:c r="E176" s="10" t="str">
        <x:v>SUPPORT</x:v>
      </x:c>
      <x:c r="F176" s="10" t="str">
        <x:v>Ordinary session</x:v>
      </x:c>
      <x:c r="G176" s="10" t="str">
        <x:v>No</x:v>
      </x:c>
      <x:c r="H176" s="10" t="str">
        <x:v>No</x:v>
      </x:c>
      <x:c r="I176" s="10" t="str">
        <x:v>Yes</x:v>
      </x:c>
      <x:c r="J176" s="17" t="str">
        <x:v>Design only; not an implemented route</x:v>
      </x:c>
    </x:row>
    <x:row r="177" ht="38" customHeight="1">
      <x:c r="A177" s="10" t="str">
        <x:v>get_support_requests</x:v>
      </x:c>
      <x:c r="B177" s="10" t="str">
        <x:v>GET</x:v>
      </x:c>
      <x:c r="C177" s="10" t="str">
        <x:v>/v1/tenants/{tenant_id}/support-requests/{object_id}</x:v>
      </x:c>
      <x:c r="D177" s="10" t="str">
        <x:v>support-requests.read</x:v>
      </x:c>
      <x:c r="E177" s="10" t="str">
        <x:v>OWNER, TENANT_ADMIN</x:v>
      </x:c>
      <x:c r="F177" s="10" t="str">
        <x:v>Ordinary session</x:v>
      </x:c>
      <x:c r="G177" s="10" t="str">
        <x:v>No</x:v>
      </x:c>
      <x:c r="H177" s="10" t="str">
        <x:v>No</x:v>
      </x:c>
      <x:c r="I177" s="10" t="str">
        <x:v>Read policy</x:v>
      </x:c>
      <x:c r="J177" s="17" t="str">
        <x:v>Design only; not an implemented route</x:v>
      </x:c>
    </x:row>
    <x:row r="178" ht="38" customHeight="1">
      <x:c r="A178" s="10" t="str">
        <x:v>action_programmes_activate</x:v>
      </x:c>
      <x:c r="B178" s="10" t="str">
        <x:v>POST</x:v>
      </x:c>
      <x:c r="C178" s="10" t="str">
        <x:v>/v1/tenants/{tenant_id}/programmes/{object_id}/actions/activate</x:v>
      </x:c>
      <x:c r="D178" s="10" t="str">
        <x:v>programme.activate</x:v>
      </x:c>
      <x:c r="E178" s="10" t="str">
        <x:v>PROGRAMME_MANAGER</x:v>
      </x:c>
      <x:c r="F178" s="10" t="str">
        <x:v>Ordinary session</x:v>
      </x:c>
      <x:c r="G178" s="10" t="str">
        <x:v>No</x:v>
      </x:c>
      <x:c r="H178" s="10" t="str">
        <x:v>No</x:v>
      </x:c>
      <x:c r="I178" s="10" t="str">
        <x:v>Yes</x:v>
      </x:c>
      <x:c r="J178" s="17" t="str">
        <x:v>Implemented route; subset limits apply</x:v>
      </x:c>
    </x:row>
    <x:row r="179" ht="38" customHeight="1">
      <x:c r="A179" s="10" t="str">
        <x:v>action_programmes_archive</x:v>
      </x:c>
      <x:c r="B179" s="10" t="str">
        <x:v>POST</x:v>
      </x:c>
      <x:c r="C179" s="10" t="str">
        <x:v>/v1/tenants/{tenant_id}/programmes/{object_id}/actions/archive</x:v>
      </x:c>
      <x:c r="D179" s="10" t="str">
        <x:v>programme.archive</x:v>
      </x:c>
      <x:c r="E179" s="10" t="str">
        <x:v>PROGRAMME_MANAGER</x:v>
      </x:c>
      <x:c r="F179" s="10" t="str">
        <x:v>Ordinary session</x:v>
      </x:c>
      <x:c r="G179" s="10" t="str">
        <x:v>No</x:v>
      </x:c>
      <x:c r="H179" s="10" t="str">
        <x:v>No</x:v>
      </x:c>
      <x:c r="I179" s="10" t="str">
        <x:v>Yes</x:v>
      </x:c>
      <x:c r="J179" s="17" t="str">
        <x:v>Design only; not an implemented route</x:v>
      </x:c>
    </x:row>
    <x:row r="180" ht="38" customHeight="1">
      <x:c r="A180" s="10" t="str">
        <x:v>action_frameworks_submit</x:v>
      </x:c>
      <x:c r="B180" s="10" t="str">
        <x:v>POST</x:v>
      </x:c>
      <x:c r="C180" s="10" t="str">
        <x:v>/v1/tenants/{tenant_id}/frameworks/{object_id}/actions/submit</x:v>
      </x:c>
      <x:c r="D180" s="10" t="str">
        <x:v>framework.submit</x:v>
      </x:c>
      <x:c r="E180" s="10" t="str">
        <x:v>AUTHOR, MEL_ADMIN</x:v>
      </x:c>
      <x:c r="F180" s="10" t="str">
        <x:v>Ordinary session</x:v>
      </x:c>
      <x:c r="G180" s="10" t="str">
        <x:v>No</x:v>
      </x:c>
      <x:c r="H180" s="10" t="str">
        <x:v>No</x:v>
      </x:c>
      <x:c r="I180" s="10" t="str">
        <x:v>Yes</x:v>
      </x:c>
      <x:c r="J180" s="17" t="str">
        <x:v>Design only; not an implemented route</x:v>
      </x:c>
    </x:row>
    <x:row r="181" ht="38" customHeight="1">
      <x:c r="A181" s="10" t="str">
        <x:v>action_indicator_definitions_submit</x:v>
      </x:c>
      <x:c r="B181" s="10" t="str">
        <x:v>POST</x:v>
      </x:c>
      <x:c r="C181" s="10" t="str">
        <x:v>/v1/tenants/{tenant_id}/indicator-definitions/{object_id}/actions/submit</x:v>
      </x:c>
      <x:c r="D181" s="10" t="str">
        <x:v>indicator.submit</x:v>
      </x:c>
      <x:c r="E181" s="10" t="str">
        <x:v>AUTHOR, MEL_ADMIN</x:v>
      </x:c>
      <x:c r="F181" s="10" t="str">
        <x:v>Ordinary session</x:v>
      </x:c>
      <x:c r="G181" s="10" t="str">
        <x:v>No</x:v>
      </x:c>
      <x:c r="H181" s="10" t="str">
        <x:v>No</x:v>
      </x:c>
      <x:c r="I181" s="10" t="str">
        <x:v>Yes</x:v>
      </x:c>
      <x:c r="J181" s="17" t="str">
        <x:v>Implemented route; subset limits apply</x:v>
      </x:c>
    </x:row>
    <x:row r="182" ht="38" customHeight="1">
      <x:c r="A182" s="10" t="str">
        <x:v>action_targets_submit</x:v>
      </x:c>
      <x:c r="B182" s="10" t="str">
        <x:v>POST</x:v>
      </x:c>
      <x:c r="C182" s="10" t="str">
        <x:v>/v1/tenants/{tenant_id}/targets/{object_id}/actions/submit</x:v>
      </x:c>
      <x:c r="D182" s="10" t="str">
        <x:v>target.submit</x:v>
      </x:c>
      <x:c r="E182" s="10" t="str">
        <x:v>AUTHOR, MEL_ADMIN</x:v>
      </x:c>
      <x:c r="F182" s="10" t="str">
        <x:v>Ordinary session</x:v>
      </x:c>
      <x:c r="G182" s="10" t="str">
        <x:v>No</x:v>
      </x:c>
      <x:c r="H182" s="10" t="str">
        <x:v>No</x:v>
      </x:c>
      <x:c r="I182" s="10" t="str">
        <x:v>Yes</x:v>
      </x:c>
      <x:c r="J182" s="17" t="str">
        <x:v>Design only; not an implemented route</x:v>
      </x:c>
    </x:row>
    <x:row r="183" ht="38" customHeight="1">
      <x:c r="A183" s="10" t="str">
        <x:v>action_forms_test</x:v>
      </x:c>
      <x:c r="B183" s="10" t="str">
        <x:v>POST</x:v>
      </x:c>
      <x:c r="C183" s="10" t="str">
        <x:v>/v1/tenants/{tenant_id}/forms/{object_id}/actions/test</x:v>
      </x:c>
      <x:c r="D183" s="10" t="str">
        <x:v>form.test</x:v>
      </x:c>
      <x:c r="E183" s="10" t="str">
        <x:v>AUTHOR, MEL_ADMIN</x:v>
      </x:c>
      <x:c r="F183" s="10" t="str">
        <x:v>Ordinary session</x:v>
      </x:c>
      <x:c r="G183" s="10" t="str">
        <x:v>No</x:v>
      </x:c>
      <x:c r="H183" s="10" t="str">
        <x:v>No</x:v>
      </x:c>
      <x:c r="I183" s="10" t="str">
        <x:v>Yes</x:v>
      </x:c>
      <x:c r="J183" s="17" t="str">
        <x:v>Design only; not an implemented route</x:v>
      </x:c>
    </x:row>
    <x:row r="184" ht="38" customHeight="1">
      <x:c r="A184" s="10" t="str">
        <x:v>action_forms_publish</x:v>
      </x:c>
      <x:c r="B184" s="10" t="str">
        <x:v>POST</x:v>
      </x:c>
      <x:c r="C184" s="10" t="str">
        <x:v>/v1/tenants/{tenant_id}/forms/{object_id}/actions/publish</x:v>
      </x:c>
      <x:c r="D184" s="10" t="str">
        <x:v>form.publish</x:v>
      </x:c>
      <x:c r="E184" s="10" t="str">
        <x:v>MEL_ADMIN</x:v>
      </x:c>
      <x:c r="F184" s="10" t="str">
        <x:v>Ordinary session</x:v>
      </x:c>
      <x:c r="G184" s="10" t="str">
        <x:v>No</x:v>
      </x:c>
      <x:c r="H184" s="10" t="str">
        <x:v>No</x:v>
      </x:c>
      <x:c r="I184" s="10" t="str">
        <x:v>Yes</x:v>
      </x:c>
      <x:c r="J184" s="17" t="str">
        <x:v>Design only; not an implemented route</x:v>
      </x:c>
    </x:row>
    <x:row r="185" ht="38" customHeight="1">
      <x:c r="A185" s="10" t="str">
        <x:v>action_assignments_reassign</x:v>
      </x:c>
      <x:c r="B185" s="10" t="str">
        <x:v>POST</x:v>
      </x:c>
      <x:c r="C185" s="10" t="str">
        <x:v>/v1/tenants/{tenant_id}/assignments/{object_id}/actions/reassign</x:v>
      </x:c>
      <x:c r="D185" s="10" t="str">
        <x:v>assignment.reassign</x:v>
      </x:c>
      <x:c r="E185" s="10" t="str">
        <x:v>PROGRAMME_MANAGER</x:v>
      </x:c>
      <x:c r="F185" s="10" t="str">
        <x:v>Ordinary session</x:v>
      </x:c>
      <x:c r="G185" s="10" t="str">
        <x:v>No</x:v>
      </x:c>
      <x:c r="H185" s="10" t="str">
        <x:v>No</x:v>
      </x:c>
      <x:c r="I185" s="10" t="str">
        <x:v>Yes</x:v>
      </x:c>
      <x:c r="J185" s="17" t="str">
        <x:v>Design only; not an implemented route</x:v>
      </x:c>
    </x:row>
    <x:row r="186" ht="38" customHeight="1">
      <x:c r="A186" s="10" t="str">
        <x:v>action_submissions_submit</x:v>
      </x:c>
      <x:c r="B186" s="10" t="str">
        <x:v>POST</x:v>
      </x:c>
      <x:c r="C186" s="10" t="str">
        <x:v>/v1/tenants/{tenant_id}/submissions/{object_id}/actions/submit</x:v>
      </x:c>
      <x:c r="D186" s="10" t="str">
        <x:v>submission.submit</x:v>
      </x:c>
      <x:c r="E186" s="10" t="str">
        <x:v>AUTHOR, ENUMERATOR</x:v>
      </x:c>
      <x:c r="F186" s="10" t="str">
        <x:v>Ordinary session</x:v>
      </x:c>
      <x:c r="G186" s="10" t="str">
        <x:v>No</x:v>
      </x:c>
      <x:c r="H186" s="10" t="str">
        <x:v>No</x:v>
      </x:c>
      <x:c r="I186" s="10" t="str">
        <x:v>Yes</x:v>
      </x:c>
      <x:c r="J186" s="17" t="str">
        <x:v>Design only; not an implemented route</x:v>
      </x:c>
    </x:row>
    <x:row r="187" ht="38" customHeight="1">
      <x:c r="A187" s="10" t="str">
        <x:v>action_observations_correct</x:v>
      </x:c>
      <x:c r="B187" s="10" t="str">
        <x:v>POST</x:v>
      </x:c>
      <x:c r="C187" s="10" t="str">
        <x:v>/v1/tenants/{tenant_id}/observations/{object_id}/actions/correct</x:v>
      </x:c>
      <x:c r="D187" s="10" t="str">
        <x:v>observation.correct</x:v>
      </x:c>
      <x:c r="E187" s="10" t="str">
        <x:v>AUTHOR, DATA_STEWARD</x:v>
      </x:c>
      <x:c r="F187" s="10" t="str">
        <x:v>Ordinary session</x:v>
      </x:c>
      <x:c r="G187" s="10" t="str">
        <x:v>No</x:v>
      </x:c>
      <x:c r="H187" s="10" t="str">
        <x:v>No</x:v>
      </x:c>
      <x:c r="I187" s="10" t="str">
        <x:v>Yes</x:v>
      </x:c>
      <x:c r="J187" s="17" t="str">
        <x:v>Design only; not an implemented route</x:v>
      </x:c>
    </x:row>
    <x:row r="188" ht="38" customHeight="1">
      <x:c r="A188" s="10" t="str">
        <x:v>action_imports_preview</x:v>
      </x:c>
      <x:c r="B188" s="10" t="str">
        <x:v>POST</x:v>
      </x:c>
      <x:c r="C188" s="10" t="str">
        <x:v>/v1/tenants/{tenant_id}/imports/{object_id}/actions/preview</x:v>
      </x:c>
      <x:c r="D188" s="10" t="str">
        <x:v>import.preview</x:v>
      </x:c>
      <x:c r="E188" s="10" t="str">
        <x:v>DATA_STEWARD</x:v>
      </x:c>
      <x:c r="F188" s="10" t="str">
        <x:v>Ordinary session</x:v>
      </x:c>
      <x:c r="G188" s="10" t="str">
        <x:v>No</x:v>
      </x:c>
      <x:c r="H188" s="10" t="str">
        <x:v>No</x:v>
      </x:c>
      <x:c r="I188" s="10" t="str">
        <x:v>Yes</x:v>
      </x:c>
      <x:c r="J188" s="17" t="str">
        <x:v>Design only; not an implemented route</x:v>
      </x:c>
    </x:row>
    <x:row r="189" ht="38" customHeight="1">
      <x:c r="A189" s="10" t="str">
        <x:v>action_imports_commit</x:v>
      </x:c>
      <x:c r="B189" s="10" t="str">
        <x:v>POST</x:v>
      </x:c>
      <x:c r="C189" s="10" t="str">
        <x:v>/v1/tenants/{tenant_id}/imports/{object_id}/actions/commit</x:v>
      </x:c>
      <x:c r="D189" s="10" t="str">
        <x:v>import.commit</x:v>
      </x:c>
      <x:c r="E189" s="10" t="str">
        <x:v>DATA_STEWARD</x:v>
      </x:c>
      <x:c r="F189" s="10" t="str">
        <x:v>Ordinary session</x:v>
      </x:c>
      <x:c r="G189" s="10" t="str">
        <x:v>No</x:v>
      </x:c>
      <x:c r="H189" s="10" t="str">
        <x:v>No</x:v>
      </x:c>
      <x:c r="I189" s="10" t="str">
        <x:v>Yes</x:v>
      </x:c>
      <x:c r="J189" s="17" t="str">
        <x:v>Design only; not an implemented route</x:v>
      </x:c>
    </x:row>
    <x:row r="190" ht="38" customHeight="1">
      <x:c r="A190" s="10" t="str">
        <x:v>action_imports_cancel</x:v>
      </x:c>
      <x:c r="B190" s="10" t="str">
        <x:v>POST</x:v>
      </x:c>
      <x:c r="C190" s="10" t="str">
        <x:v>/v1/tenants/{tenant_id}/imports/{object_id}/actions/cancel</x:v>
      </x:c>
      <x:c r="D190" s="10" t="str">
        <x:v>import.cancel</x:v>
      </x:c>
      <x:c r="E190" s="10" t="str">
        <x:v>DATA_STEWARD</x:v>
      </x:c>
      <x:c r="F190" s="10" t="str">
        <x:v>Ordinary session</x:v>
      </x:c>
      <x:c r="G190" s="10" t="str">
        <x:v>No</x:v>
      </x:c>
      <x:c r="H190" s="10" t="str">
        <x:v>No</x:v>
      </x:c>
      <x:c r="I190" s="10" t="str">
        <x:v>Yes</x:v>
      </x:c>
      <x:c r="J190" s="17" t="str">
        <x:v>Design only; not an implemented route</x:v>
      </x:c>
    </x:row>
    <x:row r="191" ht="38" customHeight="1">
      <x:c r="A191" s="10" t="str">
        <x:v>action_quality_issues_revalidate</x:v>
      </x:c>
      <x:c r="B191" s="10" t="str">
        <x:v>POST</x:v>
      </x:c>
      <x:c r="C191" s="10" t="str">
        <x:v>/v1/tenants/{tenant_id}/quality-issues/{object_id}/actions/revalidate</x:v>
      </x:c>
      <x:c r="D191" s="10" t="str">
        <x:v>quality.revalidate</x:v>
      </x:c>
      <x:c r="E191" s="10" t="str">
        <x:v>DATA_STEWARD</x:v>
      </x:c>
      <x:c r="F191" s="10" t="str">
        <x:v>Ordinary session</x:v>
      </x:c>
      <x:c r="G191" s="10" t="str">
        <x:v>No</x:v>
      </x:c>
      <x:c r="H191" s="10" t="str">
        <x:v>No</x:v>
      </x:c>
      <x:c r="I191" s="10" t="str">
        <x:v>Yes</x:v>
      </x:c>
      <x:c r="J191" s="17" t="str">
        <x:v>Design only; not an implemented route</x:v>
      </x:c>
    </x:row>
    <x:row r="192" ht="38" customHeight="1">
      <x:c r="A192" s="10" t="str">
        <x:v>action_quality_issues_except</x:v>
      </x:c>
      <x:c r="B192" s="10" t="str">
        <x:v>POST</x:v>
      </x:c>
      <x:c r="C192" s="10" t="str">
        <x:v>/v1/tenants/{tenant_id}/quality-issues/{object_id}/actions/except</x:v>
      </x:c>
      <x:c r="D192" s="10" t="str">
        <x:v>quality.except</x:v>
      </x:c>
      <x:c r="E192" s="10" t="str">
        <x:v>REVIEWER</x:v>
      </x:c>
      <x:c r="F192" s="10" t="str">
        <x:v>Ordinary session</x:v>
      </x:c>
      <x:c r="G192" s="10" t="str">
        <x:v>Yes</x:v>
      </x:c>
      <x:c r="H192" s="10" t="str">
        <x:v>No</x:v>
      </x:c>
      <x:c r="I192" s="10" t="str">
        <x:v>Yes</x:v>
      </x:c>
      <x:c r="J192" s="17" t="str">
        <x:v>Design only; not an implemented route</x:v>
      </x:c>
    </x:row>
    <x:row r="193" ht="38" customHeight="1">
      <x:c r="A193" s="10" t="str">
        <x:v>action_evidence_verify</x:v>
      </x:c>
      <x:c r="B193" s="10" t="str">
        <x:v>POST</x:v>
      </x:c>
      <x:c r="C193" s="10" t="str">
        <x:v>/v1/tenants/{tenant_id}/evidence/{object_id}/actions/verify</x:v>
      </x:c>
      <x:c r="D193" s="10" t="str">
        <x:v>evidence.verify</x:v>
      </x:c>
      <x:c r="E193" s="10" t="str">
        <x:v>REVIEWER</x:v>
      </x:c>
      <x:c r="F193" s="10" t="str">
        <x:v>Ordinary session</x:v>
      </x:c>
      <x:c r="G193" s="10" t="str">
        <x:v>Yes</x:v>
      </x:c>
      <x:c r="H193" s="10" t="str">
        <x:v>No</x:v>
      </x:c>
      <x:c r="I193" s="10" t="str">
        <x:v>Yes</x:v>
      </x:c>
      <x:c r="J193" s="17" t="str">
        <x:v>Design only; not an implemented route</x:v>
      </x:c>
    </x:row>
    <x:row r="194" ht="38" customHeight="1">
      <x:c r="A194" s="10" t="str">
        <x:v>action_workflows_approve</x:v>
      </x:c>
      <x:c r="B194" s="10" t="str">
        <x:v>POST</x:v>
      </x:c>
      <x:c r="C194" s="10" t="str">
        <x:v>/v1/tenants/{tenant_id}/workflows/{object_id}/actions/approve</x:v>
      </x:c>
      <x:c r="D194" s="10" t="str">
        <x:v>workflow.approve</x:v>
      </x:c>
      <x:c r="E194" s="10" t="str">
        <x:v>REVIEWER</x:v>
      </x:c>
      <x:c r="F194" s="10" t="str">
        <x:v>Ordinary session</x:v>
      </x:c>
      <x:c r="G194" s="10" t="str">
        <x:v>Yes</x:v>
      </x:c>
      <x:c r="H194" s="10" t="str">
        <x:v>No</x:v>
      </x:c>
      <x:c r="I194" s="10" t="str">
        <x:v>Yes</x:v>
      </x:c>
      <x:c r="J194" s="17" t="str">
        <x:v>Implemented route; subset limits apply</x:v>
      </x:c>
    </x:row>
    <x:row r="195" ht="38" customHeight="1">
      <x:c r="A195" s="10" t="str">
        <x:v>action_workflows_return</x:v>
      </x:c>
      <x:c r="B195" s="10" t="str">
        <x:v>POST</x:v>
      </x:c>
      <x:c r="C195" s="10" t="str">
        <x:v>/v1/tenants/{tenant_id}/workflows/{object_id}/actions/return</x:v>
      </x:c>
      <x:c r="D195" s="10" t="str">
        <x:v>workflow.return</x:v>
      </x:c>
      <x:c r="E195" s="10" t="str">
        <x:v>REVIEWER</x:v>
      </x:c>
      <x:c r="F195" s="10" t="str">
        <x:v>Ordinary session</x:v>
      </x:c>
      <x:c r="G195" s="10" t="str">
        <x:v>Yes</x:v>
      </x:c>
      <x:c r="H195" s="10" t="str">
        <x:v>No</x:v>
      </x:c>
      <x:c r="I195" s="10" t="str">
        <x:v>Yes</x:v>
      </x:c>
      <x:c r="J195" s="17" t="str">
        <x:v>Implemented route; subset limits apply</x:v>
      </x:c>
    </x:row>
    <x:row r="196" ht="38" customHeight="1">
      <x:c r="A196" s="10" t="str">
        <x:v>action_workflows_reject</x:v>
      </x:c>
      <x:c r="B196" s="10" t="str">
        <x:v>POST</x:v>
      </x:c>
      <x:c r="C196" s="10" t="str">
        <x:v>/v1/tenants/{tenant_id}/workflows/{object_id}/actions/reject</x:v>
      </x:c>
      <x:c r="D196" s="10" t="str">
        <x:v>workflow.reject</x:v>
      </x:c>
      <x:c r="E196" s="10" t="str">
        <x:v>REVIEWER</x:v>
      </x:c>
      <x:c r="F196" s="10" t="str">
        <x:v>Ordinary session</x:v>
      </x:c>
      <x:c r="G196" s="10" t="str">
        <x:v>Yes</x:v>
      </x:c>
      <x:c r="H196" s="10" t="str">
        <x:v>No</x:v>
      </x:c>
      <x:c r="I196" s="10" t="str">
        <x:v>Yes</x:v>
      </x:c>
      <x:c r="J196" s="17" t="str">
        <x:v>Implemented route; subset limits apply</x:v>
      </x:c>
    </x:row>
    <x:row r="197" ht="38" customHeight="1">
      <x:c r="A197" s="10" t="str">
        <x:v>action_periods_close</x:v>
      </x:c>
      <x:c r="B197" s="10" t="str">
        <x:v>POST</x:v>
      </x:c>
      <x:c r="C197" s="10" t="str">
        <x:v>/v1/tenants/{tenant_id}/periods/{object_id}/actions/close</x:v>
      </x:c>
      <x:c r="D197" s="10" t="str">
        <x:v>period.close</x:v>
      </x:c>
      <x:c r="E197" s="10" t="str">
        <x:v>MEL_ADMIN</x:v>
      </x:c>
      <x:c r="F197" s="10" t="n">
        <x:v>300</x:v>
      </x:c>
      <x:c r="G197" s="10" t="str">
        <x:v>No</x:v>
      </x:c>
      <x:c r="H197" s="10" t="str">
        <x:v>No</x:v>
      </x:c>
      <x:c r="I197" s="10" t="str">
        <x:v>Yes</x:v>
      </x:c>
      <x:c r="J197" s="17" t="str">
        <x:v>Implemented route; subset limits apply</x:v>
      </x:c>
    </x:row>
    <x:row r="198" ht="38" customHeight="1">
      <x:c r="A198" s="10" t="str">
        <x:v>action_periods_restate</x:v>
      </x:c>
      <x:c r="B198" s="10" t="str">
        <x:v>POST</x:v>
      </x:c>
      <x:c r="C198" s="10" t="str">
        <x:v>/v1/tenants/{tenant_id}/periods/{object_id}/actions/restate</x:v>
      </x:c>
      <x:c r="D198" s="10" t="str">
        <x:v>period.restate</x:v>
      </x:c>
      <x:c r="E198" s="10" t="str">
        <x:v>MEL_ADMIN</x:v>
      </x:c>
      <x:c r="F198" s="10" t="n">
        <x:v>300</x:v>
      </x:c>
      <x:c r="G198" s="10" t="str">
        <x:v>Yes</x:v>
      </x:c>
      <x:c r="H198" s="10" t="str">
        <x:v>No</x:v>
      </x:c>
      <x:c r="I198" s="10" t="str">
        <x:v>Yes</x:v>
      </x:c>
      <x:c r="J198" s="17" t="str">
        <x:v>Implemented route; subset limits apply</x:v>
      </x:c>
    </x:row>
    <x:row r="199" ht="38" customHeight="1">
      <x:c r="A199" s="10" t="str">
        <x:v>action_reports_submit</x:v>
      </x:c>
      <x:c r="B199" s="10" t="str">
        <x:v>POST</x:v>
      </x:c>
      <x:c r="C199" s="10" t="str">
        <x:v>/v1/tenants/{tenant_id}/reports/{object_id}/actions/submit</x:v>
      </x:c>
      <x:c r="D199" s="10" t="str">
        <x:v>report.submit</x:v>
      </x:c>
      <x:c r="E199" s="10" t="str">
        <x:v>AUTHOR</x:v>
      </x:c>
      <x:c r="F199" s="10" t="str">
        <x:v>Ordinary session</x:v>
      </x:c>
      <x:c r="G199" s="10" t="str">
        <x:v>No</x:v>
      </x:c>
      <x:c r="H199" s="10" t="str">
        <x:v>No</x:v>
      </x:c>
      <x:c r="I199" s="10" t="str">
        <x:v>Yes</x:v>
      </x:c>
      <x:c r="J199" s="17" t="str">
        <x:v>Implemented route; subset limits apply</x:v>
      </x:c>
    </x:row>
    <x:row r="200" ht="38" customHeight="1">
      <x:c r="A200" s="10" t="str">
        <x:v>action_reports_publish</x:v>
      </x:c>
      <x:c r="B200" s="10" t="str">
        <x:v>POST</x:v>
      </x:c>
      <x:c r="C200" s="10" t="str">
        <x:v>/v1/tenants/{tenant_id}/reports/{object_id}/actions/publish</x:v>
      </x:c>
      <x:c r="D200" s="10" t="str">
        <x:v>report.publish</x:v>
      </x:c>
      <x:c r="E200" s="10" t="str">
        <x:v>MEL_ADMIN</x:v>
      </x:c>
      <x:c r="F200" s="10" t="n">
        <x:v>300</x:v>
      </x:c>
      <x:c r="G200" s="10" t="str">
        <x:v>No</x:v>
      </x:c>
      <x:c r="H200" s="10" t="str">
        <x:v>No</x:v>
      </x:c>
      <x:c r="I200" s="10" t="str">
        <x:v>Yes</x:v>
      </x:c>
      <x:c r="J200" s="17" t="str">
        <x:v>Implemented route; subset limits apply</x:v>
      </x:c>
    </x:row>
    <x:row r="201" ht="38" customHeight="1">
      <x:c r="A201" s="10" t="str">
        <x:v>action_reports_withdraw</x:v>
      </x:c>
      <x:c r="B201" s="10" t="str">
        <x:v>POST</x:v>
      </x:c>
      <x:c r="C201" s="10" t="str">
        <x:v>/v1/tenants/{tenant_id}/reports/{object_id}/actions/withdraw</x:v>
      </x:c>
      <x:c r="D201" s="10" t="str">
        <x:v>report.withdraw</x:v>
      </x:c>
      <x:c r="E201" s="10" t="str">
        <x:v>MEL_ADMIN, PRIVACY</x:v>
      </x:c>
      <x:c r="F201" s="10" t="str">
        <x:v>Ordinary session</x:v>
      </x:c>
      <x:c r="G201" s="10" t="str">
        <x:v>No</x:v>
      </x:c>
      <x:c r="H201" s="10" t="str">
        <x:v>No</x:v>
      </x:c>
      <x:c r="I201" s="10" t="str">
        <x:v>Yes</x:v>
      </x:c>
      <x:c r="J201" s="17" t="str">
        <x:v>Implemented route; subset limits apply</x:v>
      </x:c>
    </x:row>
    <x:row r="202" ht="38" customHeight="1">
      <x:c r="A202" s="10" t="str">
        <x:v>action_connections_test</x:v>
      </x:c>
      <x:c r="B202" s="10" t="str">
        <x:v>POST</x:v>
      </x:c>
      <x:c r="C202" s="10" t="str">
        <x:v>/v1/tenants/{tenant_id}/connections/{object_id}/actions/test</x:v>
      </x:c>
      <x:c r="D202" s="10" t="str">
        <x:v>connection.test</x:v>
      </x:c>
      <x:c r="E202" s="10" t="str">
        <x:v>TENANT_ADMIN</x:v>
      </x:c>
      <x:c r="F202" s="10" t="str">
        <x:v>Ordinary session</x:v>
      </x:c>
      <x:c r="G202" s="10" t="str">
        <x:v>No</x:v>
      </x:c>
      <x:c r="H202" s="10" t="str">
        <x:v>No</x:v>
      </x:c>
      <x:c r="I202" s="10" t="str">
        <x:v>Yes</x:v>
      </x:c>
      <x:c r="J202" s="17" t="str">
        <x:v>Design only; not an implemented route</x:v>
      </x:c>
    </x:row>
    <x:row r="203" ht="38" customHeight="1">
      <x:c r="A203" s="10" t="str">
        <x:v>action_connections_activate</x:v>
      </x:c>
      <x:c r="B203" s="10" t="str">
        <x:v>POST</x:v>
      </x:c>
      <x:c r="C203" s="10" t="str">
        <x:v>/v1/tenants/{tenant_id}/connections/{object_id}/actions/activate</x:v>
      </x:c>
      <x:c r="D203" s="10" t="str">
        <x:v>connection.activate</x:v>
      </x:c>
      <x:c r="E203" s="10" t="str">
        <x:v>TENANT_ADMIN</x:v>
      </x:c>
      <x:c r="F203" s="10" t="str">
        <x:v>Ordinary session</x:v>
      </x:c>
      <x:c r="G203" s="10" t="str">
        <x:v>No</x:v>
      </x:c>
      <x:c r="H203" s="10" t="str">
        <x:v>No</x:v>
      </x:c>
      <x:c r="I203" s="10" t="str">
        <x:v>Yes</x:v>
      </x:c>
      <x:c r="J203" s="17" t="str">
        <x:v>Design only; not an implemented route</x:v>
      </x:c>
    </x:row>
    <x:row r="204" ht="38" customHeight="1">
      <x:c r="A204" s="10" t="str">
        <x:v>action_connections_pause</x:v>
      </x:c>
      <x:c r="B204" s="10" t="str">
        <x:v>POST</x:v>
      </x:c>
      <x:c r="C204" s="10" t="str">
        <x:v>/v1/tenants/{tenant_id}/connections/{object_id}/actions/pause</x:v>
      </x:c>
      <x:c r="D204" s="10" t="str">
        <x:v>connection.pause</x:v>
      </x:c>
      <x:c r="E204" s="10" t="str">
        <x:v>TENANT_ADMIN</x:v>
      </x:c>
      <x:c r="F204" s="10" t="str">
        <x:v>Ordinary session</x:v>
      </x:c>
      <x:c r="G204" s="10" t="str">
        <x:v>No</x:v>
      </x:c>
      <x:c r="H204" s="10" t="str">
        <x:v>No</x:v>
      </x:c>
      <x:c r="I204" s="10" t="str">
        <x:v>Yes</x:v>
      </x:c>
      <x:c r="J204" s="17" t="str">
        <x:v>Design only; not an implemented route</x:v>
      </x:c>
    </x:row>
    <x:row r="205" ht="38" customHeight="1">
      <x:c r="A205" s="10" t="str">
        <x:v>action_connections_run</x:v>
      </x:c>
      <x:c r="B205" s="10" t="str">
        <x:v>POST</x:v>
      </x:c>
      <x:c r="C205" s="10" t="str">
        <x:v>/v1/tenants/{tenant_id}/connections/{object_id}/actions/run</x:v>
      </x:c>
      <x:c r="D205" s="10" t="str">
        <x:v>connection.run</x:v>
      </x:c>
      <x:c r="E205" s="10" t="str">
        <x:v>TENANT_ADMIN, SERVICE</x:v>
      </x:c>
      <x:c r="F205" s="10" t="str">
        <x:v>Ordinary session</x:v>
      </x:c>
      <x:c r="G205" s="10" t="str">
        <x:v>No</x:v>
      </x:c>
      <x:c r="H205" s="10" t="str">
        <x:v>No</x:v>
      </x:c>
      <x:c r="I205" s="10" t="str">
        <x:v>Yes</x:v>
      </x:c>
      <x:c r="J205" s="17" t="str">
        <x:v>Design only; not an implemented route</x:v>
      </x:c>
    </x:row>
    <x:row r="206" ht="38" customHeight="1">
      <x:c r="A206" s="10" t="str">
        <x:v>action_connections_rotate_credential</x:v>
      </x:c>
      <x:c r="B206" s="10" t="str">
        <x:v>POST</x:v>
      </x:c>
      <x:c r="C206" s="10" t="str">
        <x:v>/v1/tenants/{tenant_id}/connections/{object_id}/actions/rotate-credential</x:v>
      </x:c>
      <x:c r="D206" s="10" t="str">
        <x:v>connection.rotate</x:v>
      </x:c>
      <x:c r="E206" s="10" t="str">
        <x:v>TENANT_ADMIN</x:v>
      </x:c>
      <x:c r="F206" s="10" t="n">
        <x:v>300</x:v>
      </x:c>
      <x:c r="G206" s="10" t="str">
        <x:v>No</x:v>
      </x:c>
      <x:c r="H206" s="10" t="str">
        <x:v>No</x:v>
      </x:c>
      <x:c r="I206" s="10" t="str">
        <x:v>Yes</x:v>
      </x:c>
      <x:c r="J206" s="17" t="str">
        <x:v>Design only; not an implemented route</x:v>
      </x:c>
    </x:row>
    <x:row r="207" ht="38" customHeight="1">
      <x:c r="A207" s="10" t="str">
        <x:v>action_ai_tasks_confirm</x:v>
      </x:c>
      <x:c r="B207" s="10" t="str">
        <x:v>POST</x:v>
      </x:c>
      <x:c r="C207" s="10" t="str">
        <x:v>/v1/tenants/{tenant_id}/ai-tasks/{object_id}/actions/confirm</x:v>
      </x:c>
      <x:c r="D207" s="10" t="str">
        <x:v>ai.confirm</x:v>
      </x:c>
      <x:c r="E207" s="10" t="str">
        <x:v>AUTHOR, ANALYST</x:v>
      </x:c>
      <x:c r="F207" s="10" t="str">
        <x:v>Ordinary session</x:v>
      </x:c>
      <x:c r="G207" s="10" t="str">
        <x:v>No</x:v>
      </x:c>
      <x:c r="H207" s="10" t="str">
        <x:v>No</x:v>
      </x:c>
      <x:c r="I207" s="10" t="str">
        <x:v>Yes</x:v>
      </x:c>
      <x:c r="J207" s="17" t="str">
        <x:v>Design only; not an implemented route</x:v>
      </x:c>
    </x:row>
    <x:row r="208" ht="38" customHeight="1">
      <x:c r="A208" s="10" t="str">
        <x:v>action_ai_tasks_cancel</x:v>
      </x:c>
      <x:c r="B208" s="10" t="str">
        <x:v>POST</x:v>
      </x:c>
      <x:c r="C208" s="10" t="str">
        <x:v>/v1/tenants/{tenant_id}/ai-tasks/{object_id}/actions/cancel</x:v>
      </x:c>
      <x:c r="D208" s="10" t="str">
        <x:v>ai.cancel</x:v>
      </x:c>
      <x:c r="E208" s="10" t="str">
        <x:v>AUTHOR, ANALYST</x:v>
      </x:c>
      <x:c r="F208" s="10" t="str">
        <x:v>Ordinary session</x:v>
      </x:c>
      <x:c r="G208" s="10" t="str">
        <x:v>No</x:v>
      </x:c>
      <x:c r="H208" s="10" t="str">
        <x:v>No</x:v>
      </x:c>
      <x:c r="I208" s="10" t="str">
        <x:v>Yes</x:v>
      </x:c>
      <x:c r="J208" s="17" t="str">
        <x:v>Design only; not an implemented route</x:v>
      </x:c>
    </x:row>
    <x:row r="209" ht="38" customHeight="1">
      <x:c r="A209" s="10" t="str">
        <x:v>action_privacy_cases_approve</x:v>
      </x:c>
      <x:c r="B209" s="10" t="str">
        <x:v>POST</x:v>
      </x:c>
      <x:c r="C209" s="10" t="str">
        <x:v>/v1/tenants/{tenant_id}/privacy-cases/{object_id}/actions/approve</x:v>
      </x:c>
      <x:c r="D209" s="10" t="str">
        <x:v>privacy.approve</x:v>
      </x:c>
      <x:c r="E209" s="10" t="str">
        <x:v>PRIVACY</x:v>
      </x:c>
      <x:c r="F209" s="10" t="n">
        <x:v>300</x:v>
      </x:c>
      <x:c r="G209" s="10" t="str">
        <x:v>Yes</x:v>
      </x:c>
      <x:c r="H209" s="10" t="str">
        <x:v>Yes</x:v>
      </x:c>
      <x:c r="I209" s="10" t="str">
        <x:v>Yes</x:v>
      </x:c>
      <x:c r="J209" s="17" t="str">
        <x:v>Design only; not an implemented route</x:v>
      </x:c>
    </x:row>
    <x:row r="210" ht="38" customHeight="1">
      <x:c r="A210" s="10" t="str">
        <x:v>action_privacy_cases_execute</x:v>
      </x:c>
      <x:c r="B210" s="10" t="str">
        <x:v>POST</x:v>
      </x:c>
      <x:c r="C210" s="10" t="str">
        <x:v>/v1/tenants/{tenant_id}/privacy-cases/{object_id}/actions/execute</x:v>
      </x:c>
      <x:c r="D210" s="10" t="str">
        <x:v>privacy.execute</x:v>
      </x:c>
      <x:c r="E210" s="10" t="str">
        <x:v>PRIVACY</x:v>
      </x:c>
      <x:c r="F210" s="10" t="n">
        <x:v>300</x:v>
      </x:c>
      <x:c r="G210" s="10" t="str">
        <x:v>No</x:v>
      </x:c>
      <x:c r="H210" s="10" t="str">
        <x:v>Yes</x:v>
      </x:c>
      <x:c r="I210" s="10" t="str">
        <x:v>Yes</x:v>
      </x:c>
      <x:c r="J210" s="17" t="str">
        <x:v>Design only; not an implemented route</x:v>
      </x:c>
    </x:row>
    <x:row r="211" ht="38" customHeight="1">
      <x:c r="A211" s="10" t="str">
        <x:v>action_participants_restrict</x:v>
      </x:c>
      <x:c r="B211" s="10" t="str">
        <x:v>POST</x:v>
      </x:c>
      <x:c r="C211" s="10" t="str">
        <x:v>/v1/tenants/{tenant_id}/participants/{object_id}/actions/restrict</x:v>
      </x:c>
      <x:c r="D211" s="10" t="str">
        <x:v>participant.restrict</x:v>
      </x:c>
      <x:c r="E211" s="10" t="str">
        <x:v>PRIVACY</x:v>
      </x:c>
      <x:c r="F211" s="10" t="str">
        <x:v>Ordinary session</x:v>
      </x:c>
      <x:c r="G211" s="10" t="str">
        <x:v>No</x:v>
      </x:c>
      <x:c r="H211" s="10" t="str">
        <x:v>Yes</x:v>
      </x:c>
      <x:c r="I211" s="10" t="str">
        <x:v>Yes</x:v>
      </x:c>
      <x:c r="J211" s="17" t="str">
        <x:v>Design only; not an implemented route</x:v>
      </x:c>
    </x:row>
    <x:row r="212" ht="38" customHeight="1">
      <x:c r="A212" s="10" t="str">
        <x:v>action_participants_withdraw_purpose</x:v>
      </x:c>
      <x:c r="B212" s="10" t="str">
        <x:v>POST</x:v>
      </x:c>
      <x:c r="C212" s="10" t="str">
        <x:v>/v1/tenants/{tenant_id}/participants/{object_id}/actions/withdraw-purpose</x:v>
      </x:c>
      <x:c r="D212" s="10" t="str">
        <x:v>participant.withdraw</x:v>
      </x:c>
      <x:c r="E212" s="10" t="str">
        <x:v>PRIVACY</x:v>
      </x:c>
      <x:c r="F212" s="10" t="str">
        <x:v>Ordinary session</x:v>
      </x:c>
      <x:c r="G212" s="10" t="str">
        <x:v>No</x:v>
      </x:c>
      <x:c r="H212" s="10" t="str">
        <x:v>Yes</x:v>
      </x:c>
      <x:c r="I212" s="10" t="str">
        <x:v>Yes</x:v>
      </x:c>
      <x:c r="J212" s="17" t="str">
        <x:v>Design only; not an implemented route</x:v>
      </x:c>
    </x:row>
    <x:row r="213" ht="38" customHeight="1">
      <x:c r="A213" s="10" t="str">
        <x:v>action_memberships_suspend</x:v>
      </x:c>
      <x:c r="B213" s="10" t="str">
        <x:v>POST</x:v>
      </x:c>
      <x:c r="C213" s="10" t="str">
        <x:v>/v1/tenants/{tenant_id}/memberships/{object_id}/actions/suspend</x:v>
      </x:c>
      <x:c r="D213" s="10" t="str">
        <x:v>membership.suspend</x:v>
      </x:c>
      <x:c r="E213" s="10" t="str">
        <x:v>TENANT_ADMIN, OWNER</x:v>
      </x:c>
      <x:c r="F213" s="10" t="n">
        <x:v>300</x:v>
      </x:c>
      <x:c r="G213" s="10" t="str">
        <x:v>No</x:v>
      </x:c>
      <x:c r="H213" s="10" t="str">
        <x:v>No</x:v>
      </x:c>
      <x:c r="I213" s="10" t="str">
        <x:v>Yes</x:v>
      </x:c>
      <x:c r="J213" s="17" t="str">
        <x:v>Implemented route; subset limits apply</x:v>
      </x:c>
    </x:row>
    <x:row r="214" ht="38" customHeight="1">
      <x:c r="A214" s="10" t="str">
        <x:v>action_memberships_revoke</x:v>
      </x:c>
      <x:c r="B214" s="10" t="str">
        <x:v>POST</x:v>
      </x:c>
      <x:c r="C214" s="10" t="str">
        <x:v>/v1/tenants/{tenant_id}/memberships/{object_id}/actions/revoke</x:v>
      </x:c>
      <x:c r="D214" s="10" t="str">
        <x:v>membership.revoke</x:v>
      </x:c>
      <x:c r="E214" s="10" t="str">
        <x:v>TENANT_ADMIN, OWNER</x:v>
      </x:c>
      <x:c r="F214" s="10" t="n">
        <x:v>300</x:v>
      </x:c>
      <x:c r="G214" s="10" t="str">
        <x:v>No</x:v>
      </x:c>
      <x:c r="H214" s="10" t="str">
        <x:v>No</x:v>
      </x:c>
      <x:c r="I214" s="10" t="str">
        <x:v>Yes</x:v>
      </x:c>
      <x:c r="J214" s="17" t="str">
        <x:v>Implemented route; subset limits apply</x:v>
      </x:c>
    </x:row>
    <x:row r="215" ht="38" customHeight="1">
      <x:c r="A215" s="10" t="str">
        <x:v>action_grants_revoke</x:v>
      </x:c>
      <x:c r="B215" s="10" t="str">
        <x:v>POST</x:v>
      </x:c>
      <x:c r="C215" s="10" t="str">
        <x:v>/v1/tenants/{tenant_id}/grants/{object_id}/actions/revoke</x:v>
      </x:c>
      <x:c r="D215" s="10" t="str">
        <x:v>grant.revoke</x:v>
      </x:c>
      <x:c r="E215" s="10" t="str">
        <x:v>TENANT_ADMIN, OWNER</x:v>
      </x:c>
      <x:c r="F215" s="10" t="n">
        <x:v>300</x:v>
      </x:c>
      <x:c r="G215" s="10" t="str">
        <x:v>No</x:v>
      </x:c>
      <x:c r="H215" s="10" t="str">
        <x:v>No</x:v>
      </x:c>
      <x:c r="I215" s="10" t="str">
        <x:v>Yes</x:v>
      </x:c>
      <x:c r="J215" s="17" t="str">
        <x:v>Implemented route; subset limits apply</x:v>
      </x:c>
    </x:row>
    <x:row r="216" ht="38" customHeight="1">
      <x:c r="A216" s="10" t="str">
        <x:v>action_support_requests_approve</x:v>
      </x:c>
      <x:c r="B216" s="10" t="str">
        <x:v>POST</x:v>
      </x:c>
      <x:c r="C216" s="10" t="str">
        <x:v>/v1/tenants/{tenant_id}/support-requests/{object_id}/actions/approve</x:v>
      </x:c>
      <x:c r="D216" s="10" t="str">
        <x:v>support.approve</x:v>
      </x:c>
      <x:c r="E216" s="10" t="str">
        <x:v>OWNER</x:v>
      </x:c>
      <x:c r="F216" s="10" t="n">
        <x:v>300</x:v>
      </x:c>
      <x:c r="G216" s="10" t="str">
        <x:v>Yes</x:v>
      </x:c>
      <x:c r="H216" s="10" t="str">
        <x:v>No</x:v>
      </x:c>
      <x:c r="I216" s="10" t="str">
        <x:v>Yes</x:v>
      </x:c>
      <x:c r="J216" s="17" t="str">
        <x:v>Design only; not an implemented route</x:v>
      </x:c>
    </x:row>
    <x:row r="217" ht="38" customHeight="1">
      <x:c r="A217" s="10" t="str">
        <x:v>action_support_requests_revoke</x:v>
      </x:c>
      <x:c r="B217" s="10" t="str">
        <x:v>POST</x:v>
      </x:c>
      <x:c r="C217" s="10" t="str">
        <x:v>/v1/tenants/{tenant_id}/support-requests/{object_id}/actions/revoke</x:v>
      </x:c>
      <x:c r="D217" s="10" t="str">
        <x:v>support.revoke</x:v>
      </x:c>
      <x:c r="E217" s="10" t="str">
        <x:v>OWNER, OPERATOR</x:v>
      </x:c>
      <x:c r="F217" s="10" t="n">
        <x:v>300</x:v>
      </x:c>
      <x:c r="G217" s="10" t="str">
        <x:v>No</x:v>
      </x:c>
      <x:c r="H217" s="10" t="str">
        <x:v>No</x:v>
      </x:c>
      <x:c r="I217" s="10" t="str">
        <x:v>Yes</x:v>
      </x:c>
      <x:c r="J217" s="17" t="str">
        <x:v>Design only; not an implemented route</x:v>
      </x:c>
    </x:row>
    <x:row r="218" ht="38" customHeight="1">
      <x:c r="A218" s="10" t="str">
        <x:v>action_subscriptions_change_entitlement</x:v>
      </x:c>
      <x:c r="B218" s="10" t="str">
        <x:v>POST</x:v>
      </x:c>
      <x:c r="C218" s="10" t="str">
        <x:v>/v1/tenants/{tenant_id}/subscriptions/{object_id}/actions/change-entitlement</x:v>
      </x:c>
      <x:c r="D218" s="10" t="str">
        <x:v>subscription.admin</x:v>
      </x:c>
      <x:c r="E218" s="10" t="str">
        <x:v>OPERATOR</x:v>
      </x:c>
      <x:c r="F218" s="10" t="n">
        <x:v>300</x:v>
      </x:c>
      <x:c r="G218" s="10" t="str">
        <x:v>No</x:v>
      </x:c>
      <x:c r="H218" s="10" t="str">
        <x:v>No</x:v>
      </x:c>
      <x:c r="I218" s="10" t="str">
        <x:v>Yes</x:v>
      </x:c>
      <x:c r="J218" s="17" t="str">
        <x:v>Design only; not an implemented route</x:v>
      </x:c>
    </x:row>
    <x:row r="219" ht="38" customHeight="1">
      <x:c r="A219" s="10" t="str">
        <x:v>action_schedules_pause</x:v>
      </x:c>
      <x:c r="B219" s="10" t="str">
        <x:v>POST</x:v>
      </x:c>
      <x:c r="C219" s="10" t="str">
        <x:v>/v1/tenants/{tenant_id}/schedules/{object_id}/actions/pause</x:v>
      </x:c>
      <x:c r="D219" s="10" t="str">
        <x:v>schedule.pause</x:v>
      </x:c>
      <x:c r="E219" s="10" t="str">
        <x:v>TENANT_ADMIN</x:v>
      </x:c>
      <x:c r="F219" s="10" t="str">
        <x:v>Ordinary session</x:v>
      </x:c>
      <x:c r="G219" s="10" t="str">
        <x:v>No</x:v>
      </x:c>
      <x:c r="H219" s="10" t="str">
        <x:v>No</x:v>
      </x:c>
      <x:c r="I219" s="10" t="str">
        <x:v>Yes</x:v>
      </x:c>
      <x:c r="J219" s="17" t="str">
        <x:v>Design only; not an implemented route</x:v>
      </x:c>
    </x:row>
    <x:row r="220" ht="38" customHeight="1">
      <x:c r="A220" s="10" t="str">
        <x:v>invite_member</x:v>
      </x:c>
      <x:c r="B220" s="10" t="str">
        <x:v>POST</x:v>
      </x:c>
      <x:c r="C220" s="10" t="str">
        <x:v>/v1/tenants/{tenant_id}/member-invitations</x:v>
      </x:c>
      <x:c r="D220" s="10" t="str">
        <x:v>member.invite</x:v>
      </x:c>
      <x:c r="E220" s="10" t="str">
        <x:v>TENANT_ADMIN, OWNER</x:v>
      </x:c>
      <x:c r="F220" s="10" t="n">
        <x:v>300</x:v>
      </x:c>
      <x:c r="G220" s="10" t="str">
        <x:v>No</x:v>
      </x:c>
      <x:c r="H220" s="10" t="str">
        <x:v>No</x:v>
      </x:c>
      <x:c r="I220" s="10" t="str">
        <x:v>Yes</x:v>
      </x:c>
      <x:c r="J220" s="17" t="str">
        <x:v>Implemented route; subset limits apply</x:v>
      </x:c>
    </x:row>
    <x:row r="221" ht="38" customHeight="1">
      <x:c r="A221" s="10" t="str">
        <x:v>accept_invitation</x:v>
      </x:c>
      <x:c r="B221" s="10" t="str">
        <x:v>POST</x:v>
      </x:c>
      <x:c r="C221" s="10" t="str">
        <x:v>/v1/tenants/{tenant_id}/invitation-acceptances</x:v>
      </x:c>
      <x:c r="D221" s="10" t="str">
        <x:v>invitation.accept</x:v>
      </x:c>
      <x:c r="E221" s="10" t="str">
        <x:v>EXTERNAL</x:v>
      </x:c>
      <x:c r="F221" s="10" t="str">
        <x:v>Ordinary session</x:v>
      </x:c>
      <x:c r="G221" s="10" t="str">
        <x:v>No</x:v>
      </x:c>
      <x:c r="H221" s="10" t="str">
        <x:v>No</x:v>
      </x:c>
      <x:c r="I221" s="10" t="str">
        <x:v>Yes</x:v>
      </x:c>
      <x:c r="J221" s="17" t="str">
        <x:v>Implemented route; subset limits apply</x:v>
      </x:c>
    </x:row>
    <x:row r="222" ht="38" customHeight="1">
      <x:c r="A222" s="10" t="str">
        <x:v>transfer_owner</x:v>
      </x:c>
      <x:c r="B222" s="10" t="str">
        <x:v>POST</x:v>
      </x:c>
      <x:c r="C222" s="10" t="str">
        <x:v>/v1/tenants/{tenant_id}/actions/transfer-owner</x:v>
      </x:c>
      <x:c r="D222" s="10" t="str">
        <x:v>tenant.transfer_owner</x:v>
      </x:c>
      <x:c r="E222" s="10" t="str">
        <x:v>OWNER</x:v>
      </x:c>
      <x:c r="F222" s="10" t="n">
        <x:v>300</x:v>
      </x:c>
      <x:c r="G222" s="10" t="str">
        <x:v>Yes</x:v>
      </x:c>
      <x:c r="H222" s="10" t="str">
        <x:v>No</x:v>
      </x:c>
      <x:c r="I222" s="10" t="str">
        <x:v>Yes</x:v>
      </x:c>
      <x:c r="J222" s="17" t="str">
        <x:v>Design only; not an implemented route</x:v>
      </x:c>
    </x:row>
    <x:row r="223" ht="38" customHeight="1">
      <x:c r="A223" s="10" t="str">
        <x:v>request_grant</x:v>
      </x:c>
      <x:c r="B223" s="10" t="str">
        <x:v>POST</x:v>
      </x:c>
      <x:c r="C223" s="10" t="str">
        <x:v>/v1/tenants/{tenant_id}/grant-requests</x:v>
      </x:c>
      <x:c r="D223" s="10" t="str">
        <x:v>grant.request</x:v>
      </x:c>
      <x:c r="E223" s="10" t="str">
        <x:v>TENANT_ADMIN, OWNER</x:v>
      </x:c>
      <x:c r="F223" s="10" t="n">
        <x:v>300</x:v>
      </x:c>
      <x:c r="G223" s="10" t="str">
        <x:v>No</x:v>
      </x:c>
      <x:c r="H223" s="10" t="str">
        <x:v>No</x:v>
      </x:c>
      <x:c r="I223" s="10" t="str">
        <x:v>Yes</x:v>
      </x:c>
      <x:c r="J223" s="17" t="str">
        <x:v>Design only; not an implemented route</x:v>
      </x:c>
    </x:row>
    <x:row r="224" ht="38" customHeight="1">
      <x:c r="A224" s="10" t="str">
        <x:v>offline_sync</x:v>
      </x:c>
      <x:c r="B224" s="10" t="str">
        <x:v>POST</x:v>
      </x:c>
      <x:c r="C224" s="10" t="str">
        <x:v>/v1/tenants/{tenant_id}/offline-sync</x:v>
      </x:c>
      <x:c r="D224" s="10" t="str">
        <x:v>submission.sync</x:v>
      </x:c>
      <x:c r="E224" s="10" t="str">
        <x:v>ENUMERATOR</x:v>
      </x:c>
      <x:c r="F224" s="10" t="str">
        <x:v>Ordinary session</x:v>
      </x:c>
      <x:c r="G224" s="10" t="str">
        <x:v>No</x:v>
      </x:c>
      <x:c r="H224" s="10" t="str">
        <x:v>No</x:v>
      </x:c>
      <x:c r="I224" s="10" t="str">
        <x:v>Yes</x:v>
      </x:c>
      <x:c r="J224" s="17" t="str">
        <x:v>Design only; not an implemented route</x:v>
      </x:c>
    </x:row>
    <x:row r="225" ht="38" customHeight="1">
      <x:c r="A225" s="10" t="str">
        <x:v>request_import</x:v>
      </x:c>
      <x:c r="B225" s="10" t="str">
        <x:v>POST</x:v>
      </x:c>
      <x:c r="C225" s="10" t="str">
        <x:v>/v1/tenants/{tenant_id}/import-requests</x:v>
      </x:c>
      <x:c r="D225" s="10" t="str">
        <x:v>import.create</x:v>
      </x:c>
      <x:c r="E225" s="10" t="str">
        <x:v>DATA_STEWARD</x:v>
      </x:c>
      <x:c r="F225" s="10" t="str">
        <x:v>Ordinary session</x:v>
      </x:c>
      <x:c r="G225" s="10" t="str">
        <x:v>No</x:v>
      </x:c>
      <x:c r="H225" s="10" t="str">
        <x:v>No</x:v>
      </x:c>
      <x:c r="I225" s="10" t="str">
        <x:v>Yes</x:v>
      </x:c>
      <x:c r="J225" s="17" t="str">
        <x:v>Design only; not an implemented route</x:v>
      </x:c>
    </x:row>
    <x:row r="226" ht="38" customHeight="1">
      <x:c r="A226" s="10" t="str">
        <x:v>request_ai</x:v>
      </x:c>
      <x:c r="B226" s="10" t="str">
        <x:v>POST</x:v>
      </x:c>
      <x:c r="C226" s="10" t="str">
        <x:v>/v1/tenants/{tenant_id}/ai-requests</x:v>
      </x:c>
      <x:c r="D226" s="10" t="str">
        <x:v>ai.request</x:v>
      </x:c>
      <x:c r="E226" s="10" t="str">
        <x:v>AUTHOR, ANALYST</x:v>
      </x:c>
      <x:c r="F226" s="10" t="str">
        <x:v>Ordinary session</x:v>
      </x:c>
      <x:c r="G226" s="10" t="str">
        <x:v>No</x:v>
      </x:c>
      <x:c r="H226" s="10" t="str">
        <x:v>No</x:v>
      </x:c>
      <x:c r="I226" s="10" t="str">
        <x:v>Yes</x:v>
      </x:c>
      <x:c r="J226" s="17" t="str">
        <x:v>Design only; not an implemented route</x:v>
      </x:c>
    </x:row>
    <x:row r="227" ht="38" customHeight="1">
      <x:c r="A227" s="10" t="str">
        <x:v>request_disclosure</x:v>
      </x:c>
      <x:c r="B227" s="10" t="str">
        <x:v>POST</x:v>
      </x:c>
      <x:c r="C227" s="10" t="str">
        <x:v>/v1/tenants/{tenant_id}/disclosure-requests</x:v>
      </x:c>
      <x:c r="D227" s="10" t="str">
        <x:v>disclosure.request</x:v>
      </x:c>
      <x:c r="E227" s="10" t="str">
        <x:v>AUTHOR, PRIVACY</x:v>
      </x:c>
      <x:c r="F227" s="10" t="str">
        <x:v>Ordinary session</x:v>
      </x:c>
      <x:c r="G227" s="10" t="str">
        <x:v>No</x:v>
      </x:c>
      <x:c r="H227" s="10" t="str">
        <x:v>No</x:v>
      </x:c>
      <x:c r="I227" s="10" t="str">
        <x:v>Yes</x:v>
      </x:c>
      <x:c r="J227" s="17" t="str">
        <x:v>Implemented route; subset limits apply</x:v>
      </x:c>
    </x:row>
    <x:row r="228" ht="38" customHeight="1">
      <x:c r="A228" s="10" t="str">
        <x:v>request_tenant_export</x:v>
      </x:c>
      <x:c r="B228" s="10" t="str">
        <x:v>POST</x:v>
      </x:c>
      <x:c r="C228" s="10" t="str">
        <x:v>/v1/tenants/{tenant_id}/tenant-exports</x:v>
      </x:c>
      <x:c r="D228" s="10" t="str">
        <x:v>tenant.export</x:v>
      </x:c>
      <x:c r="E228" s="10" t="str">
        <x:v>OWNER</x:v>
      </x:c>
      <x:c r="F228" s="10" t="str">
        <x:v>Ordinary session</x:v>
      </x:c>
      <x:c r="G228" s="10" t="str">
        <x:v>No</x:v>
      </x:c>
      <x:c r="H228" s="10" t="str">
        <x:v>No</x:v>
      </x:c>
      <x:c r="I228" s="10" t="str">
        <x:v>Yes</x:v>
      </x:c>
      <x:c r="J228" s="17" t="str">
        <x:v>Design only; not an implemented route</x:v>
      </x:c>
    </x:row>
    <x:row r="229" ht="38" customHeight="1">
      <x:c r="A229" s="10" t="str">
        <x:v>request_recalculation</x:v>
      </x:c>
      <x:c r="B229" s="10" t="str">
        <x:v>POST</x:v>
      </x:c>
      <x:c r="C229" s="10" t="str">
        <x:v>/v1/tenants/{tenant_id}/recalculations</x:v>
      </x:c>
      <x:c r="D229" s="10" t="str">
        <x:v>calculation.run</x:v>
      </x:c>
      <x:c r="E229" s="10" t="str">
        <x:v>MEL_ADMIN, DATA_STEWARD</x:v>
      </x:c>
      <x:c r="F229" s="10" t="str">
        <x:v>Ordinary session</x:v>
      </x:c>
      <x:c r="G229" s="10" t="str">
        <x:v>No</x:v>
      </x:c>
      <x:c r="H229" s="10" t="str">
        <x:v>No</x:v>
      </x:c>
      <x:c r="I229" s="10" t="str">
        <x:v>Yes</x:v>
      </x:c>
      <x:c r="J229" s="17" t="str">
        <x:v>Design only; not an implemented route</x:v>
      </x:c>
    </x:row>
    <x:row r="230" ht="51" customHeight="1">
      <x:c r="A230" s="10" t="str">
        <x:v>get_effective_access</x:v>
      </x:c>
      <x:c r="B230" s="10" t="str">
        <x:v>GET</x:v>
      </x:c>
      <x:c r="C230" s="10" t="str">
        <x:v>/v1/tenants/{tenant_id}/me/access</x:v>
      </x:c>
      <x:c r="D230" s="10" t="str">
        <x:v>context.read</x:v>
      </x:c>
      <x:c r="E230" s="10" t="str">
        <x:v>OWNER, TENANT_ADMIN, MEL_ADMIN, PROGRAMME_MANAGER, AUTHOR, REVIEWER, ENUMERATOR, DATA_STEWARD, ANALYST, FINANCE, PRIVACY, OPERATOR, SUPPORT, SERVICE, EXTERNAL</x:v>
      </x:c>
      <x:c r="F230" s="10" t="str">
        <x:v>Ordinary session</x:v>
      </x:c>
      <x:c r="G230" s="10" t="str">
        <x:v>No</x:v>
      </x:c>
      <x:c r="H230" s="10" t="str">
        <x:v>No</x:v>
      </x:c>
      <x:c r="I230" s="10" t="str">
        <x:v>Read policy</x:v>
      </x:c>
      <x:c r="J230" s="17" t="str">
        <x:v>Design only; not an implemented route</x:v>
      </x:c>
    </x:row>
    <x:row r="231" ht="38" customHeight="1">
      <x:c r="A231" s="10" t="str">
        <x:v>runtime_manifest</x:v>
      </x:c>
      <x:c r="B231" s="10" t="str">
        <x:v>GET</x:v>
      </x:c>
      <x:c r="C231" s="10" t="str">
        <x:v>/v1/runtime-manifest</x:v>
      </x:c>
      <x:c r="D231" s="10" t="str">
        <x:v>runtime.read</x:v>
      </x:c>
      <x:c r="E231" s="10" t="str">
        <x:v>OPERATOR, TENANT_ADMIN</x:v>
      </x:c>
      <x:c r="F231" s="10" t="str">
        <x:v>Ordinary session</x:v>
      </x:c>
      <x:c r="G231" s="10" t="str">
        <x:v>No</x:v>
      </x:c>
      <x:c r="H231" s="10" t="str">
        <x:v>No</x:v>
      </x:c>
      <x:c r="I231" s="10" t="str">
        <x:v>Read policy</x:v>
      </x:c>
      <x:c r="J231" s="17" t="str">
        <x:v>Design only; not an implemented route</x:v>
      </x:c>
    </x:row>
    <x:row r="232" ht="38" customHeight="1">
      <x:c r="A232" s="10" t="str">
        <x:v>readiness</x:v>
      </x:c>
      <x:c r="B232" s="10" t="str">
        <x:v>GET</x:v>
      </x:c>
      <x:c r="C232" s="10" t="str">
        <x:v>/health/ready</x:v>
      </x:c>
      <x:c r="D232" s="10" t="str">
        <x:v>public</x:v>
      </x:c>
      <x:c r="E232" s="10" t="str">
        <x:v>ANONYMOUS</x:v>
      </x:c>
      <x:c r="F232" s="10" t="str">
        <x:v>Ordinary session</x:v>
      </x:c>
      <x:c r="G232" s="10" t="str">
        <x:v>No</x:v>
      </x:c>
      <x:c r="H232" s="10" t="str">
        <x:v>No</x:v>
      </x:c>
      <x:c r="I232" s="10" t="str">
        <x:v>Read policy</x:v>
      </x:c>
      <x:c r="J232" s="17" t="str">
        <x:v>Design only; not an implemented route</x:v>
      </x:c>
    </x:row>
    <x:row r="233" ht="51" customHeight="1">
      <x:c r="A233" s="10" t="str">
        <x:v>get_jobs</x:v>
      </x:c>
      <x:c r="B233" s="10" t="str">
        <x:v>GET</x:v>
      </x:c>
      <x:c r="C233" s="10" t="str">
        <x:v>/v1/tenants/{tenant_id}/jobs/{object_id}</x:v>
      </x:c>
      <x:c r="D233" s="10" t="str">
        <x:v>jobs.read</x:v>
      </x:c>
      <x:c r="E233" s="10" t="str">
        <x:v>OWNER, TENANT_ADMIN, MEL_ADMIN, PROGRAMME_MANAGER, AUTHOR, REVIEWER, ENUMERATOR, DATA_STEWARD, ANALYST, FINANCE, PRIVACY, OPERATOR, SUPPORT, SERVICE, EXTERNAL</x:v>
      </x:c>
      <x:c r="F233" s="10" t="str">
        <x:v>Ordinary session</x:v>
      </x:c>
      <x:c r="G233" s="10" t="str">
        <x:v>No</x:v>
      </x:c>
      <x:c r="H233" s="10" t="str">
        <x:v>No</x:v>
      </x:c>
      <x:c r="I233" s="10" t="str">
        <x:v>Read policy</x:v>
      </x:c>
      <x:c r="J233" s="17" t="str">
        <x:v>Design only; not an implemented route</x:v>
      </x:c>
    </x:row>
    <x:row r="234" ht="51" customHeight="1">
      <x:c r="A234" s="10" t="str">
        <x:v>get_operations</x:v>
      </x:c>
      <x:c r="B234" s="10" t="str">
        <x:v>GET</x:v>
      </x:c>
      <x:c r="C234" s="10" t="str">
        <x:v>/v1/tenants/{tenant_id}/operations/{object_id}</x:v>
      </x:c>
      <x:c r="D234" s="10" t="str">
        <x:v>operations.read</x:v>
      </x:c>
      <x:c r="E234" s="10" t="str">
        <x:v>OWNER, TENANT_ADMIN, MEL_ADMIN, PROGRAMME_MANAGER, AUTHOR, REVIEWER, ENUMERATOR, DATA_STEWARD, ANALYST, FINANCE, PRIVACY, OPERATOR, SUPPORT, SERVICE, EXTERNAL</x:v>
      </x:c>
      <x:c r="F234" s="10" t="str">
        <x:v>Ordinary session</x:v>
      </x:c>
      <x:c r="G234" s="10" t="str">
        <x:v>No</x:v>
      </x:c>
      <x:c r="H234" s="10" t="str">
        <x:v>No</x:v>
      </x:c>
      <x:c r="I234" s="10" t="str">
        <x:v>Read policy</x:v>
      </x:c>
      <x:c r="J234" s="17" t="str">
        <x:v>Design only; not an implemented route</x:v>
      </x:c>
    </x:row>
    <x:row r="235" ht="51" customHeight="1">
      <x:c r="A235" s="10" t="str">
        <x:v>get_uploads</x:v>
      </x:c>
      <x:c r="B235" s="10" t="str">
        <x:v>GET</x:v>
      </x:c>
      <x:c r="C235" s="10" t="str">
        <x:v>/v1/tenants/{tenant_id}/uploads/{object_id}</x:v>
      </x:c>
      <x:c r="D235" s="10" t="str">
        <x:v>uploads.read</x:v>
      </x:c>
      <x:c r="E235" s="10" t="str">
        <x:v>OWNER, TENANT_ADMIN, MEL_ADMIN, PROGRAMME_MANAGER, AUTHOR, REVIEWER, ENUMERATOR, DATA_STEWARD, ANALYST, FINANCE, PRIVACY, OPERATOR, SUPPORT, SERVICE, EXTERNAL</x:v>
      </x:c>
      <x:c r="F235" s="10" t="str">
        <x:v>Ordinary session</x:v>
      </x:c>
      <x:c r="G235" s="10" t="str">
        <x:v>No</x:v>
      </x:c>
      <x:c r="H235" s="10" t="str">
        <x:v>No</x:v>
      </x:c>
      <x:c r="I235" s="10" t="str">
        <x:v>Read policy</x:v>
      </x:c>
      <x:c r="J235" s="17" t="str">
        <x:v>Design only; not an implemented route</x:v>
      </x:c>
    </x:row>
    <x:row r="236" ht="38" customHeight="1">
      <x:c r="A236" s="10" t="str">
        <x:v>create_upload</x:v>
      </x:c>
      <x:c r="B236" s="10" t="str">
        <x:v>POST</x:v>
      </x:c>
      <x:c r="C236" s="10" t="str">
        <x:v>/v1/tenants/{tenant_id}/uploads</x:v>
      </x:c>
      <x:c r="D236" s="10" t="str">
        <x:v>upload.create</x:v>
      </x:c>
      <x:c r="E236" s="10" t="str">
        <x:v>AUTHOR, ENUMERATOR, DATA_STEWARD</x:v>
      </x:c>
      <x:c r="F236" s="10" t="str">
        <x:v>Ordinary session</x:v>
      </x:c>
      <x:c r="G236" s="10" t="str">
        <x:v>No</x:v>
      </x:c>
      <x:c r="H236" s="10" t="str">
        <x:v>No</x:v>
      </x:c>
      <x:c r="I236" s="10" t="str">
        <x:v>Yes</x:v>
      </x:c>
      <x:c r="J236" s="17" t="str">
        <x:v>Design only; not an implemented route</x:v>
      </x:c>
    </x:row>
    <x:row r="237" ht="38" customHeight="1">
      <x:c r="A237" s="10" t="str">
        <x:v>put_upload_content</x:v>
      </x:c>
      <x:c r="B237" s="10" t="str">
        <x:v>PUT</x:v>
      </x:c>
      <x:c r="C237" s="10" t="str">
        <x:v>/v1/tenants/{tenant_id}/uploads/{object_id}/content</x:v>
      </x:c>
      <x:c r="D237" s="10" t="str">
        <x:v>upload.write</x:v>
      </x:c>
      <x:c r="E237" s="10" t="str">
        <x:v>AUTHOR, ENUMERATOR, DATA_STEWARD</x:v>
      </x:c>
      <x:c r="F237" s="10" t="str">
        <x:v>Ordinary session</x:v>
      </x:c>
      <x:c r="G237" s="10" t="str">
        <x:v>No</x:v>
      </x:c>
      <x:c r="H237" s="10" t="str">
        <x:v>No</x:v>
      </x:c>
      <x:c r="I237" s="10" t="str">
        <x:v>Yes</x:v>
      </x:c>
      <x:c r="J237" s="17" t="str">
        <x:v>Design only; not an implemented route</x:v>
      </x:c>
    </x:row>
    <x:row r="238" ht="38" customHeight="1">
      <x:c r="A238" s="10" t="str">
        <x:v>complete_upload</x:v>
      </x:c>
      <x:c r="B238" s="10" t="str">
        <x:v>POST</x:v>
      </x:c>
      <x:c r="C238" s="10" t="str">
        <x:v>/v1/tenants/{tenant_id}/uploads/{object_id}/actions/complete</x:v>
      </x:c>
      <x:c r="D238" s="10" t="str">
        <x:v>upload.write</x:v>
      </x:c>
      <x:c r="E238" s="10" t="str">
        <x:v>AUTHOR, ENUMERATOR, DATA_STEWARD</x:v>
      </x:c>
      <x:c r="F238" s="10" t="str">
        <x:v>Ordinary session</x:v>
      </x:c>
      <x:c r="G238" s="10" t="str">
        <x:v>No</x:v>
      </x:c>
      <x:c r="H238" s="10" t="str">
        <x:v>No</x:v>
      </x:c>
      <x:c r="I238" s="10" t="str">
        <x:v>Yes</x:v>
      </x:c>
      <x:c r="J238" s="17" t="str">
        <x:v>Design only; not an implemented route</x:v>
      </x:c>
    </x:row>
    <x:row r="239" ht="38" customHeight="1">
      <x:c r="A239" s="10" t="str">
        <x:v>read_evidence_content</x:v>
      </x:c>
      <x:c r="B239" s="10" t="str">
        <x:v>GET</x:v>
      </x:c>
      <x:c r="C239" s="10" t="str">
        <x:v>/v1/tenants/{tenant_id}/evidence/{object_id}/content</x:v>
      </x:c>
      <x:c r="D239" s="10" t="str">
        <x:v>evidence.download</x:v>
      </x:c>
      <x:c r="E239" s="10" t="str">
        <x:v>AUTHOR, REVIEWER, ANALYST, DATA_STEWARD</x:v>
      </x:c>
      <x:c r="F239" s="10" t="str">
        <x:v>Ordinary session</x:v>
      </x:c>
      <x:c r="G239" s="10" t="str">
        <x:v>No</x:v>
      </x:c>
      <x:c r="H239" s="10" t="str">
        <x:v>No</x:v>
      </x:c>
      <x:c r="I239" s="10" t="str">
        <x:v>Read policy</x:v>
      </x:c>
      <x:c r="J239" s="17" t="str">
        <x:v>Design only; not an implemented route</x:v>
      </x:c>
    </x:row>
    <x:row r="240" ht="38" customHeight="1">
      <x:c r="A240" s="10" t="str">
        <x:v>put_upload_part</x:v>
      </x:c>
      <x:c r="B240" s="10" t="str">
        <x:v>PUT</x:v>
      </x:c>
      <x:c r="C240" s="10" t="str">
        <x:v>/v1/tenants/{tenant_id}/uploads/{object_id}/parts/{part_number}</x:v>
      </x:c>
      <x:c r="D240" s="10" t="str">
        <x:v>upload.write</x:v>
      </x:c>
      <x:c r="E240" s="10" t="str">
        <x:v>AUTHOR, ENUMERATOR, DATA_STEWARD</x:v>
      </x:c>
      <x:c r="F240" s="10" t="str">
        <x:v>Ordinary session</x:v>
      </x:c>
      <x:c r="G240" s="10" t="str">
        <x:v>No</x:v>
      </x:c>
      <x:c r="H240" s="10" t="str">
        <x:v>No</x:v>
      </x:c>
      <x:c r="I240" s="10" t="str">
        <x:v>Yes</x:v>
      </x:c>
      <x:c r="J240" s="17" t="str">
        <x:v>Design only; not an implemented route</x:v>
      </x:c>
    </x:row>
    <x:row r="241" ht="38" customHeight="1">
      <x:c r="A241" s="10" t="str">
        <x:v>cancel_upload</x:v>
      </x:c>
      <x:c r="B241" s="10" t="str">
        <x:v>POST</x:v>
      </x:c>
      <x:c r="C241" s="10" t="str">
        <x:v>/v1/tenants/{tenant_id}/uploads/{object_id}/actions/cancel</x:v>
      </x:c>
      <x:c r="D241" s="10" t="str">
        <x:v>upload.write</x:v>
      </x:c>
      <x:c r="E241" s="10" t="str">
        <x:v>AUTHOR, ENUMERATOR, DATA_STEWARD</x:v>
      </x:c>
      <x:c r="F241" s="10" t="str">
        <x:v>Ordinary session</x:v>
      </x:c>
      <x:c r="G241" s="10" t="str">
        <x:v>No</x:v>
      </x:c>
      <x:c r="H241" s="10" t="str">
        <x:v>No</x:v>
      </x:c>
      <x:c r="I241" s="10" t="str">
        <x:v>Yes</x:v>
      </x:c>
      <x:c r="J241" s="17" t="str">
        <x:v>Design only; not an implemented route</x:v>
      </x:c>
    </x:row>
  </x:sheetData>
  <x:pageMargins left="0.7" right="0.7" top="0.75" bottom="0.75" header="0.3" footer="0.3"/>
  <x:tableParts count="1">
    <x:tablePart xmlns:r="http://schemas.openxmlformats.org/officeDocument/2006/relationships" r:id="Rf3bf92ff86aa4a9e"/>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3"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s>
  <x:sheetData>
    <x:row r="1">
      <x:c r="A1" s="1"/>
      <x:c r="B1" s="1"/>
      <x:c r="C1" s="1"/>
      <x:c r="D1" s="1"/>
      <x:c r="E1" s="1"/>
      <x:c r="F1" s="1"/>
      <x:c r="G1" s="1"/>
      <x:c r="H1" s="1"/>
      <x:c r="I1" s="1"/>
      <x:c r="J1" s="1"/>
      <x:c r="K1" s="1"/>
      <x:c r="L1" s="1"/>
      <x:c r="M1" s="1"/>
      <x:c r="N1" s="1"/>
      <x:c r="O1" s="1"/>
      <x:c r="P1" s="1"/>
    </x:row>
    <x:row r="2" ht="30" customHeight="1">
      <x:c r="A2" s="2" t="str">
        <x:v>Role template capability matrix</x:v>
      </x:c>
      <x:c r="B2" s="1"/>
      <x:c r="C2" s="1"/>
      <x:c r="D2" s="1"/>
      <x:c r="E2" s="1"/>
      <x:c r="F2" s="1"/>
      <x:c r="G2" s="1"/>
      <x:c r="H2" s="1"/>
      <x:c r="I2" s="1"/>
      <x:c r="J2" s="1"/>
      <x:c r="K2" s="1"/>
      <x:c r="L2" s="1"/>
      <x:c r="M2" s="1"/>
      <x:c r="N2" s="1"/>
      <x:c r="O2" s="1"/>
      <x:c r="P2" s="1"/>
    </x:row>
    <x:row r="3">
      <x:c r="A3" s="1"/>
      <x:c r="B3" s="1"/>
      <x:c r="C3" s="1"/>
      <x:c r="D3" s="1"/>
      <x:c r="E3" s="1"/>
      <x:c r="F3" s="1"/>
      <x:c r="G3" s="1"/>
      <x:c r="H3" s="1"/>
      <x:c r="I3" s="1"/>
      <x:c r="J3" s="1"/>
      <x:c r="K3" s="1"/>
      <x:c r="L3" s="1"/>
      <x:c r="M3" s="1"/>
      <x:c r="N3" s="1"/>
      <x:c r="O3" s="1"/>
      <x:c r="P3" s="1"/>
    </x:row>
    <x:row r="4" ht="22" customHeight="1">
      <x:c r="A4" s="1" t="str">
        <x:v>Template membership requires a current scoped grant and every contextual policy check. An absent template entry is not an implicit allow.</x:v>
      </x:c>
      <x:c r="B4" s="1"/>
      <x:c r="C4" s="1"/>
      <x:c r="D4" s="1"/>
      <x:c r="E4" s="1"/>
      <x:c r="F4" s="1"/>
      <x:c r="G4" s="1"/>
      <x:c r="H4" s="1"/>
      <x:c r="I4" s="1"/>
      <x:c r="J4" s="1"/>
      <x:c r="K4" s="1"/>
      <x:c r="L4" s="1"/>
      <x:c r="M4" s="1"/>
      <x:c r="N4" s="1"/>
      <x:c r="O4" s="1"/>
      <x:c r="P4" s="1"/>
    </x:row>
    <x:row r="5">
      <x:c r="A5" s="3"/>
      <x:c r="B5" s="3"/>
      <x:c r="C5" s="3"/>
      <x:c r="D5" s="3"/>
      <x:c r="E5" s="3"/>
      <x:c r="F5" s="3"/>
      <x:c r="G5" s="3"/>
      <x:c r="H5" s="3"/>
      <x:c r="I5" s="3"/>
      <x:c r="J5" s="3"/>
      <x:c r="K5" s="3"/>
      <x:c r="L5" s="3"/>
      <x:c r="M5" s="3"/>
      <x:c r="N5" s="3"/>
      <x:c r="O5" s="3"/>
      <x:c r="P5" s="3"/>
    </x:row>
    <x:row r="6" ht="44" customHeight="1">
      <x:c r="A6" s="8" t="str">
        <x:v>Capability</x:v>
      </x:c>
      <x:c r="B6" s="8" t="str">
        <x:v>OWNER</x:v>
      </x:c>
      <x:c r="C6" s="8" t="str">
        <x:v>TENANT_ADMIN</x:v>
      </x:c>
      <x:c r="D6" s="8" t="str">
        <x:v>MEL_ADMIN</x:v>
      </x:c>
      <x:c r="E6" s="8" t="str">
        <x:v>PROGRAMME_MANAGER</x:v>
      </x:c>
      <x:c r="F6" s="8" t="str">
        <x:v>AUTHOR</x:v>
      </x:c>
      <x:c r="G6" s="8" t="str">
        <x:v>REVIEWER</x:v>
      </x:c>
      <x:c r="H6" s="8" t="str">
        <x:v>ENUMERATOR</x:v>
      </x:c>
      <x:c r="I6" s="8" t="str">
        <x:v>DATA_STEWARD</x:v>
      </x:c>
      <x:c r="J6" s="8" t="str">
        <x:v>ANALYST</x:v>
      </x:c>
      <x:c r="K6" s="8" t="str">
        <x:v>FINANCE</x:v>
      </x:c>
      <x:c r="L6" s="8" t="str">
        <x:v>PRIVACY</x:v>
      </x:c>
      <x:c r="M6" s="8" t="str">
        <x:v>OPERATOR</x:v>
      </x:c>
      <x:c r="N6" s="8" t="str">
        <x:v>SUPPORT</x:v>
      </x:c>
      <x:c r="O6" s="8" t="str">
        <x:v>SERVICE</x:v>
      </x:c>
      <x:c r="P6" s="8" t="str">
        <x:v>EXTERNAL</x:v>
      </x:c>
    </x:row>
    <x:row r="7" ht="38" customHeight="1">
      <x:c r="A7" s="10" t="str">
        <x:v>ai-tasks.read</x:v>
      </x:c>
      <x:c r="B7" s="10" t="str">
        <x:v>—</x:v>
      </x:c>
      <x:c r="C7" s="10" t="str">
        <x:v>—</x:v>
      </x:c>
      <x:c r="D7" s="10" t="str">
        <x:v>Template</x:v>
      </x:c>
      <x:c r="E7" s="10" t="str">
        <x:v>Template</x:v>
      </x:c>
      <x:c r="F7" s="10" t="str">
        <x:v>Template</x:v>
      </x:c>
      <x:c r="G7" s="10" t="str">
        <x:v>Template</x:v>
      </x:c>
      <x:c r="H7" s="10" t="str">
        <x:v>—</x:v>
      </x:c>
      <x:c r="I7" s="10" t="str">
        <x:v>Template</x:v>
      </x:c>
      <x:c r="J7" s="10" t="str">
        <x:v>Template</x:v>
      </x:c>
      <x:c r="K7" s="10" t="str">
        <x:v>—</x:v>
      </x:c>
      <x:c r="L7" s="10" t="str">
        <x:v>—</x:v>
      </x:c>
      <x:c r="M7" s="10" t="str">
        <x:v>—</x:v>
      </x:c>
      <x:c r="N7" s="10" t="str">
        <x:v>—</x:v>
      </x:c>
      <x:c r="O7" s="10" t="str">
        <x:v>—</x:v>
      </x:c>
      <x:c r="P7" s="10" t="str">
        <x:v>Template</x:v>
      </x:c>
    </x:row>
    <x:row r="8" ht="38" customHeight="1">
      <x:c r="A8" s="10" t="str">
        <x:v>ai.cancel</x:v>
      </x:c>
      <x:c r="B8" s="10" t="str">
        <x:v>—</x:v>
      </x:c>
      <x:c r="C8" s="10" t="str">
        <x:v>—</x:v>
      </x:c>
      <x:c r="D8" s="10" t="str">
        <x:v>—</x:v>
      </x:c>
      <x:c r="E8" s="10" t="str">
        <x:v>—</x:v>
      </x:c>
      <x:c r="F8" s="10" t="str">
        <x:v>Template</x:v>
      </x:c>
      <x:c r="G8" s="10" t="str">
        <x:v>—</x:v>
      </x:c>
      <x:c r="H8" s="10" t="str">
        <x:v>—</x:v>
      </x:c>
      <x:c r="I8" s="10" t="str">
        <x:v>—</x:v>
      </x:c>
      <x:c r="J8" s="10" t="str">
        <x:v>Template</x:v>
      </x:c>
      <x:c r="K8" s="10" t="str">
        <x:v>—</x:v>
      </x:c>
      <x:c r="L8" s="10" t="str">
        <x:v>—</x:v>
      </x:c>
      <x:c r="M8" s="10" t="str">
        <x:v>—</x:v>
      </x:c>
      <x:c r="N8" s="10" t="str">
        <x:v>—</x:v>
      </x:c>
      <x:c r="O8" s="10" t="str">
        <x:v>—</x:v>
      </x:c>
      <x:c r="P8" s="10" t="str">
        <x:v>—</x:v>
      </x:c>
    </x:row>
    <x:row r="9" ht="38" customHeight="1">
      <x:c r="A9" s="10" t="str">
        <x:v>ai.confirm</x:v>
      </x:c>
      <x:c r="B9" s="10" t="str">
        <x:v>—</x:v>
      </x:c>
      <x:c r="C9" s="10" t="str">
        <x:v>—</x:v>
      </x:c>
      <x:c r="D9" s="10" t="str">
        <x:v>—</x:v>
      </x:c>
      <x:c r="E9" s="10" t="str">
        <x:v>—</x:v>
      </x:c>
      <x:c r="F9" s="10" t="str">
        <x:v>Template</x:v>
      </x:c>
      <x:c r="G9" s="10" t="str">
        <x:v>—</x:v>
      </x:c>
      <x:c r="H9" s="10" t="str">
        <x:v>—</x:v>
      </x:c>
      <x:c r="I9" s="10" t="str">
        <x:v>—</x:v>
      </x:c>
      <x:c r="J9" s="10" t="str">
        <x:v>Template</x:v>
      </x:c>
      <x:c r="K9" s="10" t="str">
        <x:v>—</x:v>
      </x:c>
      <x:c r="L9" s="10" t="str">
        <x:v>—</x:v>
      </x:c>
      <x:c r="M9" s="10" t="str">
        <x:v>—</x:v>
      </x:c>
      <x:c r="N9" s="10" t="str">
        <x:v>—</x:v>
      </x:c>
      <x:c r="O9" s="10" t="str">
        <x:v>—</x:v>
      </x:c>
      <x:c r="P9" s="10" t="str">
        <x:v>—</x:v>
      </x:c>
    </x:row>
    <x:row r="10" ht="38" customHeight="1">
      <x:c r="A10" s="10" t="str">
        <x:v>ai.request</x:v>
      </x:c>
      <x:c r="B10" s="10" t="str">
        <x:v>—</x:v>
      </x:c>
      <x:c r="C10" s="10" t="str">
        <x:v>—</x:v>
      </x:c>
      <x:c r="D10" s="10" t="str">
        <x:v>—</x:v>
      </x:c>
      <x:c r="E10" s="10" t="str">
        <x:v>—</x:v>
      </x:c>
      <x:c r="F10" s="10" t="str">
        <x:v>Template</x:v>
      </x:c>
      <x:c r="G10" s="10" t="str">
        <x:v>—</x:v>
      </x:c>
      <x:c r="H10" s="10" t="str">
        <x:v>—</x:v>
      </x:c>
      <x:c r="I10" s="10" t="str">
        <x:v>—</x:v>
      </x:c>
      <x:c r="J10" s="10" t="str">
        <x:v>Template</x:v>
      </x:c>
      <x:c r="K10" s="10" t="str">
        <x:v>—</x:v>
      </x:c>
      <x:c r="L10" s="10" t="str">
        <x:v>—</x:v>
      </x:c>
      <x:c r="M10" s="10" t="str">
        <x:v>—</x:v>
      </x:c>
      <x:c r="N10" s="10" t="str">
        <x:v>—</x:v>
      </x:c>
      <x:c r="O10" s="10" t="str">
        <x:v>—</x:v>
      </x:c>
      <x:c r="P10" s="10" t="str">
        <x:v>—</x:v>
      </x:c>
    </x:row>
    <x:row r="11" ht="38" customHeight="1">
      <x:c r="A11" s="10" t="str">
        <x:v>allocation-rules.draft.create</x:v>
      </x:c>
      <x:c r="B11" s="10" t="str">
        <x:v>—</x:v>
      </x:c>
      <x:c r="C11" s="10" t="str">
        <x:v>—</x:v>
      </x:c>
      <x:c r="D11" s="10" t="str">
        <x:v>—</x:v>
      </x:c>
      <x:c r="E11" s="10" t="str">
        <x:v>—</x:v>
      </x:c>
      <x:c r="F11" s="10" t="str">
        <x:v>—</x:v>
      </x:c>
      <x:c r="G11" s="10" t="str">
        <x:v>—</x:v>
      </x:c>
      <x:c r="H11" s="10" t="str">
        <x:v>—</x:v>
      </x:c>
      <x:c r="I11" s="10" t="str">
        <x:v>—</x:v>
      </x:c>
      <x:c r="J11" s="10" t="str">
        <x:v>—</x:v>
      </x:c>
      <x:c r="K11" s="10" t="str">
        <x:v>Template</x:v>
      </x:c>
      <x:c r="L11" s="10" t="str">
        <x:v>—</x:v>
      </x:c>
      <x:c r="M11" s="10" t="str">
        <x:v>—</x:v>
      </x:c>
      <x:c r="N11" s="10" t="str">
        <x:v>—</x:v>
      </x:c>
      <x:c r="O11" s="10" t="str">
        <x:v>—</x:v>
      </x:c>
      <x:c r="P11" s="10" t="str">
        <x:v>—</x:v>
      </x:c>
    </x:row>
    <x:row r="12" ht="38" customHeight="1">
      <x:c r="A12" s="10" t="str">
        <x:v>allocation-rules.draft.edit</x:v>
      </x:c>
      <x:c r="B12" s="10" t="str">
        <x:v>—</x:v>
      </x:c>
      <x:c r="C12" s="10" t="str">
        <x:v>—</x:v>
      </x:c>
      <x:c r="D12" s="10" t="str">
        <x:v>—</x:v>
      </x:c>
      <x:c r="E12" s="10" t="str">
        <x:v>—</x:v>
      </x:c>
      <x:c r="F12" s="10" t="str">
        <x:v>—</x:v>
      </x:c>
      <x:c r="G12" s="10" t="str">
        <x:v>—</x:v>
      </x:c>
      <x:c r="H12" s="10" t="str">
        <x:v>—</x:v>
      </x:c>
      <x:c r="I12" s="10" t="str">
        <x:v>—</x:v>
      </x:c>
      <x:c r="J12" s="10" t="str">
        <x:v>—</x:v>
      </x:c>
      <x:c r="K12" s="10" t="str">
        <x:v>Template</x:v>
      </x:c>
      <x:c r="L12" s="10" t="str">
        <x:v>—</x:v>
      </x:c>
      <x:c r="M12" s="10" t="str">
        <x:v>—</x:v>
      </x:c>
      <x:c r="N12" s="10" t="str">
        <x:v>—</x:v>
      </x:c>
      <x:c r="O12" s="10" t="str">
        <x:v>—</x:v>
      </x:c>
      <x:c r="P12" s="10" t="str">
        <x:v>—</x:v>
      </x:c>
    </x:row>
    <x:row r="13" ht="38" customHeight="1">
      <x:c r="A13" s="10" t="str">
        <x:v>allocation-rules.read</x:v>
      </x:c>
      <x:c r="B13" s="10" t="str">
        <x:v>—</x:v>
      </x:c>
      <x:c r="C13" s="10" t="str">
        <x:v>—</x:v>
      </x:c>
      <x:c r="D13" s="10" t="str">
        <x:v>—</x:v>
      </x:c>
      <x:c r="E13" s="10" t="str">
        <x:v>—</x:v>
      </x:c>
      <x:c r="F13" s="10" t="str">
        <x:v>—</x:v>
      </x:c>
      <x:c r="G13" s="10" t="str">
        <x:v>—</x:v>
      </x:c>
      <x:c r="H13" s="10" t="str">
        <x:v>—</x:v>
      </x:c>
      <x:c r="I13" s="10" t="str">
        <x:v>—</x:v>
      </x:c>
      <x:c r="J13" s="10" t="str">
        <x:v>—</x:v>
      </x:c>
      <x:c r="K13" s="10" t="str">
        <x:v>Template</x:v>
      </x:c>
      <x:c r="L13" s="10" t="str">
        <x:v>—</x:v>
      </x:c>
      <x:c r="M13" s="10" t="str">
        <x:v>—</x:v>
      </x:c>
      <x:c r="N13" s="10" t="str">
        <x:v>—</x:v>
      </x:c>
      <x:c r="O13" s="10" t="str">
        <x:v>—</x:v>
      </x:c>
      <x:c r="P13" s="10" t="str">
        <x:v>—</x:v>
      </x:c>
    </x:row>
    <x:row r="14" ht="38" customHeight="1">
      <x:c r="A14" s="10" t="str">
        <x:v>assignment.reassign</x:v>
      </x:c>
      <x:c r="B14" s="10" t="str">
        <x:v>—</x:v>
      </x:c>
      <x:c r="C14" s="10" t="str">
        <x:v>—</x:v>
      </x:c>
      <x:c r="D14" s="10" t="str">
        <x:v>—</x:v>
      </x:c>
      <x:c r="E14" s="10" t="str">
        <x:v>Template</x:v>
      </x:c>
      <x:c r="F14" s="10" t="str">
        <x:v>—</x:v>
      </x:c>
      <x:c r="G14" s="10" t="str">
        <x:v>—</x:v>
      </x:c>
      <x:c r="H14" s="10" t="str">
        <x:v>—</x:v>
      </x:c>
      <x:c r="I14" s="10" t="str">
        <x:v>—</x:v>
      </x:c>
      <x:c r="J14" s="10" t="str">
        <x:v>—</x:v>
      </x:c>
      <x:c r="K14" s="10" t="str">
        <x:v>—</x:v>
      </x:c>
      <x:c r="L14" s="10" t="str">
        <x:v>—</x:v>
      </x:c>
      <x:c r="M14" s="10" t="str">
        <x:v>—</x:v>
      </x:c>
      <x:c r="N14" s="10" t="str">
        <x:v>—</x:v>
      </x:c>
      <x:c r="O14" s="10" t="str">
        <x:v>—</x:v>
      </x:c>
      <x:c r="P14" s="10" t="str">
        <x:v>—</x:v>
      </x:c>
    </x:row>
    <x:row r="15" ht="38" customHeight="1">
      <x:c r="A15" s="10" t="str">
        <x:v>assignments.draft.create</x:v>
      </x:c>
      <x:c r="B15" s="10" t="str">
        <x:v>—</x:v>
      </x:c>
      <x:c r="C15" s="10" t="str">
        <x:v>—</x:v>
      </x:c>
      <x:c r="D15" s="10" t="str">
        <x:v>Template</x:v>
      </x:c>
      <x:c r="E15" s="10" t="str">
        <x:v>Template</x:v>
      </x:c>
      <x:c r="F15" s="10" t="str">
        <x:v>—</x:v>
      </x:c>
      <x:c r="G15" s="10" t="str">
        <x:v>—</x:v>
      </x:c>
      <x:c r="H15" s="10" t="str">
        <x:v>—</x:v>
      </x:c>
      <x:c r="I15" s="10" t="str">
        <x:v>—</x:v>
      </x:c>
      <x:c r="J15" s="10" t="str">
        <x:v>—</x:v>
      </x:c>
      <x:c r="K15" s="10" t="str">
        <x:v>—</x:v>
      </x:c>
      <x:c r="L15" s="10" t="str">
        <x:v>—</x:v>
      </x:c>
      <x:c r="M15" s="10" t="str">
        <x:v>—</x:v>
      </x:c>
      <x:c r="N15" s="10" t="str">
        <x:v>—</x:v>
      </x:c>
      <x:c r="O15" s="10" t="str">
        <x:v>—</x:v>
      </x:c>
      <x:c r="P15" s="10" t="str">
        <x:v>—</x:v>
      </x:c>
    </x:row>
    <x:row r="16" ht="38" customHeight="1">
      <x:c r="A16" s="10" t="str">
        <x:v>assignments.draft.edit</x:v>
      </x:c>
      <x:c r="B16" s="10" t="str">
        <x:v>—</x:v>
      </x:c>
      <x:c r="C16" s="10" t="str">
        <x:v>—</x:v>
      </x:c>
      <x:c r="D16" s="10" t="str">
        <x:v>Template</x:v>
      </x:c>
      <x:c r="E16" s="10" t="str">
        <x:v>Template</x:v>
      </x:c>
      <x:c r="F16" s="10" t="str">
        <x:v>—</x:v>
      </x:c>
      <x:c r="G16" s="10" t="str">
        <x:v>—</x:v>
      </x:c>
      <x:c r="H16" s="10" t="str">
        <x:v>—</x:v>
      </x:c>
      <x:c r="I16" s="10" t="str">
        <x:v>—</x:v>
      </x:c>
      <x:c r="J16" s="10" t="str">
        <x:v>—</x:v>
      </x:c>
      <x:c r="K16" s="10" t="str">
        <x:v>—</x:v>
      </x:c>
      <x:c r="L16" s="10" t="str">
        <x:v>—</x:v>
      </x:c>
      <x:c r="M16" s="10" t="str">
        <x:v>—</x:v>
      </x:c>
      <x:c r="N16" s="10" t="str">
        <x:v>—</x:v>
      </x:c>
      <x:c r="O16" s="10" t="str">
        <x:v>—</x:v>
      </x:c>
      <x:c r="P16" s="10" t="str">
        <x:v>—</x:v>
      </x:c>
    </x:row>
    <x:row r="17" ht="38" customHeight="1">
      <x:c r="A17" s="10" t="str">
        <x:v>assignments.read</x:v>
      </x:c>
      <x:c r="B17" s="10" t="str">
        <x:v>—</x:v>
      </x:c>
      <x:c r="C17" s="10" t="str">
        <x:v>—</x:v>
      </x:c>
      <x:c r="D17" s="10" t="str">
        <x:v>Template</x:v>
      </x:c>
      <x:c r="E17" s="10" t="str">
        <x:v>Template</x:v>
      </x:c>
      <x:c r="F17" s="10" t="str">
        <x:v>Template</x:v>
      </x:c>
      <x:c r="G17" s="10" t="str">
        <x:v>Template</x:v>
      </x:c>
      <x:c r="H17" s="10" t="str">
        <x:v>Template</x:v>
      </x:c>
      <x:c r="I17" s="10" t="str">
        <x:v>Template</x:v>
      </x:c>
      <x:c r="J17" s="10" t="str">
        <x:v>—</x:v>
      </x:c>
      <x:c r="K17" s="10" t="str">
        <x:v>—</x:v>
      </x:c>
      <x:c r="L17" s="10" t="str">
        <x:v>—</x:v>
      </x:c>
      <x:c r="M17" s="10" t="str">
        <x:v>—</x:v>
      </x:c>
      <x:c r="N17" s="10" t="str">
        <x:v>—</x:v>
      </x:c>
      <x:c r="O17" s="10" t="str">
        <x:v>—</x:v>
      </x:c>
      <x:c r="P17" s="10" t="str">
        <x:v>—</x:v>
      </x:c>
    </x:row>
    <x:row r="18" ht="38" customHeight="1">
      <x:c r="A18" s="10" t="str">
        <x:v>audit-events.read</x:v>
      </x:c>
      <x:c r="B18" s="10" t="str">
        <x:v>—</x:v>
      </x:c>
      <x:c r="C18" s="10" t="str">
        <x:v>—</x:v>
      </x:c>
      <x:c r="D18" s="10" t="str">
        <x:v>—</x:v>
      </x:c>
      <x:c r="E18" s="10" t="str">
        <x:v>—</x:v>
      </x:c>
      <x:c r="F18" s="10" t="str">
        <x:v>—</x:v>
      </x:c>
      <x:c r="G18" s="10" t="str">
        <x:v>—</x:v>
      </x:c>
      <x:c r="H18" s="10" t="str">
        <x:v>—</x:v>
      </x:c>
      <x:c r="I18" s="10" t="str">
        <x:v>—</x:v>
      </x:c>
      <x:c r="J18" s="10" t="str">
        <x:v>—</x:v>
      </x:c>
      <x:c r="K18" s="10" t="str">
        <x:v>—</x:v>
      </x:c>
      <x:c r="L18" s="10" t="str">
        <x:v>—</x:v>
      </x:c>
      <x:c r="M18" s="10" t="str">
        <x:v>Template</x:v>
      </x:c>
      <x:c r="N18" s="10" t="str">
        <x:v>—</x:v>
      </x:c>
      <x:c r="O18" s="10" t="str">
        <x:v>—</x:v>
      </x:c>
      <x:c r="P18" s="10" t="str">
        <x:v>—</x:v>
      </x:c>
    </x:row>
    <x:row r="19" ht="38" customHeight="1">
      <x:c r="A19" s="10" t="str">
        <x:v>budget-lines.draft.create</x:v>
      </x:c>
      <x:c r="B19" s="10" t="str">
        <x:v>—</x:v>
      </x:c>
      <x:c r="C19" s="10" t="str">
        <x:v>—</x:v>
      </x:c>
      <x:c r="D19" s="10" t="str">
        <x:v>—</x:v>
      </x:c>
      <x:c r="E19" s="10" t="str">
        <x:v>—</x:v>
      </x:c>
      <x:c r="F19" s="10" t="str">
        <x:v>—</x:v>
      </x:c>
      <x:c r="G19" s="10" t="str">
        <x:v>—</x:v>
      </x:c>
      <x:c r="H19" s="10" t="str">
        <x:v>—</x:v>
      </x:c>
      <x:c r="I19" s="10" t="str">
        <x:v>—</x:v>
      </x:c>
      <x:c r="J19" s="10" t="str">
        <x:v>—</x:v>
      </x:c>
      <x:c r="K19" s="10" t="str">
        <x:v>Template</x:v>
      </x:c>
      <x:c r="L19" s="10" t="str">
        <x:v>—</x:v>
      </x:c>
      <x:c r="M19" s="10" t="str">
        <x:v>—</x:v>
      </x:c>
      <x:c r="N19" s="10" t="str">
        <x:v>—</x:v>
      </x:c>
      <x:c r="O19" s="10" t="str">
        <x:v>—</x:v>
      </x:c>
      <x:c r="P19" s="10" t="str">
        <x:v>—</x:v>
      </x:c>
    </x:row>
    <x:row r="20" ht="38" customHeight="1">
      <x:c r="A20" s="10" t="str">
        <x:v>budget-lines.draft.edit</x:v>
      </x:c>
      <x:c r="B20" s="10" t="str">
        <x:v>—</x:v>
      </x:c>
      <x:c r="C20" s="10" t="str">
        <x:v>—</x:v>
      </x:c>
      <x:c r="D20" s="10" t="str">
        <x:v>—</x:v>
      </x:c>
      <x:c r="E20" s="10" t="str">
        <x:v>—</x:v>
      </x:c>
      <x:c r="F20" s="10" t="str">
        <x:v>—</x:v>
      </x:c>
      <x:c r="G20" s="10" t="str">
        <x:v>—</x:v>
      </x:c>
      <x:c r="H20" s="10" t="str">
        <x:v>—</x:v>
      </x:c>
      <x:c r="I20" s="10" t="str">
        <x:v>—</x:v>
      </x:c>
      <x:c r="J20" s="10" t="str">
        <x:v>—</x:v>
      </x:c>
      <x:c r="K20" s="10" t="str">
        <x:v>Template</x:v>
      </x:c>
      <x:c r="L20" s="10" t="str">
        <x:v>—</x:v>
      </x:c>
      <x:c r="M20" s="10" t="str">
        <x:v>—</x:v>
      </x:c>
      <x:c r="N20" s="10" t="str">
        <x:v>—</x:v>
      </x:c>
      <x:c r="O20" s="10" t="str">
        <x:v>—</x:v>
      </x:c>
      <x:c r="P20" s="10" t="str">
        <x:v>—</x:v>
      </x:c>
    </x:row>
    <x:row r="21" ht="38" customHeight="1">
      <x:c r="A21" s="10" t="str">
        <x:v>budget-lines.read</x:v>
      </x:c>
      <x:c r="B21" s="10" t="str">
        <x:v>—</x:v>
      </x:c>
      <x:c r="C21" s="10" t="str">
        <x:v>—</x:v>
      </x:c>
      <x:c r="D21" s="10" t="str">
        <x:v>—</x:v>
      </x:c>
      <x:c r="E21" s="10" t="str">
        <x:v>—</x:v>
      </x:c>
      <x:c r="F21" s="10" t="str">
        <x:v>—</x:v>
      </x:c>
      <x:c r="G21" s="10" t="str">
        <x:v>—</x:v>
      </x:c>
      <x:c r="H21" s="10" t="str">
        <x:v>—</x:v>
      </x:c>
      <x:c r="I21" s="10" t="str">
        <x:v>—</x:v>
      </x:c>
      <x:c r="J21" s="10" t="str">
        <x:v>—</x:v>
      </x:c>
      <x:c r="K21" s="10" t="str">
        <x:v>Template</x:v>
      </x:c>
      <x:c r="L21" s="10" t="str">
        <x:v>—</x:v>
      </x:c>
      <x:c r="M21" s="10" t="str">
        <x:v>—</x:v>
      </x:c>
      <x:c r="N21" s="10" t="str">
        <x:v>—</x:v>
      </x:c>
      <x:c r="O21" s="10" t="str">
        <x:v>—</x:v>
      </x:c>
      <x:c r="P21" s="10" t="str">
        <x:v>—</x:v>
      </x:c>
    </x:row>
    <x:row r="22" ht="38" customHeight="1">
      <x:c r="A22" s="10" t="str">
        <x:v>calculated-results.read</x:v>
      </x:c>
      <x:c r="B22" s="10" t="str">
        <x:v>—</x:v>
      </x:c>
      <x:c r="C22" s="10" t="str">
        <x:v>—</x:v>
      </x:c>
      <x:c r="D22" s="10" t="str">
        <x:v>Template</x:v>
      </x:c>
      <x:c r="E22" s="10" t="str">
        <x:v>Template</x:v>
      </x:c>
      <x:c r="F22" s="10" t="str">
        <x:v>Template</x:v>
      </x:c>
      <x:c r="G22" s="10" t="str">
        <x:v>Template</x:v>
      </x:c>
      <x:c r="H22" s="10" t="str">
        <x:v>—</x:v>
      </x:c>
      <x:c r="I22" s="10" t="str">
        <x:v>Template</x:v>
      </x:c>
      <x:c r="J22" s="10" t="str">
        <x:v>Template</x:v>
      </x:c>
      <x:c r="K22" s="10" t="str">
        <x:v>—</x:v>
      </x:c>
      <x:c r="L22" s="10" t="str">
        <x:v>—</x:v>
      </x:c>
      <x:c r="M22" s="10" t="str">
        <x:v>—</x:v>
      </x:c>
      <x:c r="N22" s="10" t="str">
        <x:v>—</x:v>
      </x:c>
      <x:c r="O22" s="10" t="str">
        <x:v>—</x:v>
      </x:c>
      <x:c r="P22" s="10" t="str">
        <x:v>Template</x:v>
      </x:c>
    </x:row>
    <x:row r="23" ht="38" customHeight="1">
      <x:c r="A23" s="10" t="str">
        <x:v>calculation.run</x:v>
      </x:c>
      <x:c r="B23" s="10" t="str">
        <x:v>—</x:v>
      </x:c>
      <x:c r="C23" s="10" t="str">
        <x:v>—</x:v>
      </x:c>
      <x:c r="D23" s="10" t="str">
        <x:v>Template</x:v>
      </x:c>
      <x:c r="E23" s="10" t="str">
        <x:v>—</x:v>
      </x:c>
      <x:c r="F23" s="10" t="str">
        <x:v>—</x:v>
      </x:c>
      <x:c r="G23" s="10" t="str">
        <x:v>—</x:v>
      </x:c>
      <x:c r="H23" s="10" t="str">
        <x:v>—</x:v>
      </x:c>
      <x:c r="I23" s="10" t="str">
        <x:v>Template</x:v>
      </x:c>
      <x:c r="J23" s="10" t="str">
        <x:v>—</x:v>
      </x:c>
      <x:c r="K23" s="10" t="str">
        <x:v>—</x:v>
      </x:c>
      <x:c r="L23" s="10" t="str">
        <x:v>—</x:v>
      </x:c>
      <x:c r="M23" s="10" t="str">
        <x:v>—</x:v>
      </x:c>
      <x:c r="N23" s="10" t="str">
        <x:v>—</x:v>
      </x:c>
      <x:c r="O23" s="10" t="str">
        <x:v>—</x:v>
      </x:c>
      <x:c r="P23" s="10" t="str">
        <x:v>—</x:v>
      </x:c>
    </x:row>
    <x:row r="24" ht="38" customHeight="1">
      <x:c r="A24" s="10" t="str">
        <x:v>connection.activate</x:v>
      </x:c>
      <x:c r="B24" s="10" t="str">
        <x:v>—</x:v>
      </x:c>
      <x:c r="C24" s="10" t="str">
        <x:v>Template</x:v>
      </x:c>
      <x:c r="D24" s="10" t="str">
        <x:v>—</x:v>
      </x:c>
      <x:c r="E24" s="10" t="str">
        <x:v>—</x:v>
      </x:c>
      <x:c r="F24" s="10" t="str">
        <x:v>—</x:v>
      </x:c>
      <x:c r="G24" s="10" t="str">
        <x:v>—</x:v>
      </x:c>
      <x:c r="H24" s="10" t="str">
        <x:v>—</x:v>
      </x:c>
      <x:c r="I24" s="10" t="str">
        <x:v>—</x:v>
      </x:c>
      <x:c r="J24" s="10" t="str">
        <x:v>—</x:v>
      </x:c>
      <x:c r="K24" s="10" t="str">
        <x:v>—</x:v>
      </x:c>
      <x:c r="L24" s="10" t="str">
        <x:v>—</x:v>
      </x:c>
      <x:c r="M24" s="10" t="str">
        <x:v>—</x:v>
      </x:c>
      <x:c r="N24" s="10" t="str">
        <x:v>—</x:v>
      </x:c>
      <x:c r="O24" s="10" t="str">
        <x:v>—</x:v>
      </x:c>
      <x:c r="P24" s="10" t="str">
        <x:v>—</x:v>
      </x:c>
    </x:row>
    <x:row r="25" ht="38" customHeight="1">
      <x:c r="A25" s="10" t="str">
        <x:v>connection.pause</x:v>
      </x:c>
      <x:c r="B25" s="10" t="str">
        <x:v>—</x:v>
      </x:c>
      <x:c r="C25" s="10" t="str">
        <x:v>Template</x:v>
      </x:c>
      <x:c r="D25" s="10" t="str">
        <x:v>—</x:v>
      </x:c>
      <x:c r="E25" s="10" t="str">
        <x:v>—</x:v>
      </x:c>
      <x:c r="F25" s="10" t="str">
        <x:v>—</x:v>
      </x:c>
      <x:c r="G25" s="10" t="str">
        <x:v>—</x:v>
      </x:c>
      <x:c r="H25" s="10" t="str">
        <x:v>—</x:v>
      </x:c>
      <x:c r="I25" s="10" t="str">
        <x:v>—</x:v>
      </x:c>
      <x:c r="J25" s="10" t="str">
        <x:v>—</x:v>
      </x:c>
      <x:c r="K25" s="10" t="str">
        <x:v>—</x:v>
      </x:c>
      <x:c r="L25" s="10" t="str">
        <x:v>—</x:v>
      </x:c>
      <x:c r="M25" s="10" t="str">
        <x:v>—</x:v>
      </x:c>
      <x:c r="N25" s="10" t="str">
        <x:v>—</x:v>
      </x:c>
      <x:c r="O25" s="10" t="str">
        <x:v>—</x:v>
      </x:c>
      <x:c r="P25" s="10" t="str">
        <x:v>—</x:v>
      </x:c>
    </x:row>
    <x:row r="26" ht="38" customHeight="1">
      <x:c r="A26" s="10" t="str">
        <x:v>connection.rotate</x:v>
      </x:c>
      <x:c r="B26" s="10" t="str">
        <x:v>—</x:v>
      </x:c>
      <x:c r="C26" s="10" t="str">
        <x:v>Template</x:v>
      </x:c>
      <x:c r="D26" s="10" t="str">
        <x:v>—</x:v>
      </x:c>
      <x:c r="E26" s="10" t="str">
        <x:v>—</x:v>
      </x:c>
      <x:c r="F26" s="10" t="str">
        <x:v>—</x:v>
      </x:c>
      <x:c r="G26" s="10" t="str">
        <x:v>—</x:v>
      </x:c>
      <x:c r="H26" s="10" t="str">
        <x:v>—</x:v>
      </x:c>
      <x:c r="I26" s="10" t="str">
        <x:v>—</x:v>
      </x:c>
      <x:c r="J26" s="10" t="str">
        <x:v>—</x:v>
      </x:c>
      <x:c r="K26" s="10" t="str">
        <x:v>—</x:v>
      </x:c>
      <x:c r="L26" s="10" t="str">
        <x:v>—</x:v>
      </x:c>
      <x:c r="M26" s="10" t="str">
        <x:v>—</x:v>
      </x:c>
      <x:c r="N26" s="10" t="str">
        <x:v>—</x:v>
      </x:c>
      <x:c r="O26" s="10" t="str">
        <x:v>—</x:v>
      </x:c>
      <x:c r="P26" s="10" t="str">
        <x:v>—</x:v>
      </x:c>
    </x:row>
    <x:row r="27" ht="38" customHeight="1">
      <x:c r="A27" s="10" t="str">
        <x:v>connection.run</x:v>
      </x:c>
      <x:c r="B27" s="10" t="str">
        <x:v>—</x:v>
      </x:c>
      <x:c r="C27" s="10" t="str">
        <x:v>Template</x:v>
      </x:c>
      <x:c r="D27" s="10" t="str">
        <x:v>—</x:v>
      </x:c>
      <x:c r="E27" s="10" t="str">
        <x:v>—</x:v>
      </x:c>
      <x:c r="F27" s="10" t="str">
        <x:v>—</x:v>
      </x:c>
      <x:c r="G27" s="10" t="str">
        <x:v>—</x:v>
      </x:c>
      <x:c r="H27" s="10" t="str">
        <x:v>—</x:v>
      </x:c>
      <x:c r="I27" s="10" t="str">
        <x:v>—</x:v>
      </x:c>
      <x:c r="J27" s="10" t="str">
        <x:v>—</x:v>
      </x:c>
      <x:c r="K27" s="10" t="str">
        <x:v>—</x:v>
      </x:c>
      <x:c r="L27" s="10" t="str">
        <x:v>—</x:v>
      </x:c>
      <x:c r="M27" s="10" t="str">
        <x:v>—</x:v>
      </x:c>
      <x:c r="N27" s="10" t="str">
        <x:v>—</x:v>
      </x:c>
      <x:c r="O27" s="10" t="str">
        <x:v>Template</x:v>
      </x:c>
      <x:c r="P27" s="10" t="str">
        <x:v>—</x:v>
      </x:c>
    </x:row>
    <x:row r="28" ht="38" customHeight="1">
      <x:c r="A28" s="10" t="str">
        <x:v>connection.test</x:v>
      </x:c>
      <x:c r="B28" s="10" t="str">
        <x:v>—</x:v>
      </x:c>
      <x:c r="C28" s="10" t="str">
        <x:v>Template</x:v>
      </x:c>
      <x:c r="D28" s="10" t="str">
        <x:v>—</x:v>
      </x:c>
      <x:c r="E28" s="10" t="str">
        <x:v>—</x:v>
      </x:c>
      <x:c r="F28" s="10" t="str">
        <x:v>—</x:v>
      </x:c>
      <x:c r="G28" s="10" t="str">
        <x:v>—</x:v>
      </x:c>
      <x:c r="H28" s="10" t="str">
        <x:v>—</x:v>
      </x:c>
      <x:c r="I28" s="10" t="str">
        <x:v>—</x:v>
      </x:c>
      <x:c r="J28" s="10" t="str">
        <x:v>—</x:v>
      </x:c>
      <x:c r="K28" s="10" t="str">
        <x:v>—</x:v>
      </x:c>
      <x:c r="L28" s="10" t="str">
        <x:v>—</x:v>
      </x:c>
      <x:c r="M28" s="10" t="str">
        <x:v>—</x:v>
      </x:c>
      <x:c r="N28" s="10" t="str">
        <x:v>—</x:v>
      </x:c>
      <x:c r="O28" s="10" t="str">
        <x:v>—</x:v>
      </x:c>
      <x:c r="P28" s="10" t="str">
        <x:v>—</x:v>
      </x:c>
    </x:row>
    <x:row r="29" ht="38" customHeight="1">
      <x:c r="A29" s="10" t="str">
        <x:v>connections.draft.create</x:v>
      </x:c>
      <x:c r="B29" s="10" t="str">
        <x:v>—</x:v>
      </x:c>
      <x:c r="C29" s="10" t="str">
        <x:v>Template</x:v>
      </x:c>
      <x:c r="D29" s="10" t="str">
        <x:v>—</x:v>
      </x:c>
      <x:c r="E29" s="10" t="str">
        <x:v>—</x:v>
      </x:c>
      <x:c r="F29" s="10" t="str">
        <x:v>—</x:v>
      </x:c>
      <x:c r="G29" s="10" t="str">
        <x:v>—</x:v>
      </x:c>
      <x:c r="H29" s="10" t="str">
        <x:v>—</x:v>
      </x:c>
      <x:c r="I29" s="10" t="str">
        <x:v>—</x:v>
      </x:c>
      <x:c r="J29" s="10" t="str">
        <x:v>—</x:v>
      </x:c>
      <x:c r="K29" s="10" t="str">
        <x:v>—</x:v>
      </x:c>
      <x:c r="L29" s="10" t="str">
        <x:v>—</x:v>
      </x:c>
      <x:c r="M29" s="10" t="str">
        <x:v>—</x:v>
      </x:c>
      <x:c r="N29" s="10" t="str">
        <x:v>—</x:v>
      </x:c>
      <x:c r="O29" s="10" t="str">
        <x:v>—</x:v>
      </x:c>
      <x:c r="P29" s="10" t="str">
        <x:v>—</x:v>
      </x:c>
    </x:row>
    <x:row r="30" ht="38" customHeight="1">
      <x:c r="A30" s="10" t="str">
        <x:v>connections.draft.edit</x:v>
      </x:c>
      <x:c r="B30" s="10" t="str">
        <x:v>—</x:v>
      </x:c>
      <x:c r="C30" s="10" t="str">
        <x:v>Template</x:v>
      </x:c>
      <x:c r="D30" s="10" t="str">
        <x:v>—</x:v>
      </x:c>
      <x:c r="E30" s="10" t="str">
        <x:v>—</x:v>
      </x:c>
      <x:c r="F30" s="10" t="str">
        <x:v>—</x:v>
      </x:c>
      <x:c r="G30" s="10" t="str">
        <x:v>—</x:v>
      </x:c>
      <x:c r="H30" s="10" t="str">
        <x:v>—</x:v>
      </x:c>
      <x:c r="I30" s="10" t="str">
        <x:v>—</x:v>
      </x:c>
      <x:c r="J30" s="10" t="str">
        <x:v>—</x:v>
      </x:c>
      <x:c r="K30" s="10" t="str">
        <x:v>—</x:v>
      </x:c>
      <x:c r="L30" s="10" t="str">
        <x:v>—</x:v>
      </x:c>
      <x:c r="M30" s="10" t="str">
        <x:v>—</x:v>
      </x:c>
      <x:c r="N30" s="10" t="str">
        <x:v>—</x:v>
      </x:c>
      <x:c r="O30" s="10" t="str">
        <x:v>—</x:v>
      </x:c>
      <x:c r="P30" s="10" t="str">
        <x:v>—</x:v>
      </x:c>
    </x:row>
    <x:row r="31" ht="38" customHeight="1">
      <x:c r="A31" s="10" t="str">
        <x:v>connections.read</x:v>
      </x:c>
      <x:c r="B31" s="10" t="str">
        <x:v>Template</x:v>
      </x:c>
      <x:c r="C31" s="10" t="str">
        <x:v>Template</x:v>
      </x:c>
      <x:c r="D31" s="10" t="str">
        <x:v>—</x:v>
      </x:c>
      <x:c r="E31" s="10" t="str">
        <x:v>—</x:v>
      </x:c>
      <x:c r="F31" s="10" t="str">
        <x:v>—</x:v>
      </x:c>
      <x:c r="G31" s="10" t="str">
        <x:v>—</x:v>
      </x:c>
      <x:c r="H31" s="10" t="str">
        <x:v>—</x:v>
      </x:c>
      <x:c r="I31" s="10" t="str">
        <x:v>—</x:v>
      </x:c>
      <x:c r="J31" s="10" t="str">
        <x:v>—</x:v>
      </x:c>
      <x:c r="K31" s="10" t="str">
        <x:v>—</x:v>
      </x:c>
      <x:c r="L31" s="10" t="str">
        <x:v>—</x:v>
      </x:c>
      <x:c r="M31" s="10" t="str">
        <x:v>—</x:v>
      </x:c>
      <x:c r="N31" s="10" t="str">
        <x:v>—</x:v>
      </x:c>
      <x:c r="O31" s="10" t="str">
        <x:v>—</x:v>
      </x:c>
      <x:c r="P31" s="10" t="str">
        <x:v>—</x:v>
      </x:c>
    </x:row>
    <x:row r="32" ht="38" customHeight="1">
      <x:c r="A32" s="10" t="str">
        <x:v>context.read</x:v>
      </x:c>
      <x:c r="B32" s="10" t="str">
        <x:v>Template</x:v>
      </x:c>
      <x:c r="C32" s="10" t="str">
        <x:v>Template</x:v>
      </x:c>
      <x:c r="D32" s="10" t="str">
        <x:v>Template</x:v>
      </x:c>
      <x:c r="E32" s="10" t="str">
        <x:v>Template</x:v>
      </x:c>
      <x:c r="F32" s="10" t="str">
        <x:v>Template</x:v>
      </x:c>
      <x:c r="G32" s="10" t="str">
        <x:v>Template</x:v>
      </x:c>
      <x:c r="H32" s="10" t="str">
        <x:v>Template</x:v>
      </x:c>
      <x:c r="I32" s="10" t="str">
        <x:v>Template</x:v>
      </x:c>
      <x:c r="J32" s="10" t="str">
        <x:v>Template</x:v>
      </x:c>
      <x:c r="K32" s="10" t="str">
        <x:v>Template</x:v>
      </x:c>
      <x:c r="L32" s="10" t="str">
        <x:v>Template</x:v>
      </x:c>
      <x:c r="M32" s="10" t="str">
        <x:v>Template</x:v>
      </x:c>
      <x:c r="N32" s="10" t="str">
        <x:v>Template</x:v>
      </x:c>
      <x:c r="O32" s="10" t="str">
        <x:v>Template</x:v>
      </x:c>
      <x:c r="P32" s="10" t="str">
        <x:v>Template</x:v>
      </x:c>
    </x:row>
    <x:row r="33" ht="38" customHeight="1">
      <x:c r="A33" s="10" t="str">
        <x:v>dashboards.draft.create</x:v>
      </x:c>
      <x:c r="B33" s="10" t="str">
        <x:v>—</x:v>
      </x:c>
      <x:c r="C33" s="10" t="str">
        <x:v>—</x:v>
      </x:c>
      <x:c r="D33" s="10" t="str">
        <x:v>—</x:v>
      </x:c>
      <x:c r="E33" s="10" t="str">
        <x:v>—</x:v>
      </x:c>
      <x:c r="F33" s="10" t="str">
        <x:v>—</x:v>
      </x:c>
      <x:c r="G33" s="10" t="str">
        <x:v>—</x:v>
      </x:c>
      <x:c r="H33" s="10" t="str">
        <x:v>—</x:v>
      </x:c>
      <x:c r="I33" s="10" t="str">
        <x:v>—</x:v>
      </x:c>
      <x:c r="J33" s="10" t="str">
        <x:v>Template</x:v>
      </x:c>
      <x:c r="K33" s="10" t="str">
        <x:v>—</x:v>
      </x:c>
      <x:c r="L33" s="10" t="str">
        <x:v>—</x:v>
      </x:c>
      <x:c r="M33" s="10" t="str">
        <x:v>—</x:v>
      </x:c>
      <x:c r="N33" s="10" t="str">
        <x:v>—</x:v>
      </x:c>
      <x:c r="O33" s="10" t="str">
        <x:v>—</x:v>
      </x:c>
      <x:c r="P33" s="10" t="str">
        <x:v>—</x:v>
      </x:c>
    </x:row>
    <x:row r="34" ht="38" customHeight="1">
      <x:c r="A34" s="10" t="str">
        <x:v>dashboards.draft.edit</x:v>
      </x:c>
      <x:c r="B34" s="10" t="str">
        <x:v>—</x:v>
      </x:c>
      <x:c r="C34" s="10" t="str">
        <x:v>—</x:v>
      </x:c>
      <x:c r="D34" s="10" t="str">
        <x:v>—</x:v>
      </x:c>
      <x:c r="E34" s="10" t="str">
        <x:v>—</x:v>
      </x:c>
      <x:c r="F34" s="10" t="str">
        <x:v>—</x:v>
      </x:c>
      <x:c r="G34" s="10" t="str">
        <x:v>—</x:v>
      </x:c>
      <x:c r="H34" s="10" t="str">
        <x:v>—</x:v>
      </x:c>
      <x:c r="I34" s="10" t="str">
        <x:v>—</x:v>
      </x:c>
      <x:c r="J34" s="10" t="str">
        <x:v>Template</x:v>
      </x:c>
      <x:c r="K34" s="10" t="str">
        <x:v>—</x:v>
      </x:c>
      <x:c r="L34" s="10" t="str">
        <x:v>—</x:v>
      </x:c>
      <x:c r="M34" s="10" t="str">
        <x:v>—</x:v>
      </x:c>
      <x:c r="N34" s="10" t="str">
        <x:v>—</x:v>
      </x:c>
      <x:c r="O34" s="10" t="str">
        <x:v>—</x:v>
      </x:c>
      <x:c r="P34" s="10" t="str">
        <x:v>—</x:v>
      </x:c>
    </x:row>
    <x:row r="35" ht="38" customHeight="1">
      <x:c r="A35" s="10" t="str">
        <x:v>dashboards.read</x:v>
      </x:c>
      <x:c r="B35" s="10" t="str">
        <x:v>—</x:v>
      </x:c>
      <x:c r="C35" s="10" t="str">
        <x:v>—</x:v>
      </x:c>
      <x:c r="D35" s="10" t="str">
        <x:v>Template</x:v>
      </x:c>
      <x:c r="E35" s="10" t="str">
        <x:v>Template</x:v>
      </x:c>
      <x:c r="F35" s="10" t="str">
        <x:v>Template</x:v>
      </x:c>
      <x:c r="G35" s="10" t="str">
        <x:v>Template</x:v>
      </x:c>
      <x:c r="H35" s="10" t="str">
        <x:v>—</x:v>
      </x:c>
      <x:c r="I35" s="10" t="str">
        <x:v>Template</x:v>
      </x:c>
      <x:c r="J35" s="10" t="str">
        <x:v>Template</x:v>
      </x:c>
      <x:c r="K35" s="10" t="str">
        <x:v>—</x:v>
      </x:c>
      <x:c r="L35" s="10" t="str">
        <x:v>—</x:v>
      </x:c>
      <x:c r="M35" s="10" t="str">
        <x:v>—</x:v>
      </x:c>
      <x:c r="N35" s="10" t="str">
        <x:v>—</x:v>
      </x:c>
      <x:c r="O35" s="10" t="str">
        <x:v>—</x:v>
      </x:c>
      <x:c r="P35" s="10" t="str">
        <x:v>Template</x:v>
      </x:c>
    </x:row>
    <x:row r="36" ht="38" customHeight="1">
      <x:c r="A36" s="10" t="str">
        <x:v>datasets.draft.create</x:v>
      </x:c>
      <x:c r="B36" s="10" t="str">
        <x:v>—</x:v>
      </x:c>
      <x:c r="C36" s="10" t="str">
        <x:v>—</x:v>
      </x:c>
      <x:c r="D36" s="10" t="str">
        <x:v>—</x:v>
      </x:c>
      <x:c r="E36" s="10" t="str">
        <x:v>—</x:v>
      </x:c>
      <x:c r="F36" s="10" t="str">
        <x:v>—</x:v>
      </x:c>
      <x:c r="G36" s="10" t="str">
        <x:v>—</x:v>
      </x:c>
      <x:c r="H36" s="10" t="str">
        <x:v>—</x:v>
      </x:c>
      <x:c r="I36" s="10" t="str">
        <x:v>Template</x:v>
      </x:c>
      <x:c r="J36" s="10" t="str">
        <x:v>—</x:v>
      </x:c>
      <x:c r="K36" s="10" t="str">
        <x:v>—</x:v>
      </x:c>
      <x:c r="L36" s="10" t="str">
        <x:v>—</x:v>
      </x:c>
      <x:c r="M36" s="10" t="str">
        <x:v>—</x:v>
      </x:c>
      <x:c r="N36" s="10" t="str">
        <x:v>—</x:v>
      </x:c>
      <x:c r="O36" s="10" t="str">
        <x:v>—</x:v>
      </x:c>
      <x:c r="P36" s="10" t="str">
        <x:v>—</x:v>
      </x:c>
    </x:row>
    <x:row r="37" ht="38" customHeight="1">
      <x:c r="A37" s="10" t="str">
        <x:v>datasets.draft.edit</x:v>
      </x:c>
      <x:c r="B37" s="10" t="str">
        <x:v>—</x:v>
      </x:c>
      <x:c r="C37" s="10" t="str">
        <x:v>—</x:v>
      </x:c>
      <x:c r="D37" s="10" t="str">
        <x:v>—</x:v>
      </x:c>
      <x:c r="E37" s="10" t="str">
        <x:v>—</x:v>
      </x:c>
      <x:c r="F37" s="10" t="str">
        <x:v>—</x:v>
      </x:c>
      <x:c r="G37" s="10" t="str">
        <x:v>—</x:v>
      </x:c>
      <x:c r="H37" s="10" t="str">
        <x:v>—</x:v>
      </x:c>
      <x:c r="I37" s="10" t="str">
        <x:v>Template</x:v>
      </x:c>
      <x:c r="J37" s="10" t="str">
        <x:v>—</x:v>
      </x:c>
      <x:c r="K37" s="10" t="str">
        <x:v>—</x:v>
      </x:c>
      <x:c r="L37" s="10" t="str">
        <x:v>—</x:v>
      </x:c>
      <x:c r="M37" s="10" t="str">
        <x:v>—</x:v>
      </x:c>
      <x:c r="N37" s="10" t="str">
        <x:v>—</x:v>
      </x:c>
      <x:c r="O37" s="10" t="str">
        <x:v>—</x:v>
      </x:c>
      <x:c r="P37" s="10" t="str">
        <x:v>—</x:v>
      </x:c>
    </x:row>
    <x:row r="38" ht="38" customHeight="1">
      <x:c r="A38" s="10" t="str">
        <x:v>datasets.read</x:v>
      </x:c>
      <x:c r="B38" s="10" t="str">
        <x:v>—</x:v>
      </x:c>
      <x:c r="C38" s="10" t="str">
        <x:v>—</x:v>
      </x:c>
      <x:c r="D38" s="10" t="str">
        <x:v>Template</x:v>
      </x:c>
      <x:c r="E38" s="10" t="str">
        <x:v>Template</x:v>
      </x:c>
      <x:c r="F38" s="10" t="str">
        <x:v>Template</x:v>
      </x:c>
      <x:c r="G38" s="10" t="str">
        <x:v>Template</x:v>
      </x:c>
      <x:c r="H38" s="10" t="str">
        <x:v>—</x:v>
      </x:c>
      <x:c r="I38" s="10" t="str">
        <x:v>Template</x:v>
      </x:c>
      <x:c r="J38" s="10" t="str">
        <x:v>Template</x:v>
      </x:c>
      <x:c r="K38" s="10" t="str">
        <x:v>—</x:v>
      </x:c>
      <x:c r="L38" s="10" t="str">
        <x:v>—</x:v>
      </x:c>
      <x:c r="M38" s="10" t="str">
        <x:v>—</x:v>
      </x:c>
      <x:c r="N38" s="10" t="str">
        <x:v>—</x:v>
      </x:c>
      <x:c r="O38" s="10" t="str">
        <x:v>—</x:v>
      </x:c>
      <x:c r="P38" s="10" t="str">
        <x:v>Template</x:v>
      </x:c>
    </x:row>
    <x:row r="39" ht="38" customHeight="1">
      <x:c r="A39" s="10" t="str">
        <x:v>decisions.read</x:v>
      </x:c>
      <x:c r="B39" s="10" t="str">
        <x:v>—</x:v>
      </x:c>
      <x:c r="C39" s="10" t="str">
        <x:v>—</x:v>
      </x:c>
      <x:c r="D39" s="10" t="str">
        <x:v>Template</x:v>
      </x:c>
      <x:c r="E39" s="10" t="str">
        <x:v>Template</x:v>
      </x:c>
      <x:c r="F39" s="10" t="str">
        <x:v>Template</x:v>
      </x:c>
      <x:c r="G39" s="10" t="str">
        <x:v>Template</x:v>
      </x:c>
      <x:c r="H39" s="10" t="str">
        <x:v>—</x:v>
      </x:c>
      <x:c r="I39" s="10" t="str">
        <x:v>Template</x:v>
      </x:c>
      <x:c r="J39" s="10" t="str">
        <x:v>Template</x:v>
      </x:c>
      <x:c r="K39" s="10" t="str">
        <x:v>—</x:v>
      </x:c>
      <x:c r="L39" s="10" t="str">
        <x:v>—</x:v>
      </x:c>
      <x:c r="M39" s="10" t="str">
        <x:v>—</x:v>
      </x:c>
      <x:c r="N39" s="10" t="str">
        <x:v>—</x:v>
      </x:c>
      <x:c r="O39" s="10" t="str">
        <x:v>—</x:v>
      </x:c>
      <x:c r="P39" s="10" t="str">
        <x:v>Template</x:v>
      </x:c>
    </x:row>
    <x:row r="40" ht="38" customHeight="1">
      <x:c r="A40" s="10" t="str">
        <x:v>devices.draft.create</x:v>
      </x:c>
      <x:c r="B40" s="10" t="str">
        <x:v>—</x:v>
      </x:c>
      <x:c r="C40" s="10" t="str">
        <x:v>—</x:v>
      </x:c>
      <x:c r="D40" s="10" t="str">
        <x:v>—</x:v>
      </x:c>
      <x:c r="E40" s="10" t="str">
        <x:v>—</x:v>
      </x:c>
      <x:c r="F40" s="10" t="str">
        <x:v>—</x:v>
      </x:c>
      <x:c r="G40" s="10" t="str">
        <x:v>—</x:v>
      </x:c>
      <x:c r="H40" s="10" t="str">
        <x:v>Template</x:v>
      </x:c>
      <x:c r="I40" s="10" t="str">
        <x:v>—</x:v>
      </x:c>
      <x:c r="J40" s="10" t="str">
        <x:v>—</x:v>
      </x:c>
      <x:c r="K40" s="10" t="str">
        <x:v>—</x:v>
      </x:c>
      <x:c r="L40" s="10" t="str">
        <x:v>—</x:v>
      </x:c>
      <x:c r="M40" s="10" t="str">
        <x:v>—</x:v>
      </x:c>
      <x:c r="N40" s="10" t="str">
        <x:v>—</x:v>
      </x:c>
      <x:c r="O40" s="10" t="str">
        <x:v>—</x:v>
      </x:c>
      <x:c r="P40" s="10" t="str">
        <x:v>—</x:v>
      </x:c>
    </x:row>
    <x:row r="41" ht="38" customHeight="1">
      <x:c r="A41" s="10" t="str">
        <x:v>devices.draft.edit</x:v>
      </x:c>
      <x:c r="B41" s="10" t="str">
        <x:v>—</x:v>
      </x:c>
      <x:c r="C41" s="10" t="str">
        <x:v>—</x:v>
      </x:c>
      <x:c r="D41" s="10" t="str">
        <x:v>—</x:v>
      </x:c>
      <x:c r="E41" s="10" t="str">
        <x:v>—</x:v>
      </x:c>
      <x:c r="F41" s="10" t="str">
        <x:v>—</x:v>
      </x:c>
      <x:c r="G41" s="10" t="str">
        <x:v>—</x:v>
      </x:c>
      <x:c r="H41" s="10" t="str">
        <x:v>Template</x:v>
      </x:c>
      <x:c r="I41" s="10" t="str">
        <x:v>—</x:v>
      </x:c>
      <x:c r="J41" s="10" t="str">
        <x:v>—</x:v>
      </x:c>
      <x:c r="K41" s="10" t="str">
        <x:v>—</x:v>
      </x:c>
      <x:c r="L41" s="10" t="str">
        <x:v>—</x:v>
      </x:c>
      <x:c r="M41" s="10" t="str">
        <x:v>—</x:v>
      </x:c>
      <x:c r="N41" s="10" t="str">
        <x:v>—</x:v>
      </x:c>
      <x:c r="O41" s="10" t="str">
        <x:v>—</x:v>
      </x:c>
      <x:c r="P41" s="10" t="str">
        <x:v>—</x:v>
      </x:c>
    </x:row>
    <x:row r="42" ht="38" customHeight="1">
      <x:c r="A42" s="10" t="str">
        <x:v>devices.read</x:v>
      </x:c>
      <x:c r="B42" s="10" t="str">
        <x:v>—</x:v>
      </x:c>
      <x:c r="C42" s="10" t="str">
        <x:v>—</x:v>
      </x:c>
      <x:c r="D42" s="10" t="str">
        <x:v>Template</x:v>
      </x:c>
      <x:c r="E42" s="10" t="str">
        <x:v>Template</x:v>
      </x:c>
      <x:c r="F42" s="10" t="str">
        <x:v>Template</x:v>
      </x:c>
      <x:c r="G42" s="10" t="str">
        <x:v>Template</x:v>
      </x:c>
      <x:c r="H42" s="10" t="str">
        <x:v>Template</x:v>
      </x:c>
      <x:c r="I42" s="10" t="str">
        <x:v>Template</x:v>
      </x:c>
      <x:c r="J42" s="10" t="str">
        <x:v>—</x:v>
      </x:c>
      <x:c r="K42" s="10" t="str">
        <x:v>—</x:v>
      </x:c>
      <x:c r="L42" s="10" t="str">
        <x:v>—</x:v>
      </x:c>
      <x:c r="M42" s="10" t="str">
        <x:v>—</x:v>
      </x:c>
      <x:c r="N42" s="10" t="str">
        <x:v>—</x:v>
      </x:c>
      <x:c r="O42" s="10" t="str">
        <x:v>—</x:v>
      </x:c>
      <x:c r="P42" s="10" t="str">
        <x:v>—</x:v>
      </x:c>
    </x:row>
    <x:row r="43" ht="38" customHeight="1">
      <x:c r="A43" s="10" t="str">
        <x:v>dimensions.draft.create</x:v>
      </x:c>
      <x:c r="B43" s="10" t="str">
        <x:v>—</x:v>
      </x:c>
      <x:c r="C43" s="10" t="str">
        <x:v>—</x:v>
      </x:c>
      <x:c r="D43" s="10" t="str">
        <x:v>Template</x:v>
      </x:c>
      <x:c r="E43" s="10" t="str">
        <x:v>—</x:v>
      </x:c>
      <x:c r="F43" s="10" t="str">
        <x:v>—</x:v>
      </x:c>
      <x:c r="G43" s="10" t="str">
        <x:v>—</x:v>
      </x:c>
      <x:c r="H43" s="10" t="str">
        <x:v>—</x:v>
      </x:c>
      <x:c r="I43" s="10" t="str">
        <x:v>—</x:v>
      </x:c>
      <x:c r="J43" s="10" t="str">
        <x:v>—</x:v>
      </x:c>
      <x:c r="K43" s="10" t="str">
        <x:v>—</x:v>
      </x:c>
      <x:c r="L43" s="10" t="str">
        <x:v>—</x:v>
      </x:c>
      <x:c r="M43" s="10" t="str">
        <x:v>—</x:v>
      </x:c>
      <x:c r="N43" s="10" t="str">
        <x:v>—</x:v>
      </x:c>
      <x:c r="O43" s="10" t="str">
        <x:v>—</x:v>
      </x:c>
      <x:c r="P43" s="10" t="str">
        <x:v>—</x:v>
      </x:c>
    </x:row>
    <x:row r="44" ht="38" customHeight="1">
      <x:c r="A44" s="10" t="str">
        <x:v>dimensions.draft.edit</x:v>
      </x:c>
      <x:c r="B44" s="10" t="str">
        <x:v>—</x:v>
      </x:c>
      <x:c r="C44" s="10" t="str">
        <x:v>—</x:v>
      </x:c>
      <x:c r="D44" s="10" t="str">
        <x:v>Template</x:v>
      </x:c>
      <x:c r="E44" s="10" t="str">
        <x:v>—</x:v>
      </x:c>
      <x:c r="F44" s="10" t="str">
        <x:v>—</x:v>
      </x:c>
      <x:c r="G44" s="10" t="str">
        <x:v>—</x:v>
      </x:c>
      <x:c r="H44" s="10" t="str">
        <x:v>—</x:v>
      </x:c>
      <x:c r="I44" s="10" t="str">
        <x:v>—</x:v>
      </x:c>
      <x:c r="J44" s="10" t="str">
        <x:v>—</x:v>
      </x:c>
      <x:c r="K44" s="10" t="str">
        <x:v>—</x:v>
      </x:c>
      <x:c r="L44" s="10" t="str">
        <x:v>—</x:v>
      </x:c>
      <x:c r="M44" s="10" t="str">
        <x:v>—</x:v>
      </x:c>
      <x:c r="N44" s="10" t="str">
        <x:v>—</x:v>
      </x:c>
      <x:c r="O44" s="10" t="str">
        <x:v>—</x:v>
      </x:c>
      <x:c r="P44" s="10" t="str">
        <x:v>—</x:v>
      </x:c>
    </x:row>
    <x:row r="45" ht="38" customHeight="1">
      <x:c r="A45" s="10" t="str">
        <x:v>dimensions.read</x:v>
      </x:c>
      <x:c r="B45" s="10" t="str">
        <x:v>—</x:v>
      </x:c>
      <x:c r="C45" s="10" t="str">
        <x:v>—</x:v>
      </x:c>
      <x:c r="D45" s="10" t="str">
        <x:v>Template</x:v>
      </x:c>
      <x:c r="E45" s="10" t="str">
        <x:v>Template</x:v>
      </x:c>
      <x:c r="F45" s="10" t="str">
        <x:v>Template</x:v>
      </x:c>
      <x:c r="G45" s="10" t="str">
        <x:v>Template</x:v>
      </x:c>
      <x:c r="H45" s="10" t="str">
        <x:v>—</x:v>
      </x:c>
      <x:c r="I45" s="10" t="str">
        <x:v>Template</x:v>
      </x:c>
      <x:c r="J45" s="10" t="str">
        <x:v>Template</x:v>
      </x:c>
      <x:c r="K45" s="10" t="str">
        <x:v>—</x:v>
      </x:c>
      <x:c r="L45" s="10" t="str">
        <x:v>—</x:v>
      </x:c>
      <x:c r="M45" s="10" t="str">
        <x:v>—</x:v>
      </x:c>
      <x:c r="N45" s="10" t="str">
        <x:v>—</x:v>
      </x:c>
      <x:c r="O45" s="10" t="str">
        <x:v>—</x:v>
      </x:c>
      <x:c r="P45" s="10" t="str">
        <x:v>Template</x:v>
      </x:c>
    </x:row>
    <x:row r="46" ht="38" customHeight="1">
      <x:c r="A46" s="10" t="str">
        <x:v>disclosure.request</x:v>
      </x:c>
      <x:c r="B46" s="10" t="str">
        <x:v>—</x:v>
      </x:c>
      <x:c r="C46" s="10" t="str">
        <x:v>—</x:v>
      </x:c>
      <x:c r="D46" s="10" t="str">
        <x:v>—</x:v>
      </x:c>
      <x:c r="E46" s="10" t="str">
        <x:v>—</x:v>
      </x:c>
      <x:c r="F46" s="10" t="str">
        <x:v>Template</x:v>
      </x:c>
      <x:c r="G46" s="10" t="str">
        <x:v>—</x:v>
      </x:c>
      <x:c r="H46" s="10" t="str">
        <x:v>—</x:v>
      </x:c>
      <x:c r="I46" s="10" t="str">
        <x:v>—</x:v>
      </x:c>
      <x:c r="J46" s="10" t="str">
        <x:v>—</x:v>
      </x:c>
      <x:c r="K46" s="10" t="str">
        <x:v>—</x:v>
      </x:c>
      <x:c r="L46" s="10" t="str">
        <x:v>Template</x:v>
      </x:c>
      <x:c r="M46" s="10" t="str">
        <x:v>—</x:v>
      </x:c>
      <x:c r="N46" s="10" t="str">
        <x:v>—</x:v>
      </x:c>
      <x:c r="O46" s="10" t="str">
        <x:v>—</x:v>
      </x:c>
      <x:c r="P46" s="10" t="str">
        <x:v>—</x:v>
      </x:c>
    </x:row>
    <x:row r="47" ht="38" customHeight="1">
      <x:c r="A47" s="10" t="str">
        <x:v>disclosures.draft.edit</x:v>
      </x:c>
      <x:c r="B47" s="10" t="str">
        <x:v>—</x:v>
      </x:c>
      <x:c r="C47" s="10" t="str">
        <x:v>—</x:v>
      </x:c>
      <x:c r="D47" s="10" t="str">
        <x:v>—</x:v>
      </x:c>
      <x:c r="E47" s="10" t="str">
        <x:v>—</x:v>
      </x:c>
      <x:c r="F47" s="10" t="str">
        <x:v>—</x:v>
      </x:c>
      <x:c r="G47" s="10" t="str">
        <x:v>—</x:v>
      </x:c>
      <x:c r="H47" s="10" t="str">
        <x:v>—</x:v>
      </x:c>
      <x:c r="I47" s="10" t="str">
        <x:v>—</x:v>
      </x:c>
      <x:c r="J47" s="10" t="str">
        <x:v>—</x:v>
      </x:c>
      <x:c r="K47" s="10" t="str">
        <x:v>—</x:v>
      </x:c>
      <x:c r="L47" s="10" t="str">
        <x:v>Template</x:v>
      </x:c>
      <x:c r="M47" s="10" t="str">
        <x:v>—</x:v>
      </x:c>
      <x:c r="N47" s="10" t="str">
        <x:v>—</x:v>
      </x:c>
      <x:c r="O47" s="10" t="str">
        <x:v>—</x:v>
      </x:c>
      <x:c r="P47" s="10" t="str">
        <x:v>—</x:v>
      </x:c>
    </x:row>
    <x:row r="48" ht="38" customHeight="1">
      <x:c r="A48" s="10" t="str">
        <x:v>disclosures.read</x:v>
      </x:c>
      <x:c r="B48" s="10" t="str">
        <x:v>—</x:v>
      </x:c>
      <x:c r="C48" s="10" t="str">
        <x:v>—</x:v>
      </x:c>
      <x:c r="D48" s="10" t="str">
        <x:v>—</x:v>
      </x:c>
      <x:c r="E48" s="10" t="str">
        <x:v>—</x:v>
      </x:c>
      <x:c r="F48" s="10" t="str">
        <x:v>—</x:v>
      </x:c>
      <x:c r="G48" s="10" t="str">
        <x:v>—</x:v>
      </x:c>
      <x:c r="H48" s="10" t="str">
        <x:v>—</x:v>
      </x:c>
      <x:c r="I48" s="10" t="str">
        <x:v>—</x:v>
      </x:c>
      <x:c r="J48" s="10" t="str">
        <x:v>—</x:v>
      </x:c>
      <x:c r="K48" s="10" t="str">
        <x:v>—</x:v>
      </x:c>
      <x:c r="L48" s="10" t="str">
        <x:v>Template</x:v>
      </x:c>
      <x:c r="M48" s="10" t="str">
        <x:v>—</x:v>
      </x:c>
      <x:c r="N48" s="10" t="str">
        <x:v>—</x:v>
      </x:c>
      <x:c r="O48" s="10" t="str">
        <x:v>—</x:v>
      </x:c>
      <x:c r="P48" s="10" t="str">
        <x:v>—</x:v>
      </x:c>
    </x:row>
    <x:row r="49" ht="38" customHeight="1">
      <x:c r="A49" s="10" t="str">
        <x:v>evaluations.draft.create</x:v>
      </x:c>
      <x:c r="B49" s="10" t="str">
        <x:v>—</x:v>
      </x:c>
      <x:c r="C49" s="10" t="str">
        <x:v>—</x:v>
      </x:c>
      <x:c r="D49" s="10" t="str">
        <x:v>—</x:v>
      </x:c>
      <x:c r="E49" s="10" t="str">
        <x:v>—</x:v>
      </x:c>
      <x:c r="F49" s="10" t="str">
        <x:v>Template</x:v>
      </x:c>
      <x:c r="G49" s="10" t="str">
        <x:v>—</x:v>
      </x:c>
      <x:c r="H49" s="10" t="str">
        <x:v>—</x:v>
      </x:c>
      <x:c r="I49" s="10" t="str">
        <x:v>—</x:v>
      </x:c>
      <x:c r="J49" s="10" t="str">
        <x:v>Template</x:v>
      </x:c>
      <x:c r="K49" s="10" t="str">
        <x:v>—</x:v>
      </x:c>
      <x:c r="L49" s="10" t="str">
        <x:v>—</x:v>
      </x:c>
      <x:c r="M49" s="10" t="str">
        <x:v>—</x:v>
      </x:c>
      <x:c r="N49" s="10" t="str">
        <x:v>—</x:v>
      </x:c>
      <x:c r="O49" s="10" t="str">
        <x:v>—</x:v>
      </x:c>
      <x:c r="P49" s="10" t="str">
        <x:v>—</x:v>
      </x:c>
    </x:row>
    <x:row r="50" ht="38" customHeight="1">
      <x:c r="A50" s="10" t="str">
        <x:v>evaluations.draft.edit</x:v>
      </x:c>
      <x:c r="B50" s="10" t="str">
        <x:v>—</x:v>
      </x:c>
      <x:c r="C50" s="10" t="str">
        <x:v>—</x:v>
      </x:c>
      <x:c r="D50" s="10" t="str">
        <x:v>—</x:v>
      </x:c>
      <x:c r="E50" s="10" t="str">
        <x:v>—</x:v>
      </x:c>
      <x:c r="F50" s="10" t="str">
        <x:v>Template</x:v>
      </x:c>
      <x:c r="G50" s="10" t="str">
        <x:v>—</x:v>
      </x:c>
      <x:c r="H50" s="10" t="str">
        <x:v>—</x:v>
      </x:c>
      <x:c r="I50" s="10" t="str">
        <x:v>—</x:v>
      </x:c>
      <x:c r="J50" s="10" t="str">
        <x:v>Template</x:v>
      </x:c>
      <x:c r="K50" s="10" t="str">
        <x:v>—</x:v>
      </x:c>
      <x:c r="L50" s="10" t="str">
        <x:v>—</x:v>
      </x:c>
      <x:c r="M50" s="10" t="str">
        <x:v>—</x:v>
      </x:c>
      <x:c r="N50" s="10" t="str">
        <x:v>—</x:v>
      </x:c>
      <x:c r="O50" s="10" t="str">
        <x:v>—</x:v>
      </x:c>
      <x:c r="P50" s="10" t="str">
        <x:v>—</x:v>
      </x:c>
    </x:row>
    <x:row r="51" ht="38" customHeight="1">
      <x:c r="A51" s="10" t="str">
        <x:v>evaluations.read</x:v>
      </x:c>
      <x:c r="B51" s="10" t="str">
        <x:v>—</x:v>
      </x:c>
      <x:c r="C51" s="10" t="str">
        <x:v>—</x:v>
      </x:c>
      <x:c r="D51" s="10" t="str">
        <x:v>Template</x:v>
      </x:c>
      <x:c r="E51" s="10" t="str">
        <x:v>Template</x:v>
      </x:c>
      <x:c r="F51" s="10" t="str">
        <x:v>Template</x:v>
      </x:c>
      <x:c r="G51" s="10" t="str">
        <x:v>Template</x:v>
      </x:c>
      <x:c r="H51" s="10" t="str">
        <x:v>—</x:v>
      </x:c>
      <x:c r="I51" s="10" t="str">
        <x:v>Template</x:v>
      </x:c>
      <x:c r="J51" s="10" t="str">
        <x:v>Template</x:v>
      </x:c>
      <x:c r="K51" s="10" t="str">
        <x:v>—</x:v>
      </x:c>
      <x:c r="L51" s="10" t="str">
        <x:v>—</x:v>
      </x:c>
      <x:c r="M51" s="10" t="str">
        <x:v>—</x:v>
      </x:c>
      <x:c r="N51" s="10" t="str">
        <x:v>—</x:v>
      </x:c>
      <x:c r="O51" s="10" t="str">
        <x:v>—</x:v>
      </x:c>
      <x:c r="P51" s="10" t="str">
        <x:v>Template</x:v>
      </x:c>
    </x:row>
    <x:row r="52" ht="38" customHeight="1">
      <x:c r="A52" s="10" t="str">
        <x:v>evidence.download</x:v>
      </x:c>
      <x:c r="B52" s="10" t="str">
        <x:v>—</x:v>
      </x:c>
      <x:c r="C52" s="10" t="str">
        <x:v>—</x:v>
      </x:c>
      <x:c r="D52" s="10" t="str">
        <x:v>—</x:v>
      </x:c>
      <x:c r="E52" s="10" t="str">
        <x:v>—</x:v>
      </x:c>
      <x:c r="F52" s="10" t="str">
        <x:v>Template</x:v>
      </x:c>
      <x:c r="G52" s="10" t="str">
        <x:v>Template</x:v>
      </x:c>
      <x:c r="H52" s="10" t="str">
        <x:v>—</x:v>
      </x:c>
      <x:c r="I52" s="10" t="str">
        <x:v>Template</x:v>
      </x:c>
      <x:c r="J52" s="10" t="str">
        <x:v>Template</x:v>
      </x:c>
      <x:c r="K52" s="10" t="str">
        <x:v>—</x:v>
      </x:c>
      <x:c r="L52" s="10" t="str">
        <x:v>—</x:v>
      </x:c>
      <x:c r="M52" s="10" t="str">
        <x:v>—</x:v>
      </x:c>
      <x:c r="N52" s="10" t="str">
        <x:v>—</x:v>
      </x:c>
      <x:c r="O52" s="10" t="str">
        <x:v>—</x:v>
      </x:c>
      <x:c r="P52" s="10" t="str">
        <x:v>—</x:v>
      </x:c>
    </x:row>
    <x:row r="53" ht="38" customHeight="1">
      <x:c r="A53" s="10" t="str">
        <x:v>evidence.draft.create</x:v>
      </x:c>
      <x:c r="B53" s="10" t="str">
        <x:v>—</x:v>
      </x:c>
      <x:c r="C53" s="10" t="str">
        <x:v>—</x:v>
      </x:c>
      <x:c r="D53" s="10" t="str">
        <x:v>—</x:v>
      </x:c>
      <x:c r="E53" s="10" t="str">
        <x:v>—</x:v>
      </x:c>
      <x:c r="F53" s="10" t="str">
        <x:v>Template</x:v>
      </x:c>
      <x:c r="G53" s="10" t="str">
        <x:v>—</x:v>
      </x:c>
      <x:c r="H53" s="10" t="str">
        <x:v>—</x:v>
      </x:c>
      <x:c r="I53" s="10" t="str">
        <x:v>Template</x:v>
      </x:c>
      <x:c r="J53" s="10" t="str">
        <x:v>—</x:v>
      </x:c>
      <x:c r="K53" s="10" t="str">
        <x:v>—</x:v>
      </x:c>
      <x:c r="L53" s="10" t="str">
        <x:v>—</x:v>
      </x:c>
      <x:c r="M53" s="10" t="str">
        <x:v>—</x:v>
      </x:c>
      <x:c r="N53" s="10" t="str">
        <x:v>—</x:v>
      </x:c>
      <x:c r="O53" s="10" t="str">
        <x:v>—</x:v>
      </x:c>
      <x:c r="P53" s="10" t="str">
        <x:v>—</x:v>
      </x:c>
    </x:row>
    <x:row r="54" ht="38" customHeight="1">
      <x:c r="A54" s="10" t="str">
        <x:v>evidence.draft.edit</x:v>
      </x:c>
      <x:c r="B54" s="10" t="str">
        <x:v>—</x:v>
      </x:c>
      <x:c r="C54" s="10" t="str">
        <x:v>—</x:v>
      </x:c>
      <x:c r="D54" s="10" t="str">
        <x:v>—</x:v>
      </x:c>
      <x:c r="E54" s="10" t="str">
        <x:v>—</x:v>
      </x:c>
      <x:c r="F54" s="10" t="str">
        <x:v>Template</x:v>
      </x:c>
      <x:c r="G54" s="10" t="str">
        <x:v>—</x:v>
      </x:c>
      <x:c r="H54" s="10" t="str">
        <x:v>—</x:v>
      </x:c>
      <x:c r="I54" s="10" t="str">
        <x:v>Template</x:v>
      </x:c>
      <x:c r="J54" s="10" t="str">
        <x:v>—</x:v>
      </x:c>
      <x:c r="K54" s="10" t="str">
        <x:v>—</x:v>
      </x:c>
      <x:c r="L54" s="10" t="str">
        <x:v>—</x:v>
      </x:c>
      <x:c r="M54" s="10" t="str">
        <x:v>—</x:v>
      </x:c>
      <x:c r="N54" s="10" t="str">
        <x:v>—</x:v>
      </x:c>
      <x:c r="O54" s="10" t="str">
        <x:v>—</x:v>
      </x:c>
      <x:c r="P54" s="10" t="str">
        <x:v>—</x:v>
      </x:c>
    </x:row>
    <x:row r="55" ht="38" customHeight="1">
      <x:c r="A55" s="10" t="str">
        <x:v>evidence.read</x:v>
      </x:c>
      <x:c r="B55" s="10" t="str">
        <x:v>—</x:v>
      </x:c>
      <x:c r="C55" s="10" t="str">
        <x:v>—</x:v>
      </x:c>
      <x:c r="D55" s="10" t="str">
        <x:v>Template</x:v>
      </x:c>
      <x:c r="E55" s="10" t="str">
        <x:v>Template</x:v>
      </x:c>
      <x:c r="F55" s="10" t="str">
        <x:v>Template</x:v>
      </x:c>
      <x:c r="G55" s="10" t="str">
        <x:v>Template</x:v>
      </x:c>
      <x:c r="H55" s="10" t="str">
        <x:v>—</x:v>
      </x:c>
      <x:c r="I55" s="10" t="str">
        <x:v>Template</x:v>
      </x:c>
      <x:c r="J55" s="10" t="str">
        <x:v>Template</x:v>
      </x:c>
      <x:c r="K55" s="10" t="str">
        <x:v>—</x:v>
      </x:c>
      <x:c r="L55" s="10" t="str">
        <x:v>—</x:v>
      </x:c>
      <x:c r="M55" s="10" t="str">
        <x:v>—</x:v>
      </x:c>
      <x:c r="N55" s="10" t="str">
        <x:v>—</x:v>
      </x:c>
      <x:c r="O55" s="10" t="str">
        <x:v>—</x:v>
      </x:c>
      <x:c r="P55" s="10" t="str">
        <x:v>Template</x:v>
      </x:c>
    </x:row>
    <x:row r="56" ht="38" customHeight="1">
      <x:c r="A56" s="10" t="str">
        <x:v>evidence.verify</x:v>
      </x:c>
      <x:c r="B56" s="10" t="str">
        <x:v>—</x:v>
      </x:c>
      <x:c r="C56" s="10" t="str">
        <x:v>—</x:v>
      </x:c>
      <x:c r="D56" s="10" t="str">
        <x:v>—</x:v>
      </x:c>
      <x:c r="E56" s="10" t="str">
        <x:v>—</x:v>
      </x:c>
      <x:c r="F56" s="10" t="str">
        <x:v>—</x:v>
      </x:c>
      <x:c r="G56" s="10" t="str">
        <x:v>Template</x:v>
      </x:c>
      <x:c r="H56" s="10" t="str">
        <x:v>—</x:v>
      </x:c>
      <x:c r="I56" s="10" t="str">
        <x:v>—</x:v>
      </x:c>
      <x:c r="J56" s="10" t="str">
        <x:v>—</x:v>
      </x:c>
      <x:c r="K56" s="10" t="str">
        <x:v>—</x:v>
      </x:c>
      <x:c r="L56" s="10" t="str">
        <x:v>—</x:v>
      </x:c>
      <x:c r="M56" s="10" t="str">
        <x:v>—</x:v>
      </x:c>
      <x:c r="N56" s="10" t="str">
        <x:v>—</x:v>
      </x:c>
      <x:c r="O56" s="10" t="str">
        <x:v>—</x:v>
      </x:c>
      <x:c r="P56" s="10" t="str">
        <x:v>—</x:v>
      </x:c>
    </x:row>
    <x:row r="57" ht="38" customHeight="1">
      <x:c r="A57" s="10" t="str">
        <x:v>exchange-rates.draft.create</x:v>
      </x:c>
      <x:c r="B57" s="10" t="str">
        <x:v>—</x:v>
      </x:c>
      <x:c r="C57" s="10" t="str">
        <x:v>—</x:v>
      </x:c>
      <x:c r="D57" s="10" t="str">
        <x:v>—</x:v>
      </x:c>
      <x:c r="E57" s="10" t="str">
        <x:v>—</x:v>
      </x:c>
      <x:c r="F57" s="10" t="str">
        <x:v>—</x:v>
      </x:c>
      <x:c r="G57" s="10" t="str">
        <x:v>—</x:v>
      </x:c>
      <x:c r="H57" s="10" t="str">
        <x:v>—</x:v>
      </x:c>
      <x:c r="I57" s="10" t="str">
        <x:v>—</x:v>
      </x:c>
      <x:c r="J57" s="10" t="str">
        <x:v>—</x:v>
      </x:c>
      <x:c r="K57" s="10" t="str">
        <x:v>Template</x:v>
      </x:c>
      <x:c r="L57" s="10" t="str">
        <x:v>—</x:v>
      </x:c>
      <x:c r="M57" s="10" t="str">
        <x:v>—</x:v>
      </x:c>
      <x:c r="N57" s="10" t="str">
        <x:v>—</x:v>
      </x:c>
      <x:c r="O57" s="10" t="str">
        <x:v>—</x:v>
      </x:c>
      <x:c r="P57" s="10" t="str">
        <x:v>—</x:v>
      </x:c>
    </x:row>
    <x:row r="58" ht="38" customHeight="1">
      <x:c r="A58" s="10" t="str">
        <x:v>exchange-rates.draft.edit</x:v>
      </x:c>
      <x:c r="B58" s="10" t="str">
        <x:v>—</x:v>
      </x:c>
      <x:c r="C58" s="10" t="str">
        <x:v>—</x:v>
      </x:c>
      <x:c r="D58" s="10" t="str">
        <x:v>—</x:v>
      </x:c>
      <x:c r="E58" s="10" t="str">
        <x:v>—</x:v>
      </x:c>
      <x:c r="F58" s="10" t="str">
        <x:v>—</x:v>
      </x:c>
      <x:c r="G58" s="10" t="str">
        <x:v>—</x:v>
      </x:c>
      <x:c r="H58" s="10" t="str">
        <x:v>—</x:v>
      </x:c>
      <x:c r="I58" s="10" t="str">
        <x:v>—</x:v>
      </x:c>
      <x:c r="J58" s="10" t="str">
        <x:v>—</x:v>
      </x:c>
      <x:c r="K58" s="10" t="str">
        <x:v>Template</x:v>
      </x:c>
      <x:c r="L58" s="10" t="str">
        <x:v>—</x:v>
      </x:c>
      <x:c r="M58" s="10" t="str">
        <x:v>—</x:v>
      </x:c>
      <x:c r="N58" s="10" t="str">
        <x:v>—</x:v>
      </x:c>
      <x:c r="O58" s="10" t="str">
        <x:v>—</x:v>
      </x:c>
      <x:c r="P58" s="10" t="str">
        <x:v>—</x:v>
      </x:c>
    </x:row>
    <x:row r="59" ht="38" customHeight="1">
      <x:c r="A59" s="10" t="str">
        <x:v>exchange-rates.read</x:v>
      </x:c>
      <x:c r="B59" s="10" t="str">
        <x:v>—</x:v>
      </x:c>
      <x:c r="C59" s="10" t="str">
        <x:v>—</x:v>
      </x:c>
      <x:c r="D59" s="10" t="str">
        <x:v>—</x:v>
      </x:c>
      <x:c r="E59" s="10" t="str">
        <x:v>—</x:v>
      </x:c>
      <x:c r="F59" s="10" t="str">
        <x:v>—</x:v>
      </x:c>
      <x:c r="G59" s="10" t="str">
        <x:v>—</x:v>
      </x:c>
      <x:c r="H59" s="10" t="str">
        <x:v>—</x:v>
      </x:c>
      <x:c r="I59" s="10" t="str">
        <x:v>—</x:v>
      </x:c>
      <x:c r="J59" s="10" t="str">
        <x:v>—</x:v>
      </x:c>
      <x:c r="K59" s="10" t="str">
        <x:v>Template</x:v>
      </x:c>
      <x:c r="L59" s="10" t="str">
        <x:v>—</x:v>
      </x:c>
      <x:c r="M59" s="10" t="str">
        <x:v>—</x:v>
      </x:c>
      <x:c r="N59" s="10" t="str">
        <x:v>—</x:v>
      </x:c>
      <x:c r="O59" s="10" t="str">
        <x:v>—</x:v>
      </x:c>
      <x:c r="P59" s="10" t="str">
        <x:v>—</x:v>
      </x:c>
    </x:row>
    <x:row r="60" ht="38" customHeight="1">
      <x:c r="A60" s="10" t="str">
        <x:v>finance-transactions.draft.create</x:v>
      </x:c>
      <x:c r="B60" s="10" t="str">
        <x:v>—</x:v>
      </x:c>
      <x:c r="C60" s="10" t="str">
        <x:v>—</x:v>
      </x:c>
      <x:c r="D60" s="10" t="str">
        <x:v>—</x:v>
      </x:c>
      <x:c r="E60" s="10" t="str">
        <x:v>—</x:v>
      </x:c>
      <x:c r="F60" s="10" t="str">
        <x:v>—</x:v>
      </x:c>
      <x:c r="G60" s="10" t="str">
        <x:v>—</x:v>
      </x:c>
      <x:c r="H60" s="10" t="str">
        <x:v>—</x:v>
      </x:c>
      <x:c r="I60" s="10" t="str">
        <x:v>—</x:v>
      </x:c>
      <x:c r="J60" s="10" t="str">
        <x:v>—</x:v>
      </x:c>
      <x:c r="K60" s="10" t="str">
        <x:v>Template</x:v>
      </x:c>
      <x:c r="L60" s="10" t="str">
        <x:v>—</x:v>
      </x:c>
      <x:c r="M60" s="10" t="str">
        <x:v>—</x:v>
      </x:c>
      <x:c r="N60" s="10" t="str">
        <x:v>—</x:v>
      </x:c>
      <x:c r="O60" s="10" t="str">
        <x:v>—</x:v>
      </x:c>
      <x:c r="P60" s="10" t="str">
        <x:v>—</x:v>
      </x:c>
    </x:row>
    <x:row r="61" ht="38" customHeight="1">
      <x:c r="A61" s="10" t="str">
        <x:v>finance-transactions.draft.edit</x:v>
      </x:c>
      <x:c r="B61" s="10" t="str">
        <x:v>—</x:v>
      </x:c>
      <x:c r="C61" s="10" t="str">
        <x:v>—</x:v>
      </x:c>
      <x:c r="D61" s="10" t="str">
        <x:v>—</x:v>
      </x:c>
      <x:c r="E61" s="10" t="str">
        <x:v>—</x:v>
      </x:c>
      <x:c r="F61" s="10" t="str">
        <x:v>—</x:v>
      </x:c>
      <x:c r="G61" s="10" t="str">
        <x:v>—</x:v>
      </x:c>
      <x:c r="H61" s="10" t="str">
        <x:v>—</x:v>
      </x:c>
      <x:c r="I61" s="10" t="str">
        <x:v>—</x:v>
      </x:c>
      <x:c r="J61" s="10" t="str">
        <x:v>—</x:v>
      </x:c>
      <x:c r="K61" s="10" t="str">
        <x:v>Template</x:v>
      </x:c>
      <x:c r="L61" s="10" t="str">
        <x:v>—</x:v>
      </x:c>
      <x:c r="M61" s="10" t="str">
        <x:v>—</x:v>
      </x:c>
      <x:c r="N61" s="10" t="str">
        <x:v>—</x:v>
      </x:c>
      <x:c r="O61" s="10" t="str">
        <x:v>—</x:v>
      </x:c>
      <x:c r="P61" s="10" t="str">
        <x:v>—</x:v>
      </x:c>
    </x:row>
    <x:row r="62" ht="38" customHeight="1">
      <x:c r="A62" s="10" t="str">
        <x:v>finance-transactions.read</x:v>
      </x:c>
      <x:c r="B62" s="10" t="str">
        <x:v>—</x:v>
      </x:c>
      <x:c r="C62" s="10" t="str">
        <x:v>—</x:v>
      </x:c>
      <x:c r="D62" s="10" t="str">
        <x:v>—</x:v>
      </x:c>
      <x:c r="E62" s="10" t="str">
        <x:v>—</x:v>
      </x:c>
      <x:c r="F62" s="10" t="str">
        <x:v>—</x:v>
      </x:c>
      <x:c r="G62" s="10" t="str">
        <x:v>—</x:v>
      </x:c>
      <x:c r="H62" s="10" t="str">
        <x:v>—</x:v>
      </x:c>
      <x:c r="I62" s="10" t="str">
        <x:v>—</x:v>
      </x:c>
      <x:c r="J62" s="10" t="str">
        <x:v>—</x:v>
      </x:c>
      <x:c r="K62" s="10" t="str">
        <x:v>Template</x:v>
      </x:c>
      <x:c r="L62" s="10" t="str">
        <x:v>—</x:v>
      </x:c>
      <x:c r="M62" s="10" t="str">
        <x:v>—</x:v>
      </x:c>
      <x:c r="N62" s="10" t="str">
        <x:v>—</x:v>
      </x:c>
      <x:c r="O62" s="10" t="str">
        <x:v>—</x:v>
      </x:c>
      <x:c r="P62" s="10" t="str">
        <x:v>—</x:v>
      </x:c>
    </x:row>
    <x:row r="63" ht="38" customHeight="1">
      <x:c r="A63" s="10" t="str">
        <x:v>form-fields.draft.create</x:v>
      </x:c>
      <x:c r="B63" s="10" t="str">
        <x:v>—</x:v>
      </x:c>
      <x:c r="C63" s="10" t="str">
        <x:v>—</x:v>
      </x:c>
      <x:c r="D63" s="10" t="str">
        <x:v>Template</x:v>
      </x:c>
      <x:c r="E63" s="10" t="str">
        <x:v>—</x:v>
      </x:c>
      <x:c r="F63" s="10" t="str">
        <x:v>Template</x:v>
      </x:c>
      <x:c r="G63" s="10" t="str">
        <x:v>—</x:v>
      </x:c>
      <x:c r="H63" s="10" t="str">
        <x:v>—</x:v>
      </x:c>
      <x:c r="I63" s="10" t="str">
        <x:v>—</x:v>
      </x:c>
      <x:c r="J63" s="10" t="str">
        <x:v>—</x:v>
      </x:c>
      <x:c r="K63" s="10" t="str">
        <x:v>—</x:v>
      </x:c>
      <x:c r="L63" s="10" t="str">
        <x:v>—</x:v>
      </x:c>
      <x:c r="M63" s="10" t="str">
        <x:v>—</x:v>
      </x:c>
      <x:c r="N63" s="10" t="str">
        <x:v>—</x:v>
      </x:c>
      <x:c r="O63" s="10" t="str">
        <x:v>—</x:v>
      </x:c>
      <x:c r="P63" s="10" t="str">
        <x:v>—</x:v>
      </x:c>
    </x:row>
    <x:row r="64" ht="38" customHeight="1">
      <x:c r="A64" s="10" t="str">
        <x:v>form-fields.draft.edit</x:v>
      </x:c>
      <x:c r="B64" s="10" t="str">
        <x:v>—</x:v>
      </x:c>
      <x:c r="C64" s="10" t="str">
        <x:v>—</x:v>
      </x:c>
      <x:c r="D64" s="10" t="str">
        <x:v>Template</x:v>
      </x:c>
      <x:c r="E64" s="10" t="str">
        <x:v>—</x:v>
      </x:c>
      <x:c r="F64" s="10" t="str">
        <x:v>Template</x:v>
      </x:c>
      <x:c r="G64" s="10" t="str">
        <x:v>—</x:v>
      </x:c>
      <x:c r="H64" s="10" t="str">
        <x:v>—</x:v>
      </x:c>
      <x:c r="I64" s="10" t="str">
        <x:v>—</x:v>
      </x:c>
      <x:c r="J64" s="10" t="str">
        <x:v>—</x:v>
      </x:c>
      <x:c r="K64" s="10" t="str">
        <x:v>—</x:v>
      </x:c>
      <x:c r="L64" s="10" t="str">
        <x:v>—</x:v>
      </x:c>
      <x:c r="M64" s="10" t="str">
        <x:v>—</x:v>
      </x:c>
      <x:c r="N64" s="10" t="str">
        <x:v>—</x:v>
      </x:c>
      <x:c r="O64" s="10" t="str">
        <x:v>—</x:v>
      </x:c>
      <x:c r="P64" s="10" t="str">
        <x:v>—</x:v>
      </x:c>
    </x:row>
    <x:row r="65" ht="38" customHeight="1">
      <x:c r="A65" s="10" t="str">
        <x:v>form-fields.read</x:v>
      </x:c>
      <x:c r="B65" s="10" t="str">
        <x:v>—</x:v>
      </x:c>
      <x:c r="C65" s="10" t="str">
        <x:v>—</x:v>
      </x:c>
      <x:c r="D65" s="10" t="str">
        <x:v>Template</x:v>
      </x:c>
      <x:c r="E65" s="10" t="str">
        <x:v>Template</x:v>
      </x:c>
      <x:c r="F65" s="10" t="str">
        <x:v>Template</x:v>
      </x:c>
      <x:c r="G65" s="10" t="str">
        <x:v>Template</x:v>
      </x:c>
      <x:c r="H65" s="10" t="str">
        <x:v>Template</x:v>
      </x:c>
      <x:c r="I65" s="10" t="str">
        <x:v>Template</x:v>
      </x:c>
      <x:c r="J65" s="10" t="str">
        <x:v>—</x:v>
      </x:c>
      <x:c r="K65" s="10" t="str">
        <x:v>—</x:v>
      </x:c>
      <x:c r="L65" s="10" t="str">
        <x:v>—</x:v>
      </x:c>
      <x:c r="M65" s="10" t="str">
        <x:v>—</x:v>
      </x:c>
      <x:c r="N65" s="10" t="str">
        <x:v>—</x:v>
      </x:c>
      <x:c r="O65" s="10" t="str">
        <x:v>—</x:v>
      </x:c>
      <x:c r="P65" s="10" t="str">
        <x:v>—</x:v>
      </x:c>
    </x:row>
    <x:row r="66" ht="38" customHeight="1">
      <x:c r="A66" s="10" t="str">
        <x:v>form.publish</x:v>
      </x:c>
      <x:c r="B66" s="10" t="str">
        <x:v>—</x:v>
      </x:c>
      <x:c r="C66" s="10" t="str">
        <x:v>—</x:v>
      </x:c>
      <x:c r="D66" s="10" t="str">
        <x:v>Template</x:v>
      </x:c>
      <x:c r="E66" s="10" t="str">
        <x:v>—</x:v>
      </x:c>
      <x:c r="F66" s="10" t="str">
        <x:v>—</x:v>
      </x:c>
      <x:c r="G66" s="10" t="str">
        <x:v>—</x:v>
      </x:c>
      <x:c r="H66" s="10" t="str">
        <x:v>—</x:v>
      </x:c>
      <x:c r="I66" s="10" t="str">
        <x:v>—</x:v>
      </x:c>
      <x:c r="J66" s="10" t="str">
        <x:v>—</x:v>
      </x:c>
      <x:c r="K66" s="10" t="str">
        <x:v>—</x:v>
      </x:c>
      <x:c r="L66" s="10" t="str">
        <x:v>—</x:v>
      </x:c>
      <x:c r="M66" s="10" t="str">
        <x:v>—</x:v>
      </x:c>
      <x:c r="N66" s="10" t="str">
        <x:v>—</x:v>
      </x:c>
      <x:c r="O66" s="10" t="str">
        <x:v>—</x:v>
      </x:c>
      <x:c r="P66" s="10" t="str">
        <x:v>—</x:v>
      </x:c>
    </x:row>
    <x:row r="67" ht="38" customHeight="1">
      <x:c r="A67" s="10" t="str">
        <x:v>form.test</x:v>
      </x:c>
      <x:c r="B67" s="10" t="str">
        <x:v>—</x:v>
      </x:c>
      <x:c r="C67" s="10" t="str">
        <x:v>—</x:v>
      </x:c>
      <x:c r="D67" s="10" t="str">
        <x:v>Template</x:v>
      </x:c>
      <x:c r="E67" s="10" t="str">
        <x:v>—</x:v>
      </x:c>
      <x:c r="F67" s="10" t="str">
        <x:v>Template</x:v>
      </x:c>
      <x:c r="G67" s="10" t="str">
        <x:v>—</x:v>
      </x:c>
      <x:c r="H67" s="10" t="str">
        <x:v>—</x:v>
      </x:c>
      <x:c r="I67" s="10" t="str">
        <x:v>—</x:v>
      </x:c>
      <x:c r="J67" s="10" t="str">
        <x:v>—</x:v>
      </x:c>
      <x:c r="K67" s="10" t="str">
        <x:v>—</x:v>
      </x:c>
      <x:c r="L67" s="10" t="str">
        <x:v>—</x:v>
      </x:c>
      <x:c r="M67" s="10" t="str">
        <x:v>—</x:v>
      </x:c>
      <x:c r="N67" s="10" t="str">
        <x:v>—</x:v>
      </x:c>
      <x:c r="O67" s="10" t="str">
        <x:v>—</x:v>
      </x:c>
      <x:c r="P67" s="10" t="str">
        <x:v>—</x:v>
      </x:c>
    </x:row>
    <x:row r="68" ht="38" customHeight="1">
      <x:c r="A68" s="10" t="str">
        <x:v>forms.draft.create</x:v>
      </x:c>
      <x:c r="B68" s="10" t="str">
        <x:v>—</x:v>
      </x:c>
      <x:c r="C68" s="10" t="str">
        <x:v>—</x:v>
      </x:c>
      <x:c r="D68" s="10" t="str">
        <x:v>Template</x:v>
      </x:c>
      <x:c r="E68" s="10" t="str">
        <x:v>—</x:v>
      </x:c>
      <x:c r="F68" s="10" t="str">
        <x:v>Template</x:v>
      </x:c>
      <x:c r="G68" s="10" t="str">
        <x:v>—</x:v>
      </x:c>
      <x:c r="H68" s="10" t="str">
        <x:v>—</x:v>
      </x:c>
      <x:c r="I68" s="10" t="str">
        <x:v>—</x:v>
      </x:c>
      <x:c r="J68" s="10" t="str">
        <x:v>—</x:v>
      </x:c>
      <x:c r="K68" s="10" t="str">
        <x:v>—</x:v>
      </x:c>
      <x:c r="L68" s="10" t="str">
        <x:v>—</x:v>
      </x:c>
      <x:c r="M68" s="10" t="str">
        <x:v>—</x:v>
      </x:c>
      <x:c r="N68" s="10" t="str">
        <x:v>—</x:v>
      </x:c>
      <x:c r="O68" s="10" t="str">
        <x:v>—</x:v>
      </x:c>
      <x:c r="P68" s="10" t="str">
        <x:v>—</x:v>
      </x:c>
    </x:row>
    <x:row r="69" ht="38" customHeight="1">
      <x:c r="A69" s="10" t="str">
        <x:v>forms.draft.edit</x:v>
      </x:c>
      <x:c r="B69" s="10" t="str">
        <x:v>—</x:v>
      </x:c>
      <x:c r="C69" s="10" t="str">
        <x:v>—</x:v>
      </x:c>
      <x:c r="D69" s="10" t="str">
        <x:v>Template</x:v>
      </x:c>
      <x:c r="E69" s="10" t="str">
        <x:v>—</x:v>
      </x:c>
      <x:c r="F69" s="10" t="str">
        <x:v>Template</x:v>
      </x:c>
      <x:c r="G69" s="10" t="str">
        <x:v>—</x:v>
      </x:c>
      <x:c r="H69" s="10" t="str">
        <x:v>—</x:v>
      </x:c>
      <x:c r="I69" s="10" t="str">
        <x:v>—</x:v>
      </x:c>
      <x:c r="J69" s="10" t="str">
        <x:v>—</x:v>
      </x:c>
      <x:c r="K69" s="10" t="str">
        <x:v>—</x:v>
      </x:c>
      <x:c r="L69" s="10" t="str">
        <x:v>—</x:v>
      </x:c>
      <x:c r="M69" s="10" t="str">
        <x:v>—</x:v>
      </x:c>
      <x:c r="N69" s="10" t="str">
        <x:v>—</x:v>
      </x:c>
      <x:c r="O69" s="10" t="str">
        <x:v>—</x:v>
      </x:c>
      <x:c r="P69" s="10" t="str">
        <x:v>—</x:v>
      </x:c>
    </x:row>
    <x:row r="70" ht="38" customHeight="1">
      <x:c r="A70" s="10" t="str">
        <x:v>forms.read</x:v>
      </x:c>
      <x:c r="B70" s="10" t="str">
        <x:v>—</x:v>
      </x:c>
      <x:c r="C70" s="10" t="str">
        <x:v>—</x:v>
      </x:c>
      <x:c r="D70" s="10" t="str">
        <x:v>Template</x:v>
      </x:c>
      <x:c r="E70" s="10" t="str">
        <x:v>Template</x:v>
      </x:c>
      <x:c r="F70" s="10" t="str">
        <x:v>Template</x:v>
      </x:c>
      <x:c r="G70" s="10" t="str">
        <x:v>Template</x:v>
      </x:c>
      <x:c r="H70" s="10" t="str">
        <x:v>Template</x:v>
      </x:c>
      <x:c r="I70" s="10" t="str">
        <x:v>Template</x:v>
      </x:c>
      <x:c r="J70" s="10" t="str">
        <x:v>—</x:v>
      </x:c>
      <x:c r="K70" s="10" t="str">
        <x:v>—</x:v>
      </x:c>
      <x:c r="L70" s="10" t="str">
        <x:v>—</x:v>
      </x:c>
      <x:c r="M70" s="10" t="str">
        <x:v>—</x:v>
      </x:c>
      <x:c r="N70" s="10" t="str">
        <x:v>—</x:v>
      </x:c>
      <x:c r="O70" s="10" t="str">
        <x:v>—</x:v>
      </x:c>
      <x:c r="P70" s="10" t="str">
        <x:v>—</x:v>
      </x:c>
    </x:row>
    <x:row r="71" ht="38" customHeight="1">
      <x:c r="A71" s="10" t="str">
        <x:v>framework.submit</x:v>
      </x:c>
      <x:c r="B71" s="10" t="str">
        <x:v>—</x:v>
      </x:c>
      <x:c r="C71" s="10" t="str">
        <x:v>—</x:v>
      </x:c>
      <x:c r="D71" s="10" t="str">
        <x:v>Template</x:v>
      </x:c>
      <x:c r="E71" s="10" t="str">
        <x:v>—</x:v>
      </x:c>
      <x:c r="F71" s="10" t="str">
        <x:v>Template</x:v>
      </x:c>
      <x:c r="G71" s="10" t="str">
        <x:v>—</x:v>
      </x:c>
      <x:c r="H71" s="10" t="str">
        <x:v>—</x:v>
      </x:c>
      <x:c r="I71" s="10" t="str">
        <x:v>—</x:v>
      </x:c>
      <x:c r="J71" s="10" t="str">
        <x:v>—</x:v>
      </x:c>
      <x:c r="K71" s="10" t="str">
        <x:v>—</x:v>
      </x:c>
      <x:c r="L71" s="10" t="str">
        <x:v>—</x:v>
      </x:c>
      <x:c r="M71" s="10" t="str">
        <x:v>—</x:v>
      </x:c>
      <x:c r="N71" s="10" t="str">
        <x:v>—</x:v>
      </x:c>
      <x:c r="O71" s="10" t="str">
        <x:v>—</x:v>
      </x:c>
      <x:c r="P71" s="10" t="str">
        <x:v>—</x:v>
      </x:c>
    </x:row>
    <x:row r="72" ht="38" customHeight="1">
      <x:c r="A72" s="10" t="str">
        <x:v>frameworks.draft.create</x:v>
      </x:c>
      <x:c r="B72" s="10" t="str">
        <x:v>—</x:v>
      </x:c>
      <x:c r="C72" s="10" t="str">
        <x:v>—</x:v>
      </x:c>
      <x:c r="D72" s="10" t="str">
        <x:v>Template</x:v>
      </x:c>
      <x:c r="E72" s="10" t="str">
        <x:v>—</x:v>
      </x:c>
      <x:c r="F72" s="10" t="str">
        <x:v>Template</x:v>
      </x:c>
      <x:c r="G72" s="10" t="str">
        <x:v>—</x:v>
      </x:c>
      <x:c r="H72" s="10" t="str">
        <x:v>—</x:v>
      </x:c>
      <x:c r="I72" s="10" t="str">
        <x:v>—</x:v>
      </x:c>
      <x:c r="J72" s="10" t="str">
        <x:v>—</x:v>
      </x:c>
      <x:c r="K72" s="10" t="str">
        <x:v>—</x:v>
      </x:c>
      <x:c r="L72" s="10" t="str">
        <x:v>—</x:v>
      </x:c>
      <x:c r="M72" s="10" t="str">
        <x:v>—</x:v>
      </x:c>
      <x:c r="N72" s="10" t="str">
        <x:v>—</x:v>
      </x:c>
      <x:c r="O72" s="10" t="str">
        <x:v>—</x:v>
      </x:c>
      <x:c r="P72" s="10" t="str">
        <x:v>—</x:v>
      </x:c>
    </x:row>
    <x:row r="73" ht="38" customHeight="1">
      <x:c r="A73" s="10" t="str">
        <x:v>frameworks.draft.edit</x:v>
      </x:c>
      <x:c r="B73" s="10" t="str">
        <x:v>—</x:v>
      </x:c>
      <x:c r="C73" s="10" t="str">
        <x:v>—</x:v>
      </x:c>
      <x:c r="D73" s="10" t="str">
        <x:v>Template</x:v>
      </x:c>
      <x:c r="E73" s="10" t="str">
        <x:v>—</x:v>
      </x:c>
      <x:c r="F73" s="10" t="str">
        <x:v>Template</x:v>
      </x:c>
      <x:c r="G73" s="10" t="str">
        <x:v>—</x:v>
      </x:c>
      <x:c r="H73" s="10" t="str">
        <x:v>—</x:v>
      </x:c>
      <x:c r="I73" s="10" t="str">
        <x:v>—</x:v>
      </x:c>
      <x:c r="J73" s="10" t="str">
        <x:v>—</x:v>
      </x:c>
      <x:c r="K73" s="10" t="str">
        <x:v>—</x:v>
      </x:c>
      <x:c r="L73" s="10" t="str">
        <x:v>—</x:v>
      </x:c>
      <x:c r="M73" s="10" t="str">
        <x:v>—</x:v>
      </x:c>
      <x:c r="N73" s="10" t="str">
        <x:v>—</x:v>
      </x:c>
      <x:c r="O73" s="10" t="str">
        <x:v>—</x:v>
      </x:c>
      <x:c r="P73" s="10" t="str">
        <x:v>—</x:v>
      </x:c>
    </x:row>
    <x:row r="74" ht="38" customHeight="1">
      <x:c r="A74" s="10" t="str">
        <x:v>frameworks.read</x:v>
      </x:c>
      <x:c r="B74" s="10" t="str">
        <x:v>—</x:v>
      </x:c>
      <x:c r="C74" s="10" t="str">
        <x:v>—</x:v>
      </x:c>
      <x:c r="D74" s="10" t="str">
        <x:v>Template</x:v>
      </x:c>
      <x:c r="E74" s="10" t="str">
        <x:v>Template</x:v>
      </x:c>
      <x:c r="F74" s="10" t="str">
        <x:v>Template</x:v>
      </x:c>
      <x:c r="G74" s="10" t="str">
        <x:v>Template</x:v>
      </x:c>
      <x:c r="H74" s="10" t="str">
        <x:v>—</x:v>
      </x:c>
      <x:c r="I74" s="10" t="str">
        <x:v>Template</x:v>
      </x:c>
      <x:c r="J74" s="10" t="str">
        <x:v>Template</x:v>
      </x:c>
      <x:c r="K74" s="10" t="str">
        <x:v>—</x:v>
      </x:c>
      <x:c r="L74" s="10" t="str">
        <x:v>—</x:v>
      </x:c>
      <x:c r="M74" s="10" t="str">
        <x:v>—</x:v>
      </x:c>
      <x:c r="N74" s="10" t="str">
        <x:v>—</x:v>
      </x:c>
      <x:c r="O74" s="10" t="str">
        <x:v>—</x:v>
      </x:c>
      <x:c r="P74" s="10" t="str">
        <x:v>Template</x:v>
      </x:c>
    </x:row>
    <x:row r="75" ht="38" customHeight="1">
      <x:c r="A75" s="10" t="str">
        <x:v>funding-agreements.draft.create</x:v>
      </x:c>
      <x:c r="B75" s="10" t="str">
        <x:v>—</x:v>
      </x:c>
      <x:c r="C75" s="10" t="str">
        <x:v>—</x:v>
      </x:c>
      <x:c r="D75" s="10" t="str">
        <x:v>—</x:v>
      </x:c>
      <x:c r="E75" s="10" t="str">
        <x:v>—</x:v>
      </x:c>
      <x:c r="F75" s="10" t="str">
        <x:v>—</x:v>
      </x:c>
      <x:c r="G75" s="10" t="str">
        <x:v>—</x:v>
      </x:c>
      <x:c r="H75" s="10" t="str">
        <x:v>—</x:v>
      </x:c>
      <x:c r="I75" s="10" t="str">
        <x:v>—</x:v>
      </x:c>
      <x:c r="J75" s="10" t="str">
        <x:v>—</x:v>
      </x:c>
      <x:c r="K75" s="10" t="str">
        <x:v>Template</x:v>
      </x:c>
      <x:c r="L75" s="10" t="str">
        <x:v>—</x:v>
      </x:c>
      <x:c r="M75" s="10" t="str">
        <x:v>—</x:v>
      </x:c>
      <x:c r="N75" s="10" t="str">
        <x:v>—</x:v>
      </x:c>
      <x:c r="O75" s="10" t="str">
        <x:v>—</x:v>
      </x:c>
      <x:c r="P75" s="10" t="str">
        <x:v>—</x:v>
      </x:c>
    </x:row>
    <x:row r="76" ht="38" customHeight="1">
      <x:c r="A76" s="10" t="str">
        <x:v>funding-agreements.draft.edit</x:v>
      </x:c>
      <x:c r="B76" s="10" t="str">
        <x:v>—</x:v>
      </x:c>
      <x:c r="C76" s="10" t="str">
        <x:v>—</x:v>
      </x:c>
      <x:c r="D76" s="10" t="str">
        <x:v>—</x:v>
      </x:c>
      <x:c r="E76" s="10" t="str">
        <x:v>—</x:v>
      </x:c>
      <x:c r="F76" s="10" t="str">
        <x:v>—</x:v>
      </x:c>
      <x:c r="G76" s="10" t="str">
        <x:v>—</x:v>
      </x:c>
      <x:c r="H76" s="10" t="str">
        <x:v>—</x:v>
      </x:c>
      <x:c r="I76" s="10" t="str">
        <x:v>—</x:v>
      </x:c>
      <x:c r="J76" s="10" t="str">
        <x:v>—</x:v>
      </x:c>
      <x:c r="K76" s="10" t="str">
        <x:v>Template</x:v>
      </x:c>
      <x:c r="L76" s="10" t="str">
        <x:v>—</x:v>
      </x:c>
      <x:c r="M76" s="10" t="str">
        <x:v>—</x:v>
      </x:c>
      <x:c r="N76" s="10" t="str">
        <x:v>—</x:v>
      </x:c>
      <x:c r="O76" s="10" t="str">
        <x:v>—</x:v>
      </x:c>
      <x:c r="P76" s="10" t="str">
        <x:v>—</x:v>
      </x:c>
    </x:row>
    <x:row r="77" ht="38" customHeight="1">
      <x:c r="A77" s="10" t="str">
        <x:v>funding-agreements.read</x:v>
      </x:c>
      <x:c r="B77" s="10" t="str">
        <x:v>—</x:v>
      </x:c>
      <x:c r="C77" s="10" t="str">
        <x:v>—</x:v>
      </x:c>
      <x:c r="D77" s="10" t="str">
        <x:v>—</x:v>
      </x:c>
      <x:c r="E77" s="10" t="str">
        <x:v>—</x:v>
      </x:c>
      <x:c r="F77" s="10" t="str">
        <x:v>—</x:v>
      </x:c>
      <x:c r="G77" s="10" t="str">
        <x:v>—</x:v>
      </x:c>
      <x:c r="H77" s="10" t="str">
        <x:v>—</x:v>
      </x:c>
      <x:c r="I77" s="10" t="str">
        <x:v>—</x:v>
      </x:c>
      <x:c r="J77" s="10" t="str">
        <x:v>—</x:v>
      </x:c>
      <x:c r="K77" s="10" t="str">
        <x:v>Template</x:v>
      </x:c>
      <x:c r="L77" s="10" t="str">
        <x:v>—</x:v>
      </x:c>
      <x:c r="M77" s="10" t="str">
        <x:v>—</x:v>
      </x:c>
      <x:c r="N77" s="10" t="str">
        <x:v>—</x:v>
      </x:c>
      <x:c r="O77" s="10" t="str">
        <x:v>—</x:v>
      </x:c>
      <x:c r="P77" s="10" t="str">
        <x:v>—</x:v>
      </x:c>
    </x:row>
    <x:row r="78" ht="38" customHeight="1">
      <x:c r="A78" s="10" t="str">
        <x:v>grant.request</x:v>
      </x:c>
      <x:c r="B78" s="10" t="str">
        <x:v>Template</x:v>
      </x:c>
      <x:c r="C78" s="10" t="str">
        <x:v>Template</x:v>
      </x:c>
      <x:c r="D78" s="10" t="str">
        <x:v>—</x:v>
      </x:c>
      <x:c r="E78" s="10" t="str">
        <x:v>—</x:v>
      </x:c>
      <x:c r="F78" s="10" t="str">
        <x:v>—</x:v>
      </x:c>
      <x:c r="G78" s="10" t="str">
        <x:v>—</x:v>
      </x:c>
      <x:c r="H78" s="10" t="str">
        <x:v>—</x:v>
      </x:c>
      <x:c r="I78" s="10" t="str">
        <x:v>—</x:v>
      </x:c>
      <x:c r="J78" s="10" t="str">
        <x:v>—</x:v>
      </x:c>
      <x:c r="K78" s="10" t="str">
        <x:v>—</x:v>
      </x:c>
      <x:c r="L78" s="10" t="str">
        <x:v>—</x:v>
      </x:c>
      <x:c r="M78" s="10" t="str">
        <x:v>—</x:v>
      </x:c>
      <x:c r="N78" s="10" t="str">
        <x:v>—</x:v>
      </x:c>
      <x:c r="O78" s="10" t="str">
        <x:v>—</x:v>
      </x:c>
      <x:c r="P78" s="10" t="str">
        <x:v>—</x:v>
      </x:c>
    </x:row>
    <x:row r="79" ht="38" customHeight="1">
      <x:c r="A79" s="10" t="str">
        <x:v>grant.revoke</x:v>
      </x:c>
      <x:c r="B79" s="10" t="str">
        <x:v>Template</x:v>
      </x:c>
      <x:c r="C79" s="10" t="str">
        <x:v>Template</x:v>
      </x:c>
      <x:c r="D79" s="10" t="str">
        <x:v>—</x:v>
      </x:c>
      <x:c r="E79" s="10" t="str">
        <x:v>—</x:v>
      </x:c>
      <x:c r="F79" s="10" t="str">
        <x:v>—</x:v>
      </x:c>
      <x:c r="G79" s="10" t="str">
        <x:v>—</x:v>
      </x:c>
      <x:c r="H79" s="10" t="str">
        <x:v>—</x:v>
      </x:c>
      <x:c r="I79" s="10" t="str">
        <x:v>—</x:v>
      </x:c>
      <x:c r="J79" s="10" t="str">
        <x:v>—</x:v>
      </x:c>
      <x:c r="K79" s="10" t="str">
        <x:v>—</x:v>
      </x:c>
      <x:c r="L79" s="10" t="str">
        <x:v>—</x:v>
      </x:c>
      <x:c r="M79" s="10" t="str">
        <x:v>—</x:v>
      </x:c>
      <x:c r="N79" s="10" t="str">
        <x:v>—</x:v>
      </x:c>
      <x:c r="O79" s="10" t="str">
        <x:v>—</x:v>
      </x:c>
      <x:c r="P79" s="10" t="str">
        <x:v>—</x:v>
      </x:c>
    </x:row>
    <x:row r="80" ht="38" customHeight="1">
      <x:c r="A80" s="10" t="str">
        <x:v>grants.read</x:v>
      </x:c>
      <x:c r="B80" s="10" t="str">
        <x:v>Template</x:v>
      </x:c>
      <x:c r="C80" s="10" t="str">
        <x:v>Template</x:v>
      </x:c>
      <x:c r="D80" s="10" t="str">
        <x:v>—</x:v>
      </x:c>
      <x:c r="E80" s="10" t="str">
        <x:v>—</x:v>
      </x:c>
      <x:c r="F80" s="10" t="str">
        <x:v>—</x:v>
      </x:c>
      <x:c r="G80" s="10" t="str">
        <x:v>—</x:v>
      </x:c>
      <x:c r="H80" s="10" t="str">
        <x:v>—</x:v>
      </x:c>
      <x:c r="I80" s="10" t="str">
        <x:v>—</x:v>
      </x:c>
      <x:c r="J80" s="10" t="str">
        <x:v>—</x:v>
      </x:c>
      <x:c r="K80" s="10" t="str">
        <x:v>—</x:v>
      </x:c>
      <x:c r="L80" s="10" t="str">
        <x:v>—</x:v>
      </x:c>
      <x:c r="M80" s="10" t="str">
        <x:v>—</x:v>
      </x:c>
      <x:c r="N80" s="10" t="str">
        <x:v>—</x:v>
      </x:c>
      <x:c r="O80" s="10" t="str">
        <x:v>—</x:v>
      </x:c>
      <x:c r="P80" s="10" t="str">
        <x:v>—</x:v>
      </x:c>
    </x:row>
    <x:row r="81" ht="38" customHeight="1">
      <x:c r="A81" s="10" t="str">
        <x:v>handling-records.read</x:v>
      </x:c>
      <x:c r="B81" s="10" t="str">
        <x:v>—</x:v>
      </x:c>
      <x:c r="C81" s="10" t="str">
        <x:v>—</x:v>
      </x:c>
      <x:c r="D81" s="10" t="str">
        <x:v>—</x:v>
      </x:c>
      <x:c r="E81" s="10" t="str">
        <x:v>—</x:v>
      </x:c>
      <x:c r="F81" s="10" t="str">
        <x:v>—</x:v>
      </x:c>
      <x:c r="G81" s="10" t="str">
        <x:v>—</x:v>
      </x:c>
      <x:c r="H81" s="10" t="str">
        <x:v>—</x:v>
      </x:c>
      <x:c r="I81" s="10" t="str">
        <x:v>—</x:v>
      </x:c>
      <x:c r="J81" s="10" t="str">
        <x:v>—</x:v>
      </x:c>
      <x:c r="K81" s="10" t="str">
        <x:v>—</x:v>
      </x:c>
      <x:c r="L81" s="10" t="str">
        <x:v>Template</x:v>
      </x:c>
      <x:c r="M81" s="10" t="str">
        <x:v>—</x:v>
      </x:c>
      <x:c r="N81" s="10" t="str">
        <x:v>—</x:v>
      </x:c>
      <x:c r="O81" s="10" t="str">
        <x:v>—</x:v>
      </x:c>
      <x:c r="P81" s="10" t="str">
        <x:v>—</x:v>
      </x:c>
    </x:row>
    <x:row r="82" ht="38" customHeight="1">
      <x:c r="A82" s="10" t="str">
        <x:v>handling.record</x:v>
      </x:c>
      <x:c r="B82" s="10" t="str">
        <x:v>—</x:v>
      </x:c>
      <x:c r="C82" s="10" t="str">
        <x:v>—</x:v>
      </x:c>
      <x:c r="D82" s="10" t="str">
        <x:v>—</x:v>
      </x:c>
      <x:c r="E82" s="10" t="str">
        <x:v>—</x:v>
      </x:c>
      <x:c r="F82" s="10" t="str">
        <x:v>Template</x:v>
      </x:c>
      <x:c r="G82" s="10" t="str">
        <x:v>—</x:v>
      </x:c>
      <x:c r="H82" s="10" t="str">
        <x:v>—</x:v>
      </x:c>
      <x:c r="I82" s="10" t="str">
        <x:v>—</x:v>
      </x:c>
      <x:c r="J82" s="10" t="str">
        <x:v>—</x:v>
      </x:c>
      <x:c r="K82" s="10" t="str">
        <x:v>—</x:v>
      </x:c>
      <x:c r="L82" s="10" t="str">
        <x:v>Template</x:v>
      </x:c>
      <x:c r="M82" s="10" t="str">
        <x:v>—</x:v>
      </x:c>
      <x:c r="N82" s="10" t="str">
        <x:v>—</x:v>
      </x:c>
      <x:c r="O82" s="10" t="str">
        <x:v>—</x:v>
      </x:c>
      <x:c r="P82" s="10" t="str">
        <x:v>—</x:v>
      </x:c>
    </x:row>
    <x:row r="83" ht="38" customHeight="1">
      <x:c r="A83" s="10" t="str">
        <x:v>import.cancel</x:v>
      </x:c>
      <x:c r="B83" s="10" t="str">
        <x:v>—</x:v>
      </x:c>
      <x:c r="C83" s="10" t="str">
        <x:v>—</x:v>
      </x:c>
      <x:c r="D83" s="10" t="str">
        <x:v>—</x:v>
      </x:c>
      <x:c r="E83" s="10" t="str">
        <x:v>—</x:v>
      </x:c>
      <x:c r="F83" s="10" t="str">
        <x:v>—</x:v>
      </x:c>
      <x:c r="G83" s="10" t="str">
        <x:v>—</x:v>
      </x:c>
      <x:c r="H83" s="10" t="str">
        <x:v>—</x:v>
      </x:c>
      <x:c r="I83" s="10" t="str">
        <x:v>Template</x:v>
      </x:c>
      <x:c r="J83" s="10" t="str">
        <x:v>—</x:v>
      </x:c>
      <x:c r="K83" s="10" t="str">
        <x:v>—</x:v>
      </x:c>
      <x:c r="L83" s="10" t="str">
        <x:v>—</x:v>
      </x:c>
      <x:c r="M83" s="10" t="str">
        <x:v>—</x:v>
      </x:c>
      <x:c r="N83" s="10" t="str">
        <x:v>—</x:v>
      </x:c>
      <x:c r="O83" s="10" t="str">
        <x:v>—</x:v>
      </x:c>
      <x:c r="P83" s="10" t="str">
        <x:v>—</x:v>
      </x:c>
    </x:row>
    <x:row r="84" ht="38" customHeight="1">
      <x:c r="A84" s="10" t="str">
        <x:v>import.commit</x:v>
      </x:c>
      <x:c r="B84" s="10" t="str">
        <x:v>—</x:v>
      </x:c>
      <x:c r="C84" s="10" t="str">
        <x:v>—</x:v>
      </x:c>
      <x:c r="D84" s="10" t="str">
        <x:v>—</x:v>
      </x:c>
      <x:c r="E84" s="10" t="str">
        <x:v>—</x:v>
      </x:c>
      <x:c r="F84" s="10" t="str">
        <x:v>—</x:v>
      </x:c>
      <x:c r="G84" s="10" t="str">
        <x:v>—</x:v>
      </x:c>
      <x:c r="H84" s="10" t="str">
        <x:v>—</x:v>
      </x:c>
      <x:c r="I84" s="10" t="str">
        <x:v>Template</x:v>
      </x:c>
      <x:c r="J84" s="10" t="str">
        <x:v>—</x:v>
      </x:c>
      <x:c r="K84" s="10" t="str">
        <x:v>—</x:v>
      </x:c>
      <x:c r="L84" s="10" t="str">
        <x:v>—</x:v>
      </x:c>
      <x:c r="M84" s="10" t="str">
        <x:v>—</x:v>
      </x:c>
      <x:c r="N84" s="10" t="str">
        <x:v>—</x:v>
      </x:c>
      <x:c r="O84" s="10" t="str">
        <x:v>—</x:v>
      </x:c>
      <x:c r="P84" s="10" t="str">
        <x:v>—</x:v>
      </x:c>
    </x:row>
    <x:row r="85" ht="38" customHeight="1">
      <x:c r="A85" s="10" t="str">
        <x:v>import.create</x:v>
      </x:c>
      <x:c r="B85" s="10" t="str">
        <x:v>—</x:v>
      </x:c>
      <x:c r="C85" s="10" t="str">
        <x:v>—</x:v>
      </x:c>
      <x:c r="D85" s="10" t="str">
        <x:v>—</x:v>
      </x:c>
      <x:c r="E85" s="10" t="str">
        <x:v>—</x:v>
      </x:c>
      <x:c r="F85" s="10" t="str">
        <x:v>—</x:v>
      </x:c>
      <x:c r="G85" s="10" t="str">
        <x:v>—</x:v>
      </x:c>
      <x:c r="H85" s="10" t="str">
        <x:v>—</x:v>
      </x:c>
      <x:c r="I85" s="10" t="str">
        <x:v>Template</x:v>
      </x:c>
      <x:c r="J85" s="10" t="str">
        <x:v>—</x:v>
      </x:c>
      <x:c r="K85" s="10" t="str">
        <x:v>—</x:v>
      </x:c>
      <x:c r="L85" s="10" t="str">
        <x:v>—</x:v>
      </x:c>
      <x:c r="M85" s="10" t="str">
        <x:v>—</x:v>
      </x:c>
      <x:c r="N85" s="10" t="str">
        <x:v>—</x:v>
      </x:c>
      <x:c r="O85" s="10" t="str">
        <x:v>—</x:v>
      </x:c>
      <x:c r="P85" s="10" t="str">
        <x:v>—</x:v>
      </x:c>
    </x:row>
    <x:row r="86" ht="38" customHeight="1">
      <x:c r="A86" s="10" t="str">
        <x:v>import.preview</x:v>
      </x:c>
      <x:c r="B86" s="10" t="str">
        <x:v>—</x:v>
      </x:c>
      <x:c r="C86" s="10" t="str">
        <x:v>—</x:v>
      </x:c>
      <x:c r="D86" s="10" t="str">
        <x:v>—</x:v>
      </x:c>
      <x:c r="E86" s="10" t="str">
        <x:v>—</x:v>
      </x:c>
      <x:c r="F86" s="10" t="str">
        <x:v>—</x:v>
      </x:c>
      <x:c r="G86" s="10" t="str">
        <x:v>—</x:v>
      </x:c>
      <x:c r="H86" s="10" t="str">
        <x:v>—</x:v>
      </x:c>
      <x:c r="I86" s="10" t="str">
        <x:v>Template</x:v>
      </x:c>
      <x:c r="J86" s="10" t="str">
        <x:v>—</x:v>
      </x:c>
      <x:c r="K86" s="10" t="str">
        <x:v>—</x:v>
      </x:c>
      <x:c r="L86" s="10" t="str">
        <x:v>—</x:v>
      </x:c>
      <x:c r="M86" s="10" t="str">
        <x:v>—</x:v>
      </x:c>
      <x:c r="N86" s="10" t="str">
        <x:v>—</x:v>
      </x:c>
      <x:c r="O86" s="10" t="str">
        <x:v>—</x:v>
      </x:c>
      <x:c r="P86" s="10" t="str">
        <x:v>—</x:v>
      </x:c>
    </x:row>
    <x:row r="87" ht="38" customHeight="1">
      <x:c r="A87" s="10" t="str">
        <x:v>imports.read</x:v>
      </x:c>
      <x:c r="B87" s="10" t="str">
        <x:v>—</x:v>
      </x:c>
      <x:c r="C87" s="10" t="str">
        <x:v>—</x:v>
      </x:c>
      <x:c r="D87" s="10" t="str">
        <x:v>Template</x:v>
      </x:c>
      <x:c r="E87" s="10" t="str">
        <x:v>Template</x:v>
      </x:c>
      <x:c r="F87" s="10" t="str">
        <x:v>Template</x:v>
      </x:c>
      <x:c r="G87" s="10" t="str">
        <x:v>Template</x:v>
      </x:c>
      <x:c r="H87" s="10" t="str">
        <x:v>—</x:v>
      </x:c>
      <x:c r="I87" s="10" t="str">
        <x:v>Template</x:v>
      </x:c>
      <x:c r="J87" s="10" t="str">
        <x:v>Template</x:v>
      </x:c>
      <x:c r="K87" s="10" t="str">
        <x:v>—</x:v>
      </x:c>
      <x:c r="L87" s="10" t="str">
        <x:v>—</x:v>
      </x:c>
      <x:c r="M87" s="10" t="str">
        <x:v>—</x:v>
      </x:c>
      <x:c r="N87" s="10" t="str">
        <x:v>—</x:v>
      </x:c>
      <x:c r="O87" s="10" t="str">
        <x:v>—</x:v>
      </x:c>
      <x:c r="P87" s="10" t="str">
        <x:v>Template</x:v>
      </x:c>
    </x:row>
    <x:row r="88" ht="38" customHeight="1">
      <x:c r="A88" s="10" t="str">
        <x:v>indicator-definitions.draft.create</x:v>
      </x:c>
      <x:c r="B88" s="10" t="str">
        <x:v>—</x:v>
      </x:c>
      <x:c r="C88" s="10" t="str">
        <x:v>—</x:v>
      </x:c>
      <x:c r="D88" s="10" t="str">
        <x:v>Template</x:v>
      </x:c>
      <x:c r="E88" s="10" t="str">
        <x:v>—</x:v>
      </x:c>
      <x:c r="F88" s="10" t="str">
        <x:v>Template</x:v>
      </x:c>
      <x:c r="G88" s="10" t="str">
        <x:v>—</x:v>
      </x:c>
      <x:c r="H88" s="10" t="str">
        <x:v>—</x:v>
      </x:c>
      <x:c r="I88" s="10" t="str">
        <x:v>—</x:v>
      </x:c>
      <x:c r="J88" s="10" t="str">
        <x:v>—</x:v>
      </x:c>
      <x:c r="K88" s="10" t="str">
        <x:v>—</x:v>
      </x:c>
      <x:c r="L88" s="10" t="str">
        <x:v>—</x:v>
      </x:c>
      <x:c r="M88" s="10" t="str">
        <x:v>—</x:v>
      </x:c>
      <x:c r="N88" s="10" t="str">
        <x:v>—</x:v>
      </x:c>
      <x:c r="O88" s="10" t="str">
        <x:v>—</x:v>
      </x:c>
      <x:c r="P88" s="10" t="str">
        <x:v>—</x:v>
      </x:c>
    </x:row>
    <x:row r="89" ht="38" customHeight="1">
      <x:c r="A89" s="10" t="str">
        <x:v>indicator-definitions.draft.edit</x:v>
      </x:c>
      <x:c r="B89" s="10" t="str">
        <x:v>—</x:v>
      </x:c>
      <x:c r="C89" s="10" t="str">
        <x:v>—</x:v>
      </x:c>
      <x:c r="D89" s="10" t="str">
        <x:v>Template</x:v>
      </x:c>
      <x:c r="E89" s="10" t="str">
        <x:v>—</x:v>
      </x:c>
      <x:c r="F89" s="10" t="str">
        <x:v>Template</x:v>
      </x:c>
      <x:c r="G89" s="10" t="str">
        <x:v>—</x:v>
      </x:c>
      <x:c r="H89" s="10" t="str">
        <x:v>—</x:v>
      </x:c>
      <x:c r="I89" s="10" t="str">
        <x:v>—</x:v>
      </x:c>
      <x:c r="J89" s="10" t="str">
        <x:v>—</x:v>
      </x:c>
      <x:c r="K89" s="10" t="str">
        <x:v>—</x:v>
      </x:c>
      <x:c r="L89" s="10" t="str">
        <x:v>—</x:v>
      </x:c>
      <x:c r="M89" s="10" t="str">
        <x:v>—</x:v>
      </x:c>
      <x:c r="N89" s="10" t="str">
        <x:v>—</x:v>
      </x:c>
      <x:c r="O89" s="10" t="str">
        <x:v>—</x:v>
      </x:c>
      <x:c r="P89" s="10" t="str">
        <x:v>—</x:v>
      </x:c>
    </x:row>
    <x:row r="90" ht="38" customHeight="1">
      <x:c r="A90" s="10" t="str">
        <x:v>indicator-definitions.read</x:v>
      </x:c>
      <x:c r="B90" s="10" t="str">
        <x:v>—</x:v>
      </x:c>
      <x:c r="C90" s="10" t="str">
        <x:v>—</x:v>
      </x:c>
      <x:c r="D90" s="10" t="str">
        <x:v>Template</x:v>
      </x:c>
      <x:c r="E90" s="10" t="str">
        <x:v>Template</x:v>
      </x:c>
      <x:c r="F90" s="10" t="str">
        <x:v>Template</x:v>
      </x:c>
      <x:c r="G90" s="10" t="str">
        <x:v>Template</x:v>
      </x:c>
      <x:c r="H90" s="10" t="str">
        <x:v>—</x:v>
      </x:c>
      <x:c r="I90" s="10" t="str">
        <x:v>Template</x:v>
      </x:c>
      <x:c r="J90" s="10" t="str">
        <x:v>Template</x:v>
      </x:c>
      <x:c r="K90" s="10" t="str">
        <x:v>—</x:v>
      </x:c>
      <x:c r="L90" s="10" t="str">
        <x:v>—</x:v>
      </x:c>
      <x:c r="M90" s="10" t="str">
        <x:v>—</x:v>
      </x:c>
      <x:c r="N90" s="10" t="str">
        <x:v>—</x:v>
      </x:c>
      <x:c r="O90" s="10" t="str">
        <x:v>—</x:v>
      </x:c>
      <x:c r="P90" s="10" t="str">
        <x:v>Template</x:v>
      </x:c>
    </x:row>
    <x:row r="91" ht="38" customHeight="1">
      <x:c r="A91" s="10" t="str">
        <x:v>indicator-instances.draft.create</x:v>
      </x:c>
      <x:c r="B91" s="10" t="str">
        <x:v>—</x:v>
      </x:c>
      <x:c r="C91" s="10" t="str">
        <x:v>—</x:v>
      </x:c>
      <x:c r="D91" s="10" t="str">
        <x:v>Template</x:v>
      </x:c>
      <x:c r="E91" s="10" t="str">
        <x:v>—</x:v>
      </x:c>
      <x:c r="F91" s="10" t="str">
        <x:v>Template</x:v>
      </x:c>
      <x:c r="G91" s="10" t="str">
        <x:v>—</x:v>
      </x:c>
      <x:c r="H91" s="10" t="str">
        <x:v>—</x:v>
      </x:c>
      <x:c r="I91" s="10" t="str">
        <x:v>—</x:v>
      </x:c>
      <x:c r="J91" s="10" t="str">
        <x:v>—</x:v>
      </x:c>
      <x:c r="K91" s="10" t="str">
        <x:v>—</x:v>
      </x:c>
      <x:c r="L91" s="10" t="str">
        <x:v>—</x:v>
      </x:c>
      <x:c r="M91" s="10" t="str">
        <x:v>—</x:v>
      </x:c>
      <x:c r="N91" s="10" t="str">
        <x:v>—</x:v>
      </x:c>
      <x:c r="O91" s="10" t="str">
        <x:v>—</x:v>
      </x:c>
      <x:c r="P91" s="10" t="str">
        <x:v>—</x:v>
      </x:c>
    </x:row>
    <x:row r="92" ht="38" customHeight="1">
      <x:c r="A92" s="10" t="str">
        <x:v>indicator-instances.draft.edit</x:v>
      </x:c>
      <x:c r="B92" s="10" t="str">
        <x:v>—</x:v>
      </x:c>
      <x:c r="C92" s="10" t="str">
        <x:v>—</x:v>
      </x:c>
      <x:c r="D92" s="10" t="str">
        <x:v>Template</x:v>
      </x:c>
      <x:c r="E92" s="10" t="str">
        <x:v>—</x:v>
      </x:c>
      <x:c r="F92" s="10" t="str">
        <x:v>Template</x:v>
      </x:c>
      <x:c r="G92" s="10" t="str">
        <x:v>—</x:v>
      </x:c>
      <x:c r="H92" s="10" t="str">
        <x:v>—</x:v>
      </x:c>
      <x:c r="I92" s="10" t="str">
        <x:v>—</x:v>
      </x:c>
      <x:c r="J92" s="10" t="str">
        <x:v>—</x:v>
      </x:c>
      <x:c r="K92" s="10" t="str">
        <x:v>—</x:v>
      </x:c>
      <x:c r="L92" s="10" t="str">
        <x:v>—</x:v>
      </x:c>
      <x:c r="M92" s="10" t="str">
        <x:v>—</x:v>
      </x:c>
      <x:c r="N92" s="10" t="str">
        <x:v>—</x:v>
      </x:c>
      <x:c r="O92" s="10" t="str">
        <x:v>—</x:v>
      </x:c>
      <x:c r="P92" s="10" t="str">
        <x:v>—</x:v>
      </x:c>
    </x:row>
    <x:row r="93" ht="38" customHeight="1">
      <x:c r="A93" s="10" t="str">
        <x:v>indicator-instances.read</x:v>
      </x:c>
      <x:c r="B93" s="10" t="str">
        <x:v>—</x:v>
      </x:c>
      <x:c r="C93" s="10" t="str">
        <x:v>—</x:v>
      </x:c>
      <x:c r="D93" s="10" t="str">
        <x:v>Template</x:v>
      </x:c>
      <x:c r="E93" s="10" t="str">
        <x:v>Template</x:v>
      </x:c>
      <x:c r="F93" s="10" t="str">
        <x:v>Template</x:v>
      </x:c>
      <x:c r="G93" s="10" t="str">
        <x:v>Template</x:v>
      </x:c>
      <x:c r="H93" s="10" t="str">
        <x:v>—</x:v>
      </x:c>
      <x:c r="I93" s="10" t="str">
        <x:v>Template</x:v>
      </x:c>
      <x:c r="J93" s="10" t="str">
        <x:v>Template</x:v>
      </x:c>
      <x:c r="K93" s="10" t="str">
        <x:v>—</x:v>
      </x:c>
      <x:c r="L93" s="10" t="str">
        <x:v>—</x:v>
      </x:c>
      <x:c r="M93" s="10" t="str">
        <x:v>—</x:v>
      </x:c>
      <x:c r="N93" s="10" t="str">
        <x:v>—</x:v>
      </x:c>
      <x:c r="O93" s="10" t="str">
        <x:v>—</x:v>
      </x:c>
      <x:c r="P93" s="10" t="str">
        <x:v>Template</x:v>
      </x:c>
    </x:row>
    <x:row r="94" ht="38" customHeight="1">
      <x:c r="A94" s="10" t="str">
        <x:v>indicator.submit</x:v>
      </x:c>
      <x:c r="B94" s="10" t="str">
        <x:v>—</x:v>
      </x:c>
      <x:c r="C94" s="10" t="str">
        <x:v>—</x:v>
      </x:c>
      <x:c r="D94" s="10" t="str">
        <x:v>Template</x:v>
      </x:c>
      <x:c r="E94" s="10" t="str">
        <x:v>—</x:v>
      </x:c>
      <x:c r="F94" s="10" t="str">
        <x:v>Template</x:v>
      </x:c>
      <x:c r="G94" s="10" t="str">
        <x:v>—</x:v>
      </x:c>
      <x:c r="H94" s="10" t="str">
        <x:v>—</x:v>
      </x:c>
      <x:c r="I94" s="10" t="str">
        <x:v>—</x:v>
      </x:c>
      <x:c r="J94" s="10" t="str">
        <x:v>—</x:v>
      </x:c>
      <x:c r="K94" s="10" t="str">
        <x:v>—</x:v>
      </x:c>
      <x:c r="L94" s="10" t="str">
        <x:v>—</x:v>
      </x:c>
      <x:c r="M94" s="10" t="str">
        <x:v>—</x:v>
      </x:c>
      <x:c r="N94" s="10" t="str">
        <x:v>—</x:v>
      </x:c>
      <x:c r="O94" s="10" t="str">
        <x:v>—</x:v>
      </x:c>
      <x:c r="P94" s="10" t="str">
        <x:v>—</x:v>
      </x:c>
    </x:row>
    <x:row r="95" ht="38" customHeight="1">
      <x:c r="A95" s="10" t="str">
        <x:v>invitation.accept</x:v>
      </x:c>
      <x:c r="B95" s="10" t="str">
        <x:v>—</x:v>
      </x:c>
      <x:c r="C95" s="10" t="str">
        <x:v>—</x:v>
      </x:c>
      <x:c r="D95" s="10" t="str">
        <x:v>—</x:v>
      </x:c>
      <x:c r="E95" s="10" t="str">
        <x:v>—</x:v>
      </x:c>
      <x:c r="F95" s="10" t="str">
        <x:v>—</x:v>
      </x:c>
      <x:c r="G95" s="10" t="str">
        <x:v>—</x:v>
      </x:c>
      <x:c r="H95" s="10" t="str">
        <x:v>—</x:v>
      </x:c>
      <x:c r="I95" s="10" t="str">
        <x:v>—</x:v>
      </x:c>
      <x:c r="J95" s="10" t="str">
        <x:v>—</x:v>
      </x:c>
      <x:c r="K95" s="10" t="str">
        <x:v>—</x:v>
      </x:c>
      <x:c r="L95" s="10" t="str">
        <x:v>—</x:v>
      </x:c>
      <x:c r="M95" s="10" t="str">
        <x:v>—</x:v>
      </x:c>
      <x:c r="N95" s="10" t="str">
        <x:v>—</x:v>
      </x:c>
      <x:c r="O95" s="10" t="str">
        <x:v>—</x:v>
      </x:c>
      <x:c r="P95" s="10" t="str">
        <x:v>Template</x:v>
      </x:c>
    </x:row>
    <x:row r="96" ht="38" customHeight="1">
      <x:c r="A96" s="10" t="str">
        <x:v>jobs.read</x:v>
      </x:c>
      <x:c r="B96" s="10" t="str">
        <x:v>Template</x:v>
      </x:c>
      <x:c r="C96" s="10" t="str">
        <x:v>Template</x:v>
      </x:c>
      <x:c r="D96" s="10" t="str">
        <x:v>Template</x:v>
      </x:c>
      <x:c r="E96" s="10" t="str">
        <x:v>Template</x:v>
      </x:c>
      <x:c r="F96" s="10" t="str">
        <x:v>Template</x:v>
      </x:c>
      <x:c r="G96" s="10" t="str">
        <x:v>Template</x:v>
      </x:c>
      <x:c r="H96" s="10" t="str">
        <x:v>Template</x:v>
      </x:c>
      <x:c r="I96" s="10" t="str">
        <x:v>Template</x:v>
      </x:c>
      <x:c r="J96" s="10" t="str">
        <x:v>Template</x:v>
      </x:c>
      <x:c r="K96" s="10" t="str">
        <x:v>Template</x:v>
      </x:c>
      <x:c r="L96" s="10" t="str">
        <x:v>Template</x:v>
      </x:c>
      <x:c r="M96" s="10" t="str">
        <x:v>Template</x:v>
      </x:c>
      <x:c r="N96" s="10" t="str">
        <x:v>Template</x:v>
      </x:c>
      <x:c r="O96" s="10" t="str">
        <x:v>Template</x:v>
      </x:c>
      <x:c r="P96" s="10" t="str">
        <x:v>Template</x:v>
      </x:c>
    </x:row>
    <x:row r="97" ht="38" customHeight="1">
      <x:c r="A97" s="10" t="str">
        <x:v>member.invite</x:v>
      </x:c>
      <x:c r="B97" s="10" t="str">
        <x:v>Template</x:v>
      </x:c>
      <x:c r="C97" s="10" t="str">
        <x:v>Template</x:v>
      </x:c>
      <x:c r="D97" s="10" t="str">
        <x:v>—</x:v>
      </x:c>
      <x:c r="E97" s="10" t="str">
        <x:v>—</x:v>
      </x:c>
      <x:c r="F97" s="10" t="str">
        <x:v>—</x:v>
      </x:c>
      <x:c r="G97" s="10" t="str">
        <x:v>—</x:v>
      </x:c>
      <x:c r="H97" s="10" t="str">
        <x:v>—</x:v>
      </x:c>
      <x:c r="I97" s="10" t="str">
        <x:v>—</x:v>
      </x:c>
      <x:c r="J97" s="10" t="str">
        <x:v>—</x:v>
      </x:c>
      <x:c r="K97" s="10" t="str">
        <x:v>—</x:v>
      </x:c>
      <x:c r="L97" s="10" t="str">
        <x:v>—</x:v>
      </x:c>
      <x:c r="M97" s="10" t="str">
        <x:v>—</x:v>
      </x:c>
      <x:c r="N97" s="10" t="str">
        <x:v>—</x:v>
      </x:c>
      <x:c r="O97" s="10" t="str">
        <x:v>—</x:v>
      </x:c>
      <x:c r="P97" s="10" t="str">
        <x:v>—</x:v>
      </x:c>
    </x:row>
    <x:row r="98" ht="38" customHeight="1">
      <x:c r="A98" s="10" t="str">
        <x:v>membership.revoke</x:v>
      </x:c>
      <x:c r="B98" s="10" t="str">
        <x:v>Template</x:v>
      </x:c>
      <x:c r="C98" s="10" t="str">
        <x:v>Template</x:v>
      </x:c>
      <x:c r="D98" s="10" t="str">
        <x:v>—</x:v>
      </x:c>
      <x:c r="E98" s="10" t="str">
        <x:v>—</x:v>
      </x:c>
      <x:c r="F98" s="10" t="str">
        <x:v>—</x:v>
      </x:c>
      <x:c r="G98" s="10" t="str">
        <x:v>—</x:v>
      </x:c>
      <x:c r="H98" s="10" t="str">
        <x:v>—</x:v>
      </x:c>
      <x:c r="I98" s="10" t="str">
        <x:v>—</x:v>
      </x:c>
      <x:c r="J98" s="10" t="str">
        <x:v>—</x:v>
      </x:c>
      <x:c r="K98" s="10" t="str">
        <x:v>—</x:v>
      </x:c>
      <x:c r="L98" s="10" t="str">
        <x:v>—</x:v>
      </x:c>
      <x:c r="M98" s="10" t="str">
        <x:v>—</x:v>
      </x:c>
      <x:c r="N98" s="10" t="str">
        <x:v>—</x:v>
      </x:c>
      <x:c r="O98" s="10" t="str">
        <x:v>—</x:v>
      </x:c>
      <x:c r="P98" s="10" t="str">
        <x:v>—</x:v>
      </x:c>
    </x:row>
    <x:row r="99" ht="38" customHeight="1">
      <x:c r="A99" s="10" t="str">
        <x:v>membership.suspend</x:v>
      </x:c>
      <x:c r="B99" s="10" t="str">
        <x:v>Template</x:v>
      </x:c>
      <x:c r="C99" s="10" t="str">
        <x:v>Template</x:v>
      </x:c>
      <x:c r="D99" s="10" t="str">
        <x:v>—</x:v>
      </x:c>
      <x:c r="E99" s="10" t="str">
        <x:v>—</x:v>
      </x:c>
      <x:c r="F99" s="10" t="str">
        <x:v>—</x:v>
      </x:c>
      <x:c r="G99" s="10" t="str">
        <x:v>—</x:v>
      </x:c>
      <x:c r="H99" s="10" t="str">
        <x:v>—</x:v>
      </x:c>
      <x:c r="I99" s="10" t="str">
        <x:v>—</x:v>
      </x:c>
      <x:c r="J99" s="10" t="str">
        <x:v>—</x:v>
      </x:c>
      <x:c r="K99" s="10" t="str">
        <x:v>—</x:v>
      </x:c>
      <x:c r="L99" s="10" t="str">
        <x:v>—</x:v>
      </x:c>
      <x:c r="M99" s="10" t="str">
        <x:v>—</x:v>
      </x:c>
      <x:c r="N99" s="10" t="str">
        <x:v>—</x:v>
      </x:c>
      <x:c r="O99" s="10" t="str">
        <x:v>—</x:v>
      </x:c>
      <x:c r="P99" s="10" t="str">
        <x:v>—</x:v>
      </x:c>
    </x:row>
    <x:row r="100" ht="38" customHeight="1">
      <x:c r="A100" s="10" t="str">
        <x:v>memberships.read</x:v>
      </x:c>
      <x:c r="B100" s="10" t="str">
        <x:v>Template</x:v>
      </x:c>
      <x:c r="C100" s="10" t="str">
        <x:v>Template</x:v>
      </x:c>
      <x:c r="D100" s="10" t="str">
        <x:v>—</x:v>
      </x:c>
      <x:c r="E100" s="10" t="str">
        <x:v>—</x:v>
      </x:c>
      <x:c r="F100" s="10" t="str">
        <x:v>—</x:v>
      </x:c>
      <x:c r="G100" s="10" t="str">
        <x:v>—</x:v>
      </x:c>
      <x:c r="H100" s="10" t="str">
        <x:v>—</x:v>
      </x:c>
      <x:c r="I100" s="10" t="str">
        <x:v>—</x:v>
      </x:c>
      <x:c r="J100" s="10" t="str">
        <x:v>—</x:v>
      </x:c>
      <x:c r="K100" s="10" t="str">
        <x:v>—</x:v>
      </x:c>
      <x:c r="L100" s="10" t="str">
        <x:v>—</x:v>
      </x:c>
      <x:c r="M100" s="10" t="str">
        <x:v>—</x:v>
      </x:c>
      <x:c r="N100" s="10" t="str">
        <x:v>—</x:v>
      </x:c>
      <x:c r="O100" s="10" t="str">
        <x:v>—</x:v>
      </x:c>
      <x:c r="P100" s="10" t="str">
        <x:v>—</x:v>
      </x:c>
    </x:row>
    <x:row r="101" ht="38" customHeight="1">
      <x:c r="A101" s="10" t="str">
        <x:v>notifications.read</x:v>
      </x:c>
      <x:c r="B101" s="10" t="str">
        <x:v>Template</x:v>
      </x:c>
      <x:c r="C101" s="10" t="str">
        <x:v>Template</x:v>
      </x:c>
      <x:c r="D101" s="10" t="str">
        <x:v>Template</x:v>
      </x:c>
      <x:c r="E101" s="10" t="str">
        <x:v>Template</x:v>
      </x:c>
      <x:c r="F101" s="10" t="str">
        <x:v>Template</x:v>
      </x:c>
      <x:c r="G101" s="10" t="str">
        <x:v>Template</x:v>
      </x:c>
      <x:c r="H101" s="10" t="str">
        <x:v>Template</x:v>
      </x:c>
      <x:c r="I101" s="10" t="str">
        <x:v>Template</x:v>
      </x:c>
      <x:c r="J101" s="10" t="str">
        <x:v>Template</x:v>
      </x:c>
      <x:c r="K101" s="10" t="str">
        <x:v>Template</x:v>
      </x:c>
      <x:c r="L101" s="10" t="str">
        <x:v>Template</x:v>
      </x:c>
      <x:c r="M101" s="10" t="str">
        <x:v>Template</x:v>
      </x:c>
      <x:c r="N101" s="10" t="str">
        <x:v>Template</x:v>
      </x:c>
      <x:c r="O101" s="10" t="str">
        <x:v>Template</x:v>
      </x:c>
      <x:c r="P101" s="10" t="str">
        <x:v>Template</x:v>
      </x:c>
    </x:row>
    <x:row r="102" ht="38" customHeight="1">
      <x:c r="A102" s="10" t="str">
        <x:v>observation.correct</x:v>
      </x:c>
      <x:c r="B102" s="10" t="str">
        <x:v>—</x:v>
      </x:c>
      <x:c r="C102" s="10" t="str">
        <x:v>—</x:v>
      </x:c>
      <x:c r="D102" s="10" t="str">
        <x:v>—</x:v>
      </x:c>
      <x:c r="E102" s="10" t="str">
        <x:v>—</x:v>
      </x:c>
      <x:c r="F102" s="10" t="str">
        <x:v>Template</x:v>
      </x:c>
      <x:c r="G102" s="10" t="str">
        <x:v>—</x:v>
      </x:c>
      <x:c r="H102" s="10" t="str">
        <x:v>—</x:v>
      </x:c>
      <x:c r="I102" s="10" t="str">
        <x:v>Template</x:v>
      </x:c>
      <x:c r="J102" s="10" t="str">
        <x:v>—</x:v>
      </x:c>
      <x:c r="K102" s="10" t="str">
        <x:v>—</x:v>
      </x:c>
      <x:c r="L102" s="10" t="str">
        <x:v>—</x:v>
      </x:c>
      <x:c r="M102" s="10" t="str">
        <x:v>—</x:v>
      </x:c>
      <x:c r="N102" s="10" t="str">
        <x:v>—</x:v>
      </x:c>
      <x:c r="O102" s="10" t="str">
        <x:v>—</x:v>
      </x:c>
      <x:c r="P102" s="10" t="str">
        <x:v>—</x:v>
      </x:c>
    </x:row>
    <x:row r="103" ht="38" customHeight="1">
      <x:c r="A103" s="10" t="str">
        <x:v>observations.draft.create</x:v>
      </x:c>
      <x:c r="B103" s="10" t="str">
        <x:v>—</x:v>
      </x:c>
      <x:c r="C103" s="10" t="str">
        <x:v>—</x:v>
      </x:c>
      <x:c r="D103" s="10" t="str">
        <x:v>—</x:v>
      </x:c>
      <x:c r="E103" s="10" t="str">
        <x:v>—</x:v>
      </x:c>
      <x:c r="F103" s="10" t="str">
        <x:v>Template</x:v>
      </x:c>
      <x:c r="G103" s="10" t="str">
        <x:v>—</x:v>
      </x:c>
      <x:c r="H103" s="10" t="str">
        <x:v>—</x:v>
      </x:c>
      <x:c r="I103" s="10" t="str">
        <x:v>Template</x:v>
      </x:c>
      <x:c r="J103" s="10" t="str">
        <x:v>—</x:v>
      </x:c>
      <x:c r="K103" s="10" t="str">
        <x:v>—</x:v>
      </x:c>
      <x:c r="L103" s="10" t="str">
        <x:v>—</x:v>
      </x:c>
      <x:c r="M103" s="10" t="str">
        <x:v>—</x:v>
      </x:c>
      <x:c r="N103" s="10" t="str">
        <x:v>—</x:v>
      </x:c>
      <x:c r="O103" s="10" t="str">
        <x:v>—</x:v>
      </x:c>
      <x:c r="P103" s="10" t="str">
        <x:v>—</x:v>
      </x:c>
    </x:row>
    <x:row r="104" ht="38" customHeight="1">
      <x:c r="A104" s="10" t="str">
        <x:v>observations.draft.edit</x:v>
      </x:c>
      <x:c r="B104" s="10" t="str">
        <x:v>—</x:v>
      </x:c>
      <x:c r="C104" s="10" t="str">
        <x:v>—</x:v>
      </x:c>
      <x:c r="D104" s="10" t="str">
        <x:v>—</x:v>
      </x:c>
      <x:c r="E104" s="10" t="str">
        <x:v>—</x:v>
      </x:c>
      <x:c r="F104" s="10" t="str">
        <x:v>Template</x:v>
      </x:c>
      <x:c r="G104" s="10" t="str">
        <x:v>—</x:v>
      </x:c>
      <x:c r="H104" s="10" t="str">
        <x:v>—</x:v>
      </x:c>
      <x:c r="I104" s="10" t="str">
        <x:v>Template</x:v>
      </x:c>
      <x:c r="J104" s="10" t="str">
        <x:v>—</x:v>
      </x:c>
      <x:c r="K104" s="10" t="str">
        <x:v>—</x:v>
      </x:c>
      <x:c r="L104" s="10" t="str">
        <x:v>—</x:v>
      </x:c>
      <x:c r="M104" s="10" t="str">
        <x:v>—</x:v>
      </x:c>
      <x:c r="N104" s="10" t="str">
        <x:v>—</x:v>
      </x:c>
      <x:c r="O104" s="10" t="str">
        <x:v>—</x:v>
      </x:c>
      <x:c r="P104" s="10" t="str">
        <x:v>—</x:v>
      </x:c>
    </x:row>
    <x:row r="105" ht="38" customHeight="1">
      <x:c r="A105" s="10" t="str">
        <x:v>observations.read</x:v>
      </x:c>
      <x:c r="B105" s="10" t="str">
        <x:v>—</x:v>
      </x:c>
      <x:c r="C105" s="10" t="str">
        <x:v>—</x:v>
      </x:c>
      <x:c r="D105" s="10" t="str">
        <x:v>Template</x:v>
      </x:c>
      <x:c r="E105" s="10" t="str">
        <x:v>Template</x:v>
      </x:c>
      <x:c r="F105" s="10" t="str">
        <x:v>Template</x:v>
      </x:c>
      <x:c r="G105" s="10" t="str">
        <x:v>Template</x:v>
      </x:c>
      <x:c r="H105" s="10" t="str">
        <x:v>—</x:v>
      </x:c>
      <x:c r="I105" s="10" t="str">
        <x:v>Template</x:v>
      </x:c>
      <x:c r="J105" s="10" t="str">
        <x:v>Template</x:v>
      </x:c>
      <x:c r="K105" s="10" t="str">
        <x:v>—</x:v>
      </x:c>
      <x:c r="L105" s="10" t="str">
        <x:v>—</x:v>
      </x:c>
      <x:c r="M105" s="10" t="str">
        <x:v>—</x:v>
      </x:c>
      <x:c r="N105" s="10" t="str">
        <x:v>—</x:v>
      </x:c>
      <x:c r="O105" s="10" t="str">
        <x:v>—</x:v>
      </x:c>
      <x:c r="P105" s="10" t="str">
        <x:v>Template</x:v>
      </x:c>
    </x:row>
    <x:row r="106" ht="38" customHeight="1">
      <x:c r="A106" s="10" t="str">
        <x:v>operations.read</x:v>
      </x:c>
      <x:c r="B106" s="10" t="str">
        <x:v>Template</x:v>
      </x:c>
      <x:c r="C106" s="10" t="str">
        <x:v>Template</x:v>
      </x:c>
      <x:c r="D106" s="10" t="str">
        <x:v>Template</x:v>
      </x:c>
      <x:c r="E106" s="10" t="str">
        <x:v>Template</x:v>
      </x:c>
      <x:c r="F106" s="10" t="str">
        <x:v>Template</x:v>
      </x:c>
      <x:c r="G106" s="10" t="str">
        <x:v>Template</x:v>
      </x:c>
      <x:c r="H106" s="10" t="str">
        <x:v>Template</x:v>
      </x:c>
      <x:c r="I106" s="10" t="str">
        <x:v>Template</x:v>
      </x:c>
      <x:c r="J106" s="10" t="str">
        <x:v>Template</x:v>
      </x:c>
      <x:c r="K106" s="10" t="str">
        <x:v>Template</x:v>
      </x:c>
      <x:c r="L106" s="10" t="str">
        <x:v>Template</x:v>
      </x:c>
      <x:c r="M106" s="10" t="str">
        <x:v>Template</x:v>
      </x:c>
      <x:c r="N106" s="10" t="str">
        <x:v>Template</x:v>
      </x:c>
      <x:c r="O106" s="10" t="str">
        <x:v>Template</x:v>
      </x:c>
      <x:c r="P106" s="10" t="str">
        <x:v>Template</x:v>
      </x:c>
    </x:row>
    <x:row r="107" ht="38" customHeight="1">
      <x:c r="A107" s="10" t="str">
        <x:v>organisation-units.draft.create</x:v>
      </x:c>
      <x:c r="B107" s="10" t="str">
        <x:v>—</x:v>
      </x:c>
      <x:c r="C107" s="10" t="str">
        <x:v>—</x:v>
      </x:c>
      <x:c r="D107" s="10" t="str">
        <x:v>Template</x:v>
      </x:c>
      <x:c r="E107" s="10" t="str">
        <x:v>Template</x:v>
      </x:c>
      <x:c r="F107" s="10" t="str">
        <x:v>—</x:v>
      </x:c>
      <x:c r="G107" s="10" t="str">
        <x:v>—</x:v>
      </x:c>
      <x:c r="H107" s="10" t="str">
        <x:v>—</x:v>
      </x:c>
      <x:c r="I107" s="10" t="str">
        <x:v>—</x:v>
      </x:c>
      <x:c r="J107" s="10" t="str">
        <x:v>—</x:v>
      </x:c>
      <x:c r="K107" s="10" t="str">
        <x:v>—</x:v>
      </x:c>
      <x:c r="L107" s="10" t="str">
        <x:v>—</x:v>
      </x:c>
      <x:c r="M107" s="10" t="str">
        <x:v>—</x:v>
      </x:c>
      <x:c r="N107" s="10" t="str">
        <x:v>—</x:v>
      </x:c>
      <x:c r="O107" s="10" t="str">
        <x:v>—</x:v>
      </x:c>
      <x:c r="P107" s="10" t="str">
        <x:v>—</x:v>
      </x:c>
    </x:row>
    <x:row r="108" ht="38" customHeight="1">
      <x:c r="A108" s="10" t="str">
        <x:v>organisation-units.draft.edit</x:v>
      </x:c>
      <x:c r="B108" s="10" t="str">
        <x:v>—</x:v>
      </x:c>
      <x:c r="C108" s="10" t="str">
        <x:v>—</x:v>
      </x:c>
      <x:c r="D108" s="10" t="str">
        <x:v>Template</x:v>
      </x:c>
      <x:c r="E108" s="10" t="str">
        <x:v>Template</x:v>
      </x:c>
      <x:c r="F108" s="10" t="str">
        <x:v>—</x:v>
      </x:c>
      <x:c r="G108" s="10" t="str">
        <x:v>—</x:v>
      </x:c>
      <x:c r="H108" s="10" t="str">
        <x:v>—</x:v>
      </x:c>
      <x:c r="I108" s="10" t="str">
        <x:v>—</x:v>
      </x:c>
      <x:c r="J108" s="10" t="str">
        <x:v>—</x:v>
      </x:c>
      <x:c r="K108" s="10" t="str">
        <x:v>—</x:v>
      </x:c>
      <x:c r="L108" s="10" t="str">
        <x:v>—</x:v>
      </x:c>
      <x:c r="M108" s="10" t="str">
        <x:v>—</x:v>
      </x:c>
      <x:c r="N108" s="10" t="str">
        <x:v>—</x:v>
      </x:c>
      <x:c r="O108" s="10" t="str">
        <x:v>—</x:v>
      </x:c>
      <x:c r="P108" s="10" t="str">
        <x:v>—</x:v>
      </x:c>
    </x:row>
    <x:row r="109" ht="38" customHeight="1">
      <x:c r="A109" s="10" t="str">
        <x:v>organisation-units.read</x:v>
      </x:c>
      <x:c r="B109" s="10" t="str">
        <x:v>—</x:v>
      </x:c>
      <x:c r="C109" s="10" t="str">
        <x:v>—</x:v>
      </x:c>
      <x:c r="D109" s="10" t="str">
        <x:v>Template</x:v>
      </x:c>
      <x:c r="E109" s="10" t="str">
        <x:v>Template</x:v>
      </x:c>
      <x:c r="F109" s="10" t="str">
        <x:v>Template</x:v>
      </x:c>
      <x:c r="G109" s="10" t="str">
        <x:v>Template</x:v>
      </x:c>
      <x:c r="H109" s="10" t="str">
        <x:v>—</x:v>
      </x:c>
      <x:c r="I109" s="10" t="str">
        <x:v>Template</x:v>
      </x:c>
      <x:c r="J109" s="10" t="str">
        <x:v>Template</x:v>
      </x:c>
      <x:c r="K109" s="10" t="str">
        <x:v>—</x:v>
      </x:c>
      <x:c r="L109" s="10" t="str">
        <x:v>—</x:v>
      </x:c>
      <x:c r="M109" s="10" t="str">
        <x:v>—</x:v>
      </x:c>
      <x:c r="N109" s="10" t="str">
        <x:v>—</x:v>
      </x:c>
      <x:c r="O109" s="10" t="str">
        <x:v>—</x:v>
      </x:c>
      <x:c r="P109" s="10" t="str">
        <x:v>Template</x:v>
      </x:c>
    </x:row>
    <x:row r="110" ht="38" customHeight="1">
      <x:c r="A110" s="10" t="str">
        <x:v>participant.restrict</x:v>
      </x:c>
      <x:c r="B110" s="10" t="str">
        <x:v>—</x:v>
      </x:c>
      <x:c r="C110" s="10" t="str">
        <x:v>—</x:v>
      </x:c>
      <x:c r="D110" s="10" t="str">
        <x:v>—</x:v>
      </x:c>
      <x:c r="E110" s="10" t="str">
        <x:v>—</x:v>
      </x:c>
      <x:c r="F110" s="10" t="str">
        <x:v>—</x:v>
      </x:c>
      <x:c r="G110" s="10" t="str">
        <x:v>—</x:v>
      </x:c>
      <x:c r="H110" s="10" t="str">
        <x:v>—</x:v>
      </x:c>
      <x:c r="I110" s="10" t="str">
        <x:v>—</x:v>
      </x:c>
      <x:c r="J110" s="10" t="str">
        <x:v>—</x:v>
      </x:c>
      <x:c r="K110" s="10" t="str">
        <x:v>—</x:v>
      </x:c>
      <x:c r="L110" s="10" t="str">
        <x:v>Template</x:v>
      </x:c>
      <x:c r="M110" s="10" t="str">
        <x:v>—</x:v>
      </x:c>
      <x:c r="N110" s="10" t="str">
        <x:v>—</x:v>
      </x:c>
      <x:c r="O110" s="10" t="str">
        <x:v>—</x:v>
      </x:c>
      <x:c r="P110" s="10" t="str">
        <x:v>—</x:v>
      </x:c>
    </x:row>
    <x:row r="111" ht="38" customHeight="1">
      <x:c r="A111" s="10" t="str">
        <x:v>participant.withdraw</x:v>
      </x:c>
      <x:c r="B111" s="10" t="str">
        <x:v>—</x:v>
      </x:c>
      <x:c r="C111" s="10" t="str">
        <x:v>—</x:v>
      </x:c>
      <x:c r="D111" s="10" t="str">
        <x:v>—</x:v>
      </x:c>
      <x:c r="E111" s="10" t="str">
        <x:v>—</x:v>
      </x:c>
      <x:c r="F111" s="10" t="str">
        <x:v>—</x:v>
      </x:c>
      <x:c r="G111" s="10" t="str">
        <x:v>—</x:v>
      </x:c>
      <x:c r="H111" s="10" t="str">
        <x:v>—</x:v>
      </x:c>
      <x:c r="I111" s="10" t="str">
        <x:v>—</x:v>
      </x:c>
      <x:c r="J111" s="10" t="str">
        <x:v>—</x:v>
      </x:c>
      <x:c r="K111" s="10" t="str">
        <x:v>—</x:v>
      </x:c>
      <x:c r="L111" s="10" t="str">
        <x:v>Template</x:v>
      </x:c>
      <x:c r="M111" s="10" t="str">
        <x:v>—</x:v>
      </x:c>
      <x:c r="N111" s="10" t="str">
        <x:v>—</x:v>
      </x:c>
      <x:c r="O111" s="10" t="str">
        <x:v>—</x:v>
      </x:c>
      <x:c r="P111" s="10" t="str">
        <x:v>—</x:v>
      </x:c>
    </x:row>
    <x:row r="112" ht="38" customHeight="1">
      <x:c r="A112" s="10" t="str">
        <x:v>participants.draft.create</x:v>
      </x:c>
      <x:c r="B112" s="10" t="str">
        <x:v>—</x:v>
      </x:c>
      <x:c r="C112" s="10" t="str">
        <x:v>—</x:v>
      </x:c>
      <x:c r="D112" s="10" t="str">
        <x:v>—</x:v>
      </x:c>
      <x:c r="E112" s="10" t="str">
        <x:v>—</x:v>
      </x:c>
      <x:c r="F112" s="10" t="str">
        <x:v>Template</x:v>
      </x:c>
      <x:c r="G112" s="10" t="str">
        <x:v>—</x:v>
      </x:c>
      <x:c r="H112" s="10" t="str">
        <x:v>—</x:v>
      </x:c>
      <x:c r="I112" s="10" t="str">
        <x:v>—</x:v>
      </x:c>
      <x:c r="J112" s="10" t="str">
        <x:v>—</x:v>
      </x:c>
      <x:c r="K112" s="10" t="str">
        <x:v>—</x:v>
      </x:c>
      <x:c r="L112" s="10" t="str">
        <x:v>—</x:v>
      </x:c>
      <x:c r="M112" s="10" t="str">
        <x:v>—</x:v>
      </x:c>
      <x:c r="N112" s="10" t="str">
        <x:v>—</x:v>
      </x:c>
      <x:c r="O112" s="10" t="str">
        <x:v>—</x:v>
      </x:c>
      <x:c r="P112" s="10" t="str">
        <x:v>—</x:v>
      </x:c>
    </x:row>
    <x:row r="113" ht="38" customHeight="1">
      <x:c r="A113" s="10" t="str">
        <x:v>participants.draft.edit</x:v>
      </x:c>
      <x:c r="B113" s="10" t="str">
        <x:v>—</x:v>
      </x:c>
      <x:c r="C113" s="10" t="str">
        <x:v>—</x:v>
      </x:c>
      <x:c r="D113" s="10" t="str">
        <x:v>—</x:v>
      </x:c>
      <x:c r="E113" s="10" t="str">
        <x:v>—</x:v>
      </x:c>
      <x:c r="F113" s="10" t="str">
        <x:v>Template</x:v>
      </x:c>
      <x:c r="G113" s="10" t="str">
        <x:v>—</x:v>
      </x:c>
      <x:c r="H113" s="10" t="str">
        <x:v>—</x:v>
      </x:c>
      <x:c r="I113" s="10" t="str">
        <x:v>—</x:v>
      </x:c>
      <x:c r="J113" s="10" t="str">
        <x:v>—</x:v>
      </x:c>
      <x:c r="K113" s="10" t="str">
        <x:v>—</x:v>
      </x:c>
      <x:c r="L113" s="10" t="str">
        <x:v>—</x:v>
      </x:c>
      <x:c r="M113" s="10" t="str">
        <x:v>—</x:v>
      </x:c>
      <x:c r="N113" s="10" t="str">
        <x:v>—</x:v>
      </x:c>
      <x:c r="O113" s="10" t="str">
        <x:v>—</x:v>
      </x:c>
      <x:c r="P113" s="10" t="str">
        <x:v>—</x:v>
      </x:c>
    </x:row>
    <x:row r="114" ht="38" customHeight="1">
      <x:c r="A114" s="10" t="str">
        <x:v>participants.read</x:v>
      </x:c>
      <x:c r="B114" s="10" t="str">
        <x:v>—</x:v>
      </x:c>
      <x:c r="C114" s="10" t="str">
        <x:v>—</x:v>
      </x:c>
      <x:c r="D114" s="10" t="str">
        <x:v>Template</x:v>
      </x:c>
      <x:c r="E114" s="10" t="str">
        <x:v>Template</x:v>
      </x:c>
      <x:c r="F114" s="10" t="str">
        <x:v>Template</x:v>
      </x:c>
      <x:c r="G114" s="10" t="str">
        <x:v>Template</x:v>
      </x:c>
      <x:c r="H114" s="10" t="str">
        <x:v>Template</x:v>
      </x:c>
      <x:c r="I114" s="10" t="str">
        <x:v>Template</x:v>
      </x:c>
      <x:c r="J114" s="10" t="str">
        <x:v>—</x:v>
      </x:c>
      <x:c r="K114" s="10" t="str">
        <x:v>—</x:v>
      </x:c>
      <x:c r="L114" s="10" t="str">
        <x:v>—</x:v>
      </x:c>
      <x:c r="M114" s="10" t="str">
        <x:v>—</x:v>
      </x:c>
      <x:c r="N114" s="10" t="str">
        <x:v>—</x:v>
      </x:c>
      <x:c r="O114" s="10" t="str">
        <x:v>—</x:v>
      </x:c>
      <x:c r="P114" s="10" t="str">
        <x:v>—</x:v>
      </x:c>
    </x:row>
    <x:row r="115" ht="38" customHeight="1">
      <x:c r="A115" s="10" t="str">
        <x:v>period.close</x:v>
      </x:c>
      <x:c r="B115" s="10" t="str">
        <x:v>—</x:v>
      </x:c>
      <x:c r="C115" s="10" t="str">
        <x:v>—</x:v>
      </x:c>
      <x:c r="D115" s="10" t="str">
        <x:v>Template</x:v>
      </x:c>
      <x:c r="E115" s="10" t="str">
        <x:v>—</x:v>
      </x:c>
      <x:c r="F115" s="10" t="str">
        <x:v>—</x:v>
      </x:c>
      <x:c r="G115" s="10" t="str">
        <x:v>—</x:v>
      </x:c>
      <x:c r="H115" s="10" t="str">
        <x:v>—</x:v>
      </x:c>
      <x:c r="I115" s="10" t="str">
        <x:v>—</x:v>
      </x:c>
      <x:c r="J115" s="10" t="str">
        <x:v>—</x:v>
      </x:c>
      <x:c r="K115" s="10" t="str">
        <x:v>—</x:v>
      </x:c>
      <x:c r="L115" s="10" t="str">
        <x:v>—</x:v>
      </x:c>
      <x:c r="M115" s="10" t="str">
        <x:v>—</x:v>
      </x:c>
      <x:c r="N115" s="10" t="str">
        <x:v>—</x:v>
      </x:c>
      <x:c r="O115" s="10" t="str">
        <x:v>—</x:v>
      </x:c>
      <x:c r="P115" s="10" t="str">
        <x:v>—</x:v>
      </x:c>
    </x:row>
    <x:row r="116" ht="38" customHeight="1">
      <x:c r="A116" s="10" t="str">
        <x:v>period.restate</x:v>
      </x:c>
      <x:c r="B116" s="10" t="str">
        <x:v>—</x:v>
      </x:c>
      <x:c r="C116" s="10" t="str">
        <x:v>—</x:v>
      </x:c>
      <x:c r="D116" s="10" t="str">
        <x:v>Template</x:v>
      </x:c>
      <x:c r="E116" s="10" t="str">
        <x:v>—</x:v>
      </x:c>
      <x:c r="F116" s="10" t="str">
        <x:v>—</x:v>
      </x:c>
      <x:c r="G116" s="10" t="str">
        <x:v>—</x:v>
      </x:c>
      <x:c r="H116" s="10" t="str">
        <x:v>—</x:v>
      </x:c>
      <x:c r="I116" s="10" t="str">
        <x:v>—</x:v>
      </x:c>
      <x:c r="J116" s="10" t="str">
        <x:v>—</x:v>
      </x:c>
      <x:c r="K116" s="10" t="str">
        <x:v>—</x:v>
      </x:c>
      <x:c r="L116" s="10" t="str">
        <x:v>—</x:v>
      </x:c>
      <x:c r="M116" s="10" t="str">
        <x:v>—</x:v>
      </x:c>
      <x:c r="N116" s="10" t="str">
        <x:v>—</x:v>
      </x:c>
      <x:c r="O116" s="10" t="str">
        <x:v>—</x:v>
      </x:c>
      <x:c r="P116" s="10" t="str">
        <x:v>—</x:v>
      </x:c>
    </x:row>
    <x:row r="117" ht="38" customHeight="1">
      <x:c r="A117" s="10" t="str">
        <x:v>periods.draft.create</x:v>
      </x:c>
      <x:c r="B117" s="10" t="str">
        <x:v>—</x:v>
      </x:c>
      <x:c r="C117" s="10" t="str">
        <x:v>—</x:v>
      </x:c>
      <x:c r="D117" s="10" t="str">
        <x:v>Template</x:v>
      </x:c>
      <x:c r="E117" s="10" t="str">
        <x:v>—</x:v>
      </x:c>
      <x:c r="F117" s="10" t="str">
        <x:v>—</x:v>
      </x:c>
      <x:c r="G117" s="10" t="str">
        <x:v>—</x:v>
      </x:c>
      <x:c r="H117" s="10" t="str">
        <x:v>—</x:v>
      </x:c>
      <x:c r="I117" s="10" t="str">
        <x:v>—</x:v>
      </x:c>
      <x:c r="J117" s="10" t="str">
        <x:v>—</x:v>
      </x:c>
      <x:c r="K117" s="10" t="str">
        <x:v>—</x:v>
      </x:c>
      <x:c r="L117" s="10" t="str">
        <x:v>—</x:v>
      </x:c>
      <x:c r="M117" s="10" t="str">
        <x:v>—</x:v>
      </x:c>
      <x:c r="N117" s="10" t="str">
        <x:v>—</x:v>
      </x:c>
      <x:c r="O117" s="10" t="str">
        <x:v>—</x:v>
      </x:c>
      <x:c r="P117" s="10" t="str">
        <x:v>—</x:v>
      </x:c>
    </x:row>
    <x:row r="118" ht="38" customHeight="1">
      <x:c r="A118" s="10" t="str">
        <x:v>periods.draft.edit</x:v>
      </x:c>
      <x:c r="B118" s="10" t="str">
        <x:v>—</x:v>
      </x:c>
      <x:c r="C118" s="10" t="str">
        <x:v>—</x:v>
      </x:c>
      <x:c r="D118" s="10" t="str">
        <x:v>Template</x:v>
      </x:c>
      <x:c r="E118" s="10" t="str">
        <x:v>—</x:v>
      </x:c>
      <x:c r="F118" s="10" t="str">
        <x:v>—</x:v>
      </x:c>
      <x:c r="G118" s="10" t="str">
        <x:v>—</x:v>
      </x:c>
      <x:c r="H118" s="10" t="str">
        <x:v>—</x:v>
      </x:c>
      <x:c r="I118" s="10" t="str">
        <x:v>—</x:v>
      </x:c>
      <x:c r="J118" s="10" t="str">
        <x:v>—</x:v>
      </x:c>
      <x:c r="K118" s="10" t="str">
        <x:v>—</x:v>
      </x:c>
      <x:c r="L118" s="10" t="str">
        <x:v>—</x:v>
      </x:c>
      <x:c r="M118" s="10" t="str">
        <x:v>—</x:v>
      </x:c>
      <x:c r="N118" s="10" t="str">
        <x:v>—</x:v>
      </x:c>
      <x:c r="O118" s="10" t="str">
        <x:v>—</x:v>
      </x:c>
      <x:c r="P118" s="10" t="str">
        <x:v>—</x:v>
      </x:c>
    </x:row>
    <x:row r="119" ht="38" customHeight="1">
      <x:c r="A119" s="10" t="str">
        <x:v>periods.read</x:v>
      </x:c>
      <x:c r="B119" s="10" t="str">
        <x:v>—</x:v>
      </x:c>
      <x:c r="C119" s="10" t="str">
        <x:v>—</x:v>
      </x:c>
      <x:c r="D119" s="10" t="str">
        <x:v>Template</x:v>
      </x:c>
      <x:c r="E119" s="10" t="str">
        <x:v>Template</x:v>
      </x:c>
      <x:c r="F119" s="10" t="str">
        <x:v>Template</x:v>
      </x:c>
      <x:c r="G119" s="10" t="str">
        <x:v>Template</x:v>
      </x:c>
      <x:c r="H119" s="10" t="str">
        <x:v>—</x:v>
      </x:c>
      <x:c r="I119" s="10" t="str">
        <x:v>Template</x:v>
      </x:c>
      <x:c r="J119" s="10" t="str">
        <x:v>Template</x:v>
      </x:c>
      <x:c r="K119" s="10" t="str">
        <x:v>—</x:v>
      </x:c>
      <x:c r="L119" s="10" t="str">
        <x:v>—</x:v>
      </x:c>
      <x:c r="M119" s="10" t="str">
        <x:v>—</x:v>
      </x:c>
      <x:c r="N119" s="10" t="str">
        <x:v>—</x:v>
      </x:c>
      <x:c r="O119" s="10" t="str">
        <x:v>—</x:v>
      </x:c>
      <x:c r="P119" s="10" t="str">
        <x:v>Template</x:v>
      </x:c>
    </x:row>
    <x:row r="120" ht="38" customHeight="1">
      <x:c r="A120" s="10" t="str">
        <x:v>privacy-cases.draft.create</x:v>
      </x:c>
      <x:c r="B120" s="10" t="str">
        <x:v>—</x:v>
      </x:c>
      <x:c r="C120" s="10" t="str">
        <x:v>—</x:v>
      </x:c>
      <x:c r="D120" s="10" t="str">
        <x:v>—</x:v>
      </x:c>
      <x:c r="E120" s="10" t="str">
        <x:v>—</x:v>
      </x:c>
      <x:c r="F120" s="10" t="str">
        <x:v>—</x:v>
      </x:c>
      <x:c r="G120" s="10" t="str">
        <x:v>—</x:v>
      </x:c>
      <x:c r="H120" s="10" t="str">
        <x:v>—</x:v>
      </x:c>
      <x:c r="I120" s="10" t="str">
        <x:v>—</x:v>
      </x:c>
      <x:c r="J120" s="10" t="str">
        <x:v>—</x:v>
      </x:c>
      <x:c r="K120" s="10" t="str">
        <x:v>—</x:v>
      </x:c>
      <x:c r="L120" s="10" t="str">
        <x:v>Template</x:v>
      </x:c>
      <x:c r="M120" s="10" t="str">
        <x:v>—</x:v>
      </x:c>
      <x:c r="N120" s="10" t="str">
        <x:v>—</x:v>
      </x:c>
      <x:c r="O120" s="10" t="str">
        <x:v>—</x:v>
      </x:c>
      <x:c r="P120" s="10" t="str">
        <x:v>—</x:v>
      </x:c>
    </x:row>
    <x:row r="121" ht="38" customHeight="1">
      <x:c r="A121" s="10" t="str">
        <x:v>privacy-cases.draft.edit</x:v>
      </x:c>
      <x:c r="B121" s="10" t="str">
        <x:v>—</x:v>
      </x:c>
      <x:c r="C121" s="10" t="str">
        <x:v>—</x:v>
      </x:c>
      <x:c r="D121" s="10" t="str">
        <x:v>—</x:v>
      </x:c>
      <x:c r="E121" s="10" t="str">
        <x:v>—</x:v>
      </x:c>
      <x:c r="F121" s="10" t="str">
        <x:v>—</x:v>
      </x:c>
      <x:c r="G121" s="10" t="str">
        <x:v>—</x:v>
      </x:c>
      <x:c r="H121" s="10" t="str">
        <x:v>—</x:v>
      </x:c>
      <x:c r="I121" s="10" t="str">
        <x:v>—</x:v>
      </x:c>
      <x:c r="J121" s="10" t="str">
        <x:v>—</x:v>
      </x:c>
      <x:c r="K121" s="10" t="str">
        <x:v>—</x:v>
      </x:c>
      <x:c r="L121" s="10" t="str">
        <x:v>Template</x:v>
      </x:c>
      <x:c r="M121" s="10" t="str">
        <x:v>—</x:v>
      </x:c>
      <x:c r="N121" s="10" t="str">
        <x:v>—</x:v>
      </x:c>
      <x:c r="O121" s="10" t="str">
        <x:v>—</x:v>
      </x:c>
      <x:c r="P121" s="10" t="str">
        <x:v>—</x:v>
      </x:c>
    </x:row>
    <x:row r="122" ht="38" customHeight="1">
      <x:c r="A122" s="10" t="str">
        <x:v>privacy-cases.read</x:v>
      </x:c>
      <x:c r="B122" s="10" t="str">
        <x:v>—</x:v>
      </x:c>
      <x:c r="C122" s="10" t="str">
        <x:v>—</x:v>
      </x:c>
      <x:c r="D122" s="10" t="str">
        <x:v>—</x:v>
      </x:c>
      <x:c r="E122" s="10" t="str">
        <x:v>—</x:v>
      </x:c>
      <x:c r="F122" s="10" t="str">
        <x:v>—</x:v>
      </x:c>
      <x:c r="G122" s="10" t="str">
        <x:v>—</x:v>
      </x:c>
      <x:c r="H122" s="10" t="str">
        <x:v>—</x:v>
      </x:c>
      <x:c r="I122" s="10" t="str">
        <x:v>—</x:v>
      </x:c>
      <x:c r="J122" s="10" t="str">
        <x:v>—</x:v>
      </x:c>
      <x:c r="K122" s="10" t="str">
        <x:v>—</x:v>
      </x:c>
      <x:c r="L122" s="10" t="str">
        <x:v>Template</x:v>
      </x:c>
      <x:c r="M122" s="10" t="str">
        <x:v>—</x:v>
      </x:c>
      <x:c r="N122" s="10" t="str">
        <x:v>—</x:v>
      </x:c>
      <x:c r="O122" s="10" t="str">
        <x:v>—</x:v>
      </x:c>
      <x:c r="P122" s="10" t="str">
        <x:v>—</x:v>
      </x:c>
    </x:row>
    <x:row r="123" ht="38" customHeight="1">
      <x:c r="A123" s="10" t="str">
        <x:v>privacy.approve</x:v>
      </x:c>
      <x:c r="B123" s="10" t="str">
        <x:v>—</x:v>
      </x:c>
      <x:c r="C123" s="10" t="str">
        <x:v>—</x:v>
      </x:c>
      <x:c r="D123" s="10" t="str">
        <x:v>—</x:v>
      </x:c>
      <x:c r="E123" s="10" t="str">
        <x:v>—</x:v>
      </x:c>
      <x:c r="F123" s="10" t="str">
        <x:v>—</x:v>
      </x:c>
      <x:c r="G123" s="10" t="str">
        <x:v>—</x:v>
      </x:c>
      <x:c r="H123" s="10" t="str">
        <x:v>—</x:v>
      </x:c>
      <x:c r="I123" s="10" t="str">
        <x:v>—</x:v>
      </x:c>
      <x:c r="J123" s="10" t="str">
        <x:v>—</x:v>
      </x:c>
      <x:c r="K123" s="10" t="str">
        <x:v>—</x:v>
      </x:c>
      <x:c r="L123" s="10" t="str">
        <x:v>Template</x:v>
      </x:c>
      <x:c r="M123" s="10" t="str">
        <x:v>—</x:v>
      </x:c>
      <x:c r="N123" s="10" t="str">
        <x:v>—</x:v>
      </x:c>
      <x:c r="O123" s="10" t="str">
        <x:v>—</x:v>
      </x:c>
      <x:c r="P123" s="10" t="str">
        <x:v>—</x:v>
      </x:c>
    </x:row>
    <x:row r="124" ht="38" customHeight="1">
      <x:c r="A124" s="10" t="str">
        <x:v>privacy.execute</x:v>
      </x:c>
      <x:c r="B124" s="10" t="str">
        <x:v>—</x:v>
      </x:c>
      <x:c r="C124" s="10" t="str">
        <x:v>—</x:v>
      </x:c>
      <x:c r="D124" s="10" t="str">
        <x:v>—</x:v>
      </x:c>
      <x:c r="E124" s="10" t="str">
        <x:v>—</x:v>
      </x:c>
      <x:c r="F124" s="10" t="str">
        <x:v>—</x:v>
      </x:c>
      <x:c r="G124" s="10" t="str">
        <x:v>—</x:v>
      </x:c>
      <x:c r="H124" s="10" t="str">
        <x:v>—</x:v>
      </x:c>
      <x:c r="I124" s="10" t="str">
        <x:v>—</x:v>
      </x:c>
      <x:c r="J124" s="10" t="str">
        <x:v>—</x:v>
      </x:c>
      <x:c r="K124" s="10" t="str">
        <x:v>—</x:v>
      </x:c>
      <x:c r="L124" s="10" t="str">
        <x:v>Template</x:v>
      </x:c>
      <x:c r="M124" s="10" t="str">
        <x:v>—</x:v>
      </x:c>
      <x:c r="N124" s="10" t="str">
        <x:v>—</x:v>
      </x:c>
      <x:c r="O124" s="10" t="str">
        <x:v>—</x:v>
      </x:c>
      <x:c r="P124" s="10" t="str">
        <x:v>—</x:v>
      </x:c>
    </x:row>
    <x:row r="125" ht="38" customHeight="1">
      <x:c r="A125" s="10" t="str">
        <x:v>programme.activate</x:v>
      </x:c>
      <x:c r="B125" s="10" t="str">
        <x:v>—</x:v>
      </x:c>
      <x:c r="C125" s="10" t="str">
        <x:v>—</x:v>
      </x:c>
      <x:c r="D125" s="10" t="str">
        <x:v>—</x:v>
      </x:c>
      <x:c r="E125" s="10" t="str">
        <x:v>Template</x:v>
      </x:c>
      <x:c r="F125" s="10" t="str">
        <x:v>—</x:v>
      </x:c>
      <x:c r="G125" s="10" t="str">
        <x:v>—</x:v>
      </x:c>
      <x:c r="H125" s="10" t="str">
        <x:v>—</x:v>
      </x:c>
      <x:c r="I125" s="10" t="str">
        <x:v>—</x:v>
      </x:c>
      <x:c r="J125" s="10" t="str">
        <x:v>—</x:v>
      </x:c>
      <x:c r="K125" s="10" t="str">
        <x:v>—</x:v>
      </x:c>
      <x:c r="L125" s="10" t="str">
        <x:v>—</x:v>
      </x:c>
      <x:c r="M125" s="10" t="str">
        <x:v>—</x:v>
      </x:c>
      <x:c r="N125" s="10" t="str">
        <x:v>—</x:v>
      </x:c>
      <x:c r="O125" s="10" t="str">
        <x:v>—</x:v>
      </x:c>
      <x:c r="P125" s="10" t="str">
        <x:v>—</x:v>
      </x:c>
    </x:row>
    <x:row r="126" ht="38" customHeight="1">
      <x:c r="A126" s="10" t="str">
        <x:v>programme.archive</x:v>
      </x:c>
      <x:c r="B126" s="10" t="str">
        <x:v>—</x:v>
      </x:c>
      <x:c r="C126" s="10" t="str">
        <x:v>—</x:v>
      </x:c>
      <x:c r="D126" s="10" t="str">
        <x:v>—</x:v>
      </x:c>
      <x:c r="E126" s="10" t="str">
        <x:v>Template</x:v>
      </x:c>
      <x:c r="F126" s="10" t="str">
        <x:v>—</x:v>
      </x:c>
      <x:c r="G126" s="10" t="str">
        <x:v>—</x:v>
      </x:c>
      <x:c r="H126" s="10" t="str">
        <x:v>—</x:v>
      </x:c>
      <x:c r="I126" s="10" t="str">
        <x:v>—</x:v>
      </x:c>
      <x:c r="J126" s="10" t="str">
        <x:v>—</x:v>
      </x:c>
      <x:c r="K126" s="10" t="str">
        <x:v>—</x:v>
      </x:c>
      <x:c r="L126" s="10" t="str">
        <x:v>—</x:v>
      </x:c>
      <x:c r="M126" s="10" t="str">
        <x:v>—</x:v>
      </x:c>
      <x:c r="N126" s="10" t="str">
        <x:v>—</x:v>
      </x:c>
      <x:c r="O126" s="10" t="str">
        <x:v>—</x:v>
      </x:c>
      <x:c r="P126" s="10" t="str">
        <x:v>—</x:v>
      </x:c>
    </x:row>
    <x:row r="127" ht="38" customHeight="1">
      <x:c r="A127" s="10" t="str">
        <x:v>programmes.draft.create</x:v>
      </x:c>
      <x:c r="B127" s="10" t="str">
        <x:v>—</x:v>
      </x:c>
      <x:c r="C127" s="10" t="str">
        <x:v>—</x:v>
      </x:c>
      <x:c r="D127" s="10" t="str">
        <x:v>Template</x:v>
      </x:c>
      <x:c r="E127" s="10" t="str">
        <x:v>Template</x:v>
      </x:c>
      <x:c r="F127" s="10" t="str">
        <x:v>—</x:v>
      </x:c>
      <x:c r="G127" s="10" t="str">
        <x:v>—</x:v>
      </x:c>
      <x:c r="H127" s="10" t="str">
        <x:v>—</x:v>
      </x:c>
      <x:c r="I127" s="10" t="str">
        <x:v>—</x:v>
      </x:c>
      <x:c r="J127" s="10" t="str">
        <x:v>—</x:v>
      </x:c>
      <x:c r="K127" s="10" t="str">
        <x:v>—</x:v>
      </x:c>
      <x:c r="L127" s="10" t="str">
        <x:v>—</x:v>
      </x:c>
      <x:c r="M127" s="10" t="str">
        <x:v>—</x:v>
      </x:c>
      <x:c r="N127" s="10" t="str">
        <x:v>—</x:v>
      </x:c>
      <x:c r="O127" s="10" t="str">
        <x:v>—</x:v>
      </x:c>
      <x:c r="P127" s="10" t="str">
        <x:v>—</x:v>
      </x:c>
    </x:row>
    <x:row r="128" ht="38" customHeight="1">
      <x:c r="A128" s="10" t="str">
        <x:v>programmes.draft.edit</x:v>
      </x:c>
      <x:c r="B128" s="10" t="str">
        <x:v>—</x:v>
      </x:c>
      <x:c r="C128" s="10" t="str">
        <x:v>—</x:v>
      </x:c>
      <x:c r="D128" s="10" t="str">
        <x:v>Template</x:v>
      </x:c>
      <x:c r="E128" s="10" t="str">
        <x:v>Template</x:v>
      </x:c>
      <x:c r="F128" s="10" t="str">
        <x:v>—</x:v>
      </x:c>
      <x:c r="G128" s="10" t="str">
        <x:v>—</x:v>
      </x:c>
      <x:c r="H128" s="10" t="str">
        <x:v>—</x:v>
      </x:c>
      <x:c r="I128" s="10" t="str">
        <x:v>—</x:v>
      </x:c>
      <x:c r="J128" s="10" t="str">
        <x:v>—</x:v>
      </x:c>
      <x:c r="K128" s="10" t="str">
        <x:v>—</x:v>
      </x:c>
      <x:c r="L128" s="10" t="str">
        <x:v>—</x:v>
      </x:c>
      <x:c r="M128" s="10" t="str">
        <x:v>—</x:v>
      </x:c>
      <x:c r="N128" s="10" t="str">
        <x:v>—</x:v>
      </x:c>
      <x:c r="O128" s="10" t="str">
        <x:v>—</x:v>
      </x:c>
      <x:c r="P128" s="10" t="str">
        <x:v>—</x:v>
      </x:c>
    </x:row>
    <x:row r="129" ht="38" customHeight="1">
      <x:c r="A129" s="10" t="str">
        <x:v>programmes.read</x:v>
      </x:c>
      <x:c r="B129" s="10" t="str">
        <x:v>—</x:v>
      </x:c>
      <x:c r="C129" s="10" t="str">
        <x:v>—</x:v>
      </x:c>
      <x:c r="D129" s="10" t="str">
        <x:v>Template</x:v>
      </x:c>
      <x:c r="E129" s="10" t="str">
        <x:v>Template</x:v>
      </x:c>
      <x:c r="F129" s="10" t="str">
        <x:v>Template</x:v>
      </x:c>
      <x:c r="G129" s="10" t="str">
        <x:v>Template</x:v>
      </x:c>
      <x:c r="H129" s="10" t="str">
        <x:v>—</x:v>
      </x:c>
      <x:c r="I129" s="10" t="str">
        <x:v>Template</x:v>
      </x:c>
      <x:c r="J129" s="10" t="str">
        <x:v>Template</x:v>
      </x:c>
      <x:c r="K129" s="10" t="str">
        <x:v>—</x:v>
      </x:c>
      <x:c r="L129" s="10" t="str">
        <x:v>—</x:v>
      </x:c>
      <x:c r="M129" s="10" t="str">
        <x:v>—</x:v>
      </x:c>
      <x:c r="N129" s="10" t="str">
        <x:v>—</x:v>
      </x:c>
      <x:c r="O129" s="10" t="str">
        <x:v>—</x:v>
      </x:c>
      <x:c r="P129" s="10" t="str">
        <x:v>Template</x:v>
      </x:c>
    </x:row>
    <x:row r="130" ht="38" customHeight="1">
      <x:c r="A130" s="10" t="str">
        <x:v>public</x:v>
      </x:c>
      <x:c r="B130" s="10" t="str">
        <x:v>—</x:v>
      </x:c>
      <x:c r="C130" s="10" t="str">
        <x:v>—</x:v>
      </x:c>
      <x:c r="D130" s="10" t="str">
        <x:v>—</x:v>
      </x:c>
      <x:c r="E130" s="10" t="str">
        <x:v>—</x:v>
      </x:c>
      <x:c r="F130" s="10" t="str">
        <x:v>—</x:v>
      </x:c>
      <x:c r="G130" s="10" t="str">
        <x:v>—</x:v>
      </x:c>
      <x:c r="H130" s="10" t="str">
        <x:v>—</x:v>
      </x:c>
      <x:c r="I130" s="10" t="str">
        <x:v>—</x:v>
      </x:c>
      <x:c r="J130" s="10" t="str">
        <x:v>—</x:v>
      </x:c>
      <x:c r="K130" s="10" t="str">
        <x:v>—</x:v>
      </x:c>
      <x:c r="L130" s="10" t="str">
        <x:v>—</x:v>
      </x:c>
      <x:c r="M130" s="10" t="str">
        <x:v>—</x:v>
      </x:c>
      <x:c r="N130" s="10" t="str">
        <x:v>—</x:v>
      </x:c>
      <x:c r="O130" s="10" t="str">
        <x:v>—</x:v>
      </x:c>
      <x:c r="P130" s="10" t="str">
        <x:v>—</x:v>
      </x:c>
    </x:row>
    <x:row r="131" ht="38" customHeight="1">
      <x:c r="A131" s="10" t="str">
        <x:v>qualitative-extracts.draft.create</x:v>
      </x:c>
      <x:c r="B131" s="10" t="str">
        <x:v>—</x:v>
      </x:c>
      <x:c r="C131" s="10" t="str">
        <x:v>—</x:v>
      </x:c>
      <x:c r="D131" s="10" t="str">
        <x:v>—</x:v>
      </x:c>
      <x:c r="E131" s="10" t="str">
        <x:v>—</x:v>
      </x:c>
      <x:c r="F131" s="10" t="str">
        <x:v>Template</x:v>
      </x:c>
      <x:c r="G131" s="10" t="str">
        <x:v>—</x:v>
      </x:c>
      <x:c r="H131" s="10" t="str">
        <x:v>—</x:v>
      </x:c>
      <x:c r="I131" s="10" t="str">
        <x:v>—</x:v>
      </x:c>
      <x:c r="J131" s="10" t="str">
        <x:v>Template</x:v>
      </x:c>
      <x:c r="K131" s="10" t="str">
        <x:v>—</x:v>
      </x:c>
      <x:c r="L131" s="10" t="str">
        <x:v>—</x:v>
      </x:c>
      <x:c r="M131" s="10" t="str">
        <x:v>—</x:v>
      </x:c>
      <x:c r="N131" s="10" t="str">
        <x:v>—</x:v>
      </x:c>
      <x:c r="O131" s="10" t="str">
        <x:v>—</x:v>
      </x:c>
      <x:c r="P131" s="10" t="str">
        <x:v>—</x:v>
      </x:c>
    </x:row>
    <x:row r="132" ht="38" customHeight="1">
      <x:c r="A132" s="10" t="str">
        <x:v>qualitative-extracts.draft.edit</x:v>
      </x:c>
      <x:c r="B132" s="10" t="str">
        <x:v>—</x:v>
      </x:c>
      <x:c r="C132" s="10" t="str">
        <x:v>—</x:v>
      </x:c>
      <x:c r="D132" s="10" t="str">
        <x:v>—</x:v>
      </x:c>
      <x:c r="E132" s="10" t="str">
        <x:v>—</x:v>
      </x:c>
      <x:c r="F132" s="10" t="str">
        <x:v>Template</x:v>
      </x:c>
      <x:c r="G132" s="10" t="str">
        <x:v>—</x:v>
      </x:c>
      <x:c r="H132" s="10" t="str">
        <x:v>—</x:v>
      </x:c>
      <x:c r="I132" s="10" t="str">
        <x:v>—</x:v>
      </x:c>
      <x:c r="J132" s="10" t="str">
        <x:v>Template</x:v>
      </x:c>
      <x:c r="K132" s="10" t="str">
        <x:v>—</x:v>
      </x:c>
      <x:c r="L132" s="10" t="str">
        <x:v>—</x:v>
      </x:c>
      <x:c r="M132" s="10" t="str">
        <x:v>—</x:v>
      </x:c>
      <x:c r="N132" s="10" t="str">
        <x:v>—</x:v>
      </x:c>
      <x:c r="O132" s="10" t="str">
        <x:v>—</x:v>
      </x:c>
      <x:c r="P132" s="10" t="str">
        <x:v>—</x:v>
      </x:c>
    </x:row>
    <x:row r="133" ht="38" customHeight="1">
      <x:c r="A133" s="10" t="str">
        <x:v>qualitative-extracts.read</x:v>
      </x:c>
      <x:c r="B133" s="10" t="str">
        <x:v>—</x:v>
      </x:c>
      <x:c r="C133" s="10" t="str">
        <x:v>—</x:v>
      </x:c>
      <x:c r="D133" s="10" t="str">
        <x:v>Template</x:v>
      </x:c>
      <x:c r="E133" s="10" t="str">
        <x:v>Template</x:v>
      </x:c>
      <x:c r="F133" s="10" t="str">
        <x:v>Template</x:v>
      </x:c>
      <x:c r="G133" s="10" t="str">
        <x:v>Template</x:v>
      </x:c>
      <x:c r="H133" s="10" t="str">
        <x:v>—</x:v>
      </x:c>
      <x:c r="I133" s="10" t="str">
        <x:v>Template</x:v>
      </x:c>
      <x:c r="J133" s="10" t="str">
        <x:v>Template</x:v>
      </x:c>
      <x:c r="K133" s="10" t="str">
        <x:v>—</x:v>
      </x:c>
      <x:c r="L133" s="10" t="str">
        <x:v>—</x:v>
      </x:c>
      <x:c r="M133" s="10" t="str">
        <x:v>—</x:v>
      </x:c>
      <x:c r="N133" s="10" t="str">
        <x:v>—</x:v>
      </x:c>
      <x:c r="O133" s="10" t="str">
        <x:v>—</x:v>
      </x:c>
      <x:c r="P133" s="10" t="str">
        <x:v>Template</x:v>
      </x:c>
    </x:row>
    <x:row r="134" ht="38" customHeight="1">
      <x:c r="A134" s="10" t="str">
        <x:v>quality-issues.draft.create</x:v>
      </x:c>
      <x:c r="B134" s="10" t="str">
        <x:v>—</x:v>
      </x:c>
      <x:c r="C134" s="10" t="str">
        <x:v>—</x:v>
      </x:c>
      <x:c r="D134" s="10" t="str">
        <x:v>—</x:v>
      </x:c>
      <x:c r="E134" s="10" t="str">
        <x:v>—</x:v>
      </x:c>
      <x:c r="F134" s="10" t="str">
        <x:v>—</x:v>
      </x:c>
      <x:c r="G134" s="10" t="str">
        <x:v>—</x:v>
      </x:c>
      <x:c r="H134" s="10" t="str">
        <x:v>—</x:v>
      </x:c>
      <x:c r="I134" s="10" t="str">
        <x:v>Template</x:v>
      </x:c>
      <x:c r="J134" s="10" t="str">
        <x:v>—</x:v>
      </x:c>
      <x:c r="K134" s="10" t="str">
        <x:v>—</x:v>
      </x:c>
      <x:c r="L134" s="10" t="str">
        <x:v>—</x:v>
      </x:c>
      <x:c r="M134" s="10" t="str">
        <x:v>—</x:v>
      </x:c>
      <x:c r="N134" s="10" t="str">
        <x:v>—</x:v>
      </x:c>
      <x:c r="O134" s="10" t="str">
        <x:v>—</x:v>
      </x:c>
      <x:c r="P134" s="10" t="str">
        <x:v>—</x:v>
      </x:c>
    </x:row>
    <x:row r="135" ht="38" customHeight="1">
      <x:c r="A135" s="10" t="str">
        <x:v>quality-issues.draft.edit</x:v>
      </x:c>
      <x:c r="B135" s="10" t="str">
        <x:v>—</x:v>
      </x:c>
      <x:c r="C135" s="10" t="str">
        <x:v>—</x:v>
      </x:c>
      <x:c r="D135" s="10" t="str">
        <x:v>—</x:v>
      </x:c>
      <x:c r="E135" s="10" t="str">
        <x:v>—</x:v>
      </x:c>
      <x:c r="F135" s="10" t="str">
        <x:v>—</x:v>
      </x:c>
      <x:c r="G135" s="10" t="str">
        <x:v>—</x:v>
      </x:c>
      <x:c r="H135" s="10" t="str">
        <x:v>—</x:v>
      </x:c>
      <x:c r="I135" s="10" t="str">
        <x:v>Template</x:v>
      </x:c>
      <x:c r="J135" s="10" t="str">
        <x:v>—</x:v>
      </x:c>
      <x:c r="K135" s="10" t="str">
        <x:v>—</x:v>
      </x:c>
      <x:c r="L135" s="10" t="str">
        <x:v>—</x:v>
      </x:c>
      <x:c r="M135" s="10" t="str">
        <x:v>—</x:v>
      </x:c>
      <x:c r="N135" s="10" t="str">
        <x:v>—</x:v>
      </x:c>
      <x:c r="O135" s="10" t="str">
        <x:v>—</x:v>
      </x:c>
      <x:c r="P135" s="10" t="str">
        <x:v>—</x:v>
      </x:c>
    </x:row>
    <x:row r="136" ht="38" customHeight="1">
      <x:c r="A136" s="10" t="str">
        <x:v>quality-issues.read</x:v>
      </x:c>
      <x:c r="B136" s="10" t="str">
        <x:v>—</x:v>
      </x:c>
      <x:c r="C136" s="10" t="str">
        <x:v>—</x:v>
      </x:c>
      <x:c r="D136" s="10" t="str">
        <x:v>Template</x:v>
      </x:c>
      <x:c r="E136" s="10" t="str">
        <x:v>Template</x:v>
      </x:c>
      <x:c r="F136" s="10" t="str">
        <x:v>Template</x:v>
      </x:c>
      <x:c r="G136" s="10" t="str">
        <x:v>Template</x:v>
      </x:c>
      <x:c r="H136" s="10" t="str">
        <x:v>—</x:v>
      </x:c>
      <x:c r="I136" s="10" t="str">
        <x:v>Template</x:v>
      </x:c>
      <x:c r="J136" s="10" t="str">
        <x:v>Template</x:v>
      </x:c>
      <x:c r="K136" s="10" t="str">
        <x:v>—</x:v>
      </x:c>
      <x:c r="L136" s="10" t="str">
        <x:v>—</x:v>
      </x:c>
      <x:c r="M136" s="10" t="str">
        <x:v>—</x:v>
      </x:c>
      <x:c r="N136" s="10" t="str">
        <x:v>—</x:v>
      </x:c>
      <x:c r="O136" s="10" t="str">
        <x:v>—</x:v>
      </x:c>
      <x:c r="P136" s="10" t="str">
        <x:v>Template</x:v>
      </x:c>
    </x:row>
    <x:row r="137" ht="38" customHeight="1">
      <x:c r="A137" s="10" t="str">
        <x:v>quality.except</x:v>
      </x:c>
      <x:c r="B137" s="10" t="str">
        <x:v>—</x:v>
      </x:c>
      <x:c r="C137" s="10" t="str">
        <x:v>—</x:v>
      </x:c>
      <x:c r="D137" s="10" t="str">
        <x:v>—</x:v>
      </x:c>
      <x:c r="E137" s="10" t="str">
        <x:v>—</x:v>
      </x:c>
      <x:c r="F137" s="10" t="str">
        <x:v>—</x:v>
      </x:c>
      <x:c r="G137" s="10" t="str">
        <x:v>Template</x:v>
      </x:c>
      <x:c r="H137" s="10" t="str">
        <x:v>—</x:v>
      </x:c>
      <x:c r="I137" s="10" t="str">
        <x:v>—</x:v>
      </x:c>
      <x:c r="J137" s="10" t="str">
        <x:v>—</x:v>
      </x:c>
      <x:c r="K137" s="10" t="str">
        <x:v>—</x:v>
      </x:c>
      <x:c r="L137" s="10" t="str">
        <x:v>—</x:v>
      </x:c>
      <x:c r="M137" s="10" t="str">
        <x:v>—</x:v>
      </x:c>
      <x:c r="N137" s="10" t="str">
        <x:v>—</x:v>
      </x:c>
      <x:c r="O137" s="10" t="str">
        <x:v>—</x:v>
      </x:c>
      <x:c r="P137" s="10" t="str">
        <x:v>—</x:v>
      </x:c>
    </x:row>
    <x:row r="138" ht="38" customHeight="1">
      <x:c r="A138" s="10" t="str">
        <x:v>quality.revalidate</x:v>
      </x:c>
      <x:c r="B138" s="10" t="str">
        <x:v>—</x:v>
      </x:c>
      <x:c r="C138" s="10" t="str">
        <x:v>—</x:v>
      </x:c>
      <x:c r="D138" s="10" t="str">
        <x:v>—</x:v>
      </x:c>
      <x:c r="E138" s="10" t="str">
        <x:v>—</x:v>
      </x:c>
      <x:c r="F138" s="10" t="str">
        <x:v>—</x:v>
      </x:c>
      <x:c r="G138" s="10" t="str">
        <x:v>—</x:v>
      </x:c>
      <x:c r="H138" s="10" t="str">
        <x:v>—</x:v>
      </x:c>
      <x:c r="I138" s="10" t="str">
        <x:v>Template</x:v>
      </x:c>
      <x:c r="J138" s="10" t="str">
        <x:v>—</x:v>
      </x:c>
      <x:c r="K138" s="10" t="str">
        <x:v>—</x:v>
      </x:c>
      <x:c r="L138" s="10" t="str">
        <x:v>—</x:v>
      </x:c>
      <x:c r="M138" s="10" t="str">
        <x:v>—</x:v>
      </x:c>
      <x:c r="N138" s="10" t="str">
        <x:v>—</x:v>
      </x:c>
      <x:c r="O138" s="10" t="str">
        <x:v>—</x:v>
      </x:c>
      <x:c r="P138" s="10" t="str">
        <x:v>—</x:v>
      </x:c>
    </x:row>
    <x:row r="139" ht="38" customHeight="1">
      <x:c r="A139" s="10" t="str">
        <x:v>report-templates.draft.create</x:v>
      </x:c>
      <x:c r="B139" s="10" t="str">
        <x:v>—</x:v>
      </x:c>
      <x:c r="C139" s="10" t="str">
        <x:v>—</x:v>
      </x:c>
      <x:c r="D139" s="10" t="str">
        <x:v>Template</x:v>
      </x:c>
      <x:c r="E139" s="10" t="str">
        <x:v>—</x:v>
      </x:c>
      <x:c r="F139" s="10" t="str">
        <x:v>Template</x:v>
      </x:c>
      <x:c r="G139" s="10" t="str">
        <x:v>—</x:v>
      </x:c>
      <x:c r="H139" s="10" t="str">
        <x:v>—</x:v>
      </x:c>
      <x:c r="I139" s="10" t="str">
        <x:v>—</x:v>
      </x:c>
      <x:c r="J139" s="10" t="str">
        <x:v>—</x:v>
      </x:c>
      <x:c r="K139" s="10" t="str">
        <x:v>—</x:v>
      </x:c>
      <x:c r="L139" s="10" t="str">
        <x:v>—</x:v>
      </x:c>
      <x:c r="M139" s="10" t="str">
        <x:v>—</x:v>
      </x:c>
      <x:c r="N139" s="10" t="str">
        <x:v>—</x:v>
      </x:c>
      <x:c r="O139" s="10" t="str">
        <x:v>—</x:v>
      </x:c>
      <x:c r="P139" s="10" t="str">
        <x:v>—</x:v>
      </x:c>
    </x:row>
    <x:row r="140" ht="38" customHeight="1">
      <x:c r="A140" s="10" t="str">
        <x:v>report-templates.draft.edit</x:v>
      </x:c>
      <x:c r="B140" s="10" t="str">
        <x:v>—</x:v>
      </x:c>
      <x:c r="C140" s="10" t="str">
        <x:v>—</x:v>
      </x:c>
      <x:c r="D140" s="10" t="str">
        <x:v>Template</x:v>
      </x:c>
      <x:c r="E140" s="10" t="str">
        <x:v>—</x:v>
      </x:c>
      <x:c r="F140" s="10" t="str">
        <x:v>Template</x:v>
      </x:c>
      <x:c r="G140" s="10" t="str">
        <x:v>—</x:v>
      </x:c>
      <x:c r="H140" s="10" t="str">
        <x:v>—</x:v>
      </x:c>
      <x:c r="I140" s="10" t="str">
        <x:v>—</x:v>
      </x:c>
      <x:c r="J140" s="10" t="str">
        <x:v>—</x:v>
      </x:c>
      <x:c r="K140" s="10" t="str">
        <x:v>—</x:v>
      </x:c>
      <x:c r="L140" s="10" t="str">
        <x:v>—</x:v>
      </x:c>
      <x:c r="M140" s="10" t="str">
        <x:v>—</x:v>
      </x:c>
      <x:c r="N140" s="10" t="str">
        <x:v>—</x:v>
      </x:c>
      <x:c r="O140" s="10" t="str">
        <x:v>—</x:v>
      </x:c>
      <x:c r="P140" s="10" t="str">
        <x:v>—</x:v>
      </x:c>
    </x:row>
    <x:row r="141" ht="38" customHeight="1">
      <x:c r="A141" s="10" t="str">
        <x:v>report-templates.read</x:v>
      </x:c>
      <x:c r="B141" s="10" t="str">
        <x:v>—</x:v>
      </x:c>
      <x:c r="C141" s="10" t="str">
        <x:v>—</x:v>
      </x:c>
      <x:c r="D141" s="10" t="str">
        <x:v>Template</x:v>
      </x:c>
      <x:c r="E141" s="10" t="str">
        <x:v>Template</x:v>
      </x:c>
      <x:c r="F141" s="10" t="str">
        <x:v>Template</x:v>
      </x:c>
      <x:c r="G141" s="10" t="str">
        <x:v>Template</x:v>
      </x:c>
      <x:c r="H141" s="10" t="str">
        <x:v>—</x:v>
      </x:c>
      <x:c r="I141" s="10" t="str">
        <x:v>Template</x:v>
      </x:c>
      <x:c r="J141" s="10" t="str">
        <x:v>Template</x:v>
      </x:c>
      <x:c r="K141" s="10" t="str">
        <x:v>—</x:v>
      </x:c>
      <x:c r="L141" s="10" t="str">
        <x:v>—</x:v>
      </x:c>
      <x:c r="M141" s="10" t="str">
        <x:v>—</x:v>
      </x:c>
      <x:c r="N141" s="10" t="str">
        <x:v>—</x:v>
      </x:c>
      <x:c r="O141" s="10" t="str">
        <x:v>—</x:v>
      </x:c>
      <x:c r="P141" s="10" t="str">
        <x:v>Template</x:v>
      </x:c>
    </x:row>
    <x:row r="142" ht="38" customHeight="1">
      <x:c r="A142" s="10" t="str">
        <x:v>report.publish</x:v>
      </x:c>
      <x:c r="B142" s="10" t="str">
        <x:v>—</x:v>
      </x:c>
      <x:c r="C142" s="10" t="str">
        <x:v>—</x:v>
      </x:c>
      <x:c r="D142" s="10" t="str">
        <x:v>Template</x:v>
      </x:c>
      <x:c r="E142" s="10" t="str">
        <x:v>—</x:v>
      </x:c>
      <x:c r="F142" s="10" t="str">
        <x:v>—</x:v>
      </x:c>
      <x:c r="G142" s="10" t="str">
        <x:v>—</x:v>
      </x:c>
      <x:c r="H142" s="10" t="str">
        <x:v>—</x:v>
      </x:c>
      <x:c r="I142" s="10" t="str">
        <x:v>—</x:v>
      </x:c>
      <x:c r="J142" s="10" t="str">
        <x:v>—</x:v>
      </x:c>
      <x:c r="K142" s="10" t="str">
        <x:v>—</x:v>
      </x:c>
      <x:c r="L142" s="10" t="str">
        <x:v>—</x:v>
      </x:c>
      <x:c r="M142" s="10" t="str">
        <x:v>—</x:v>
      </x:c>
      <x:c r="N142" s="10" t="str">
        <x:v>—</x:v>
      </x:c>
      <x:c r="O142" s="10" t="str">
        <x:v>—</x:v>
      </x:c>
      <x:c r="P142" s="10" t="str">
        <x:v>—</x:v>
      </x:c>
    </x:row>
    <x:row r="143" ht="38" customHeight="1">
      <x:c r="A143" s="10" t="str">
        <x:v>report.submit</x:v>
      </x:c>
      <x:c r="B143" s="10" t="str">
        <x:v>—</x:v>
      </x:c>
      <x:c r="C143" s="10" t="str">
        <x:v>—</x:v>
      </x:c>
      <x:c r="D143" s="10" t="str">
        <x:v>—</x:v>
      </x:c>
      <x:c r="E143" s="10" t="str">
        <x:v>—</x:v>
      </x:c>
      <x:c r="F143" s="10" t="str">
        <x:v>Template</x:v>
      </x:c>
      <x:c r="G143" s="10" t="str">
        <x:v>—</x:v>
      </x:c>
      <x:c r="H143" s="10" t="str">
        <x:v>—</x:v>
      </x:c>
      <x:c r="I143" s="10" t="str">
        <x:v>—</x:v>
      </x:c>
      <x:c r="J143" s="10" t="str">
        <x:v>—</x:v>
      </x:c>
      <x:c r="K143" s="10" t="str">
        <x:v>—</x:v>
      </x:c>
      <x:c r="L143" s="10" t="str">
        <x:v>—</x:v>
      </x:c>
      <x:c r="M143" s="10" t="str">
        <x:v>—</x:v>
      </x:c>
      <x:c r="N143" s="10" t="str">
        <x:v>—</x:v>
      </x:c>
      <x:c r="O143" s="10" t="str">
        <x:v>—</x:v>
      </x:c>
      <x:c r="P143" s="10" t="str">
        <x:v>—</x:v>
      </x:c>
    </x:row>
    <x:row r="144" ht="38" customHeight="1">
      <x:c r="A144" s="10" t="str">
        <x:v>report.withdraw</x:v>
      </x:c>
      <x:c r="B144" s="10" t="str">
        <x:v>—</x:v>
      </x:c>
      <x:c r="C144" s="10" t="str">
        <x:v>—</x:v>
      </x:c>
      <x:c r="D144" s="10" t="str">
        <x:v>Template</x:v>
      </x:c>
      <x:c r="E144" s="10" t="str">
        <x:v>—</x:v>
      </x:c>
      <x:c r="F144" s="10" t="str">
        <x:v>—</x:v>
      </x:c>
      <x:c r="G144" s="10" t="str">
        <x:v>—</x:v>
      </x:c>
      <x:c r="H144" s="10" t="str">
        <x:v>—</x:v>
      </x:c>
      <x:c r="I144" s="10" t="str">
        <x:v>—</x:v>
      </x:c>
      <x:c r="J144" s="10" t="str">
        <x:v>—</x:v>
      </x:c>
      <x:c r="K144" s="10" t="str">
        <x:v>—</x:v>
      </x:c>
      <x:c r="L144" s="10" t="str">
        <x:v>Template</x:v>
      </x:c>
      <x:c r="M144" s="10" t="str">
        <x:v>—</x:v>
      </x:c>
      <x:c r="N144" s="10" t="str">
        <x:v>—</x:v>
      </x:c>
      <x:c r="O144" s="10" t="str">
        <x:v>—</x:v>
      </x:c>
      <x:c r="P144" s="10" t="str">
        <x:v>—</x:v>
      </x:c>
    </x:row>
    <x:row r="145" ht="38" customHeight="1">
      <x:c r="A145" s="10" t="str">
        <x:v>reports.draft.create</x:v>
      </x:c>
      <x:c r="B145" s="10" t="str">
        <x:v>—</x:v>
      </x:c>
      <x:c r="C145" s="10" t="str">
        <x:v>—</x:v>
      </x:c>
      <x:c r="D145" s="10" t="str">
        <x:v>—</x:v>
      </x:c>
      <x:c r="E145" s="10" t="str">
        <x:v>—</x:v>
      </x:c>
      <x:c r="F145" s="10" t="str">
        <x:v>Template</x:v>
      </x:c>
      <x:c r="G145" s="10" t="str">
        <x:v>—</x:v>
      </x:c>
      <x:c r="H145" s="10" t="str">
        <x:v>—</x:v>
      </x:c>
      <x:c r="I145" s="10" t="str">
        <x:v>—</x:v>
      </x:c>
      <x:c r="J145" s="10" t="str">
        <x:v>—</x:v>
      </x:c>
      <x:c r="K145" s="10" t="str">
        <x:v>—</x:v>
      </x:c>
      <x:c r="L145" s="10" t="str">
        <x:v>—</x:v>
      </x:c>
      <x:c r="M145" s="10" t="str">
        <x:v>—</x:v>
      </x:c>
      <x:c r="N145" s="10" t="str">
        <x:v>—</x:v>
      </x:c>
      <x:c r="O145" s="10" t="str">
        <x:v>—</x:v>
      </x:c>
      <x:c r="P145" s="10" t="str">
        <x:v>—</x:v>
      </x:c>
    </x:row>
    <x:row r="146" ht="38" customHeight="1">
      <x:c r="A146" s="10" t="str">
        <x:v>reports.draft.edit</x:v>
      </x:c>
      <x:c r="B146" s="10" t="str">
        <x:v>—</x:v>
      </x:c>
      <x:c r="C146" s="10" t="str">
        <x:v>—</x:v>
      </x:c>
      <x:c r="D146" s="10" t="str">
        <x:v>—</x:v>
      </x:c>
      <x:c r="E146" s="10" t="str">
        <x:v>—</x:v>
      </x:c>
      <x:c r="F146" s="10" t="str">
        <x:v>Template</x:v>
      </x:c>
      <x:c r="G146" s="10" t="str">
        <x:v>—</x:v>
      </x:c>
      <x:c r="H146" s="10" t="str">
        <x:v>—</x:v>
      </x:c>
      <x:c r="I146" s="10" t="str">
        <x:v>—</x:v>
      </x:c>
      <x:c r="J146" s="10" t="str">
        <x:v>—</x:v>
      </x:c>
      <x:c r="K146" s="10" t="str">
        <x:v>—</x:v>
      </x:c>
      <x:c r="L146" s="10" t="str">
        <x:v>—</x:v>
      </x:c>
      <x:c r="M146" s="10" t="str">
        <x:v>—</x:v>
      </x:c>
      <x:c r="N146" s="10" t="str">
        <x:v>—</x:v>
      </x:c>
      <x:c r="O146" s="10" t="str">
        <x:v>—</x:v>
      </x:c>
      <x:c r="P146" s="10" t="str">
        <x:v>—</x:v>
      </x:c>
    </x:row>
    <x:row r="147" ht="38" customHeight="1">
      <x:c r="A147" s="10" t="str">
        <x:v>reports.read</x:v>
      </x:c>
      <x:c r="B147" s="10" t="str">
        <x:v>—</x:v>
      </x:c>
      <x:c r="C147" s="10" t="str">
        <x:v>—</x:v>
      </x:c>
      <x:c r="D147" s="10" t="str">
        <x:v>Template</x:v>
      </x:c>
      <x:c r="E147" s="10" t="str">
        <x:v>Template</x:v>
      </x:c>
      <x:c r="F147" s="10" t="str">
        <x:v>Template</x:v>
      </x:c>
      <x:c r="G147" s="10" t="str">
        <x:v>Template</x:v>
      </x:c>
      <x:c r="H147" s="10" t="str">
        <x:v>—</x:v>
      </x:c>
      <x:c r="I147" s="10" t="str">
        <x:v>Template</x:v>
      </x:c>
      <x:c r="J147" s="10" t="str">
        <x:v>Template</x:v>
      </x:c>
      <x:c r="K147" s="10" t="str">
        <x:v>—</x:v>
      </x:c>
      <x:c r="L147" s="10" t="str">
        <x:v>—</x:v>
      </x:c>
      <x:c r="M147" s="10" t="str">
        <x:v>—</x:v>
      </x:c>
      <x:c r="N147" s="10" t="str">
        <x:v>—</x:v>
      </x:c>
      <x:c r="O147" s="10" t="str">
        <x:v>—</x:v>
      </x:c>
      <x:c r="P147" s="10" t="str">
        <x:v>Template</x:v>
      </x:c>
    </x:row>
    <x:row r="148" ht="38" customHeight="1">
      <x:c r="A148" s="10" t="str">
        <x:v>retention-policies.draft.create</x:v>
      </x:c>
      <x:c r="B148" s="10" t="str">
        <x:v>—</x:v>
      </x:c>
      <x:c r="C148" s="10" t="str">
        <x:v>—</x:v>
      </x:c>
      <x:c r="D148" s="10" t="str">
        <x:v>—</x:v>
      </x:c>
      <x:c r="E148" s="10" t="str">
        <x:v>—</x:v>
      </x:c>
      <x:c r="F148" s="10" t="str">
        <x:v>—</x:v>
      </x:c>
      <x:c r="G148" s="10" t="str">
        <x:v>—</x:v>
      </x:c>
      <x:c r="H148" s="10" t="str">
        <x:v>—</x:v>
      </x:c>
      <x:c r="I148" s="10" t="str">
        <x:v>—</x:v>
      </x:c>
      <x:c r="J148" s="10" t="str">
        <x:v>—</x:v>
      </x:c>
      <x:c r="K148" s="10" t="str">
        <x:v>—</x:v>
      </x:c>
      <x:c r="L148" s="10" t="str">
        <x:v>Template</x:v>
      </x:c>
      <x:c r="M148" s="10" t="str">
        <x:v>—</x:v>
      </x:c>
      <x:c r="N148" s="10" t="str">
        <x:v>—</x:v>
      </x:c>
      <x:c r="O148" s="10" t="str">
        <x:v>—</x:v>
      </x:c>
      <x:c r="P148" s="10" t="str">
        <x:v>—</x:v>
      </x:c>
    </x:row>
    <x:row r="149" ht="38" customHeight="1">
      <x:c r="A149" s="10" t="str">
        <x:v>retention-policies.draft.edit</x:v>
      </x:c>
      <x:c r="B149" s="10" t="str">
        <x:v>—</x:v>
      </x:c>
      <x:c r="C149" s="10" t="str">
        <x:v>—</x:v>
      </x:c>
      <x:c r="D149" s="10" t="str">
        <x:v>—</x:v>
      </x:c>
      <x:c r="E149" s="10" t="str">
        <x:v>—</x:v>
      </x:c>
      <x:c r="F149" s="10" t="str">
        <x:v>—</x:v>
      </x:c>
      <x:c r="G149" s="10" t="str">
        <x:v>—</x:v>
      </x:c>
      <x:c r="H149" s="10" t="str">
        <x:v>—</x:v>
      </x:c>
      <x:c r="I149" s="10" t="str">
        <x:v>—</x:v>
      </x:c>
      <x:c r="J149" s="10" t="str">
        <x:v>—</x:v>
      </x:c>
      <x:c r="K149" s="10" t="str">
        <x:v>—</x:v>
      </x:c>
      <x:c r="L149" s="10" t="str">
        <x:v>Template</x:v>
      </x:c>
      <x:c r="M149" s="10" t="str">
        <x:v>—</x:v>
      </x:c>
      <x:c r="N149" s="10" t="str">
        <x:v>—</x:v>
      </x:c>
      <x:c r="O149" s="10" t="str">
        <x:v>—</x:v>
      </x:c>
      <x:c r="P149" s="10" t="str">
        <x:v>—</x:v>
      </x:c>
    </x:row>
    <x:row r="150" ht="38" customHeight="1">
      <x:c r="A150" s="10" t="str">
        <x:v>retention-policies.read</x:v>
      </x:c>
      <x:c r="B150" s="10" t="str">
        <x:v>—</x:v>
      </x:c>
      <x:c r="C150" s="10" t="str">
        <x:v>—</x:v>
      </x:c>
      <x:c r="D150" s="10" t="str">
        <x:v>—</x:v>
      </x:c>
      <x:c r="E150" s="10" t="str">
        <x:v>—</x:v>
      </x:c>
      <x:c r="F150" s="10" t="str">
        <x:v>—</x:v>
      </x:c>
      <x:c r="G150" s="10" t="str">
        <x:v>—</x:v>
      </x:c>
      <x:c r="H150" s="10" t="str">
        <x:v>—</x:v>
      </x:c>
      <x:c r="I150" s="10" t="str">
        <x:v>—</x:v>
      </x:c>
      <x:c r="J150" s="10" t="str">
        <x:v>—</x:v>
      </x:c>
      <x:c r="K150" s="10" t="str">
        <x:v>—</x:v>
      </x:c>
      <x:c r="L150" s="10" t="str">
        <x:v>Template</x:v>
      </x:c>
      <x:c r="M150" s="10" t="str">
        <x:v>—</x:v>
      </x:c>
      <x:c r="N150" s="10" t="str">
        <x:v>—</x:v>
      </x:c>
      <x:c r="O150" s="10" t="str">
        <x:v>—</x:v>
      </x:c>
      <x:c r="P150" s="10" t="str">
        <x:v>—</x:v>
      </x:c>
    </x:row>
    <x:row r="151" ht="38" customHeight="1">
      <x:c r="A151" s="10" t="str">
        <x:v>runtime.read</x:v>
      </x:c>
      <x:c r="B151" s="10" t="str">
        <x:v>—</x:v>
      </x:c>
      <x:c r="C151" s="10" t="str">
        <x:v>Template</x:v>
      </x:c>
      <x:c r="D151" s="10" t="str">
        <x:v>—</x:v>
      </x:c>
      <x:c r="E151" s="10" t="str">
        <x:v>—</x:v>
      </x:c>
      <x:c r="F151" s="10" t="str">
        <x:v>—</x:v>
      </x:c>
      <x:c r="G151" s="10" t="str">
        <x:v>—</x:v>
      </x:c>
      <x:c r="H151" s="10" t="str">
        <x:v>—</x:v>
      </x:c>
      <x:c r="I151" s="10" t="str">
        <x:v>—</x:v>
      </x:c>
      <x:c r="J151" s="10" t="str">
        <x:v>—</x:v>
      </x:c>
      <x:c r="K151" s="10" t="str">
        <x:v>—</x:v>
      </x:c>
      <x:c r="L151" s="10" t="str">
        <x:v>—</x:v>
      </x:c>
      <x:c r="M151" s="10" t="str">
        <x:v>Template</x:v>
      </x:c>
      <x:c r="N151" s="10" t="str">
        <x:v>—</x:v>
      </x:c>
      <x:c r="O151" s="10" t="str">
        <x:v>—</x:v>
      </x:c>
      <x:c r="P151" s="10" t="str">
        <x:v>—</x:v>
      </x:c>
    </x:row>
    <x:row r="152" ht="38" customHeight="1">
      <x:c r="A152" s="10" t="str">
        <x:v>schedule.pause</x:v>
      </x:c>
      <x:c r="B152" s="10" t="str">
        <x:v>—</x:v>
      </x:c>
      <x:c r="C152" s="10" t="str">
        <x:v>Template</x:v>
      </x:c>
      <x:c r="D152" s="10" t="str">
        <x:v>—</x:v>
      </x:c>
      <x:c r="E152" s="10" t="str">
        <x:v>—</x:v>
      </x:c>
      <x:c r="F152" s="10" t="str">
        <x:v>—</x:v>
      </x:c>
      <x:c r="G152" s="10" t="str">
        <x:v>—</x:v>
      </x:c>
      <x:c r="H152" s="10" t="str">
        <x:v>—</x:v>
      </x:c>
      <x:c r="I152" s="10" t="str">
        <x:v>—</x:v>
      </x:c>
      <x:c r="J152" s="10" t="str">
        <x:v>—</x:v>
      </x:c>
      <x:c r="K152" s="10" t="str">
        <x:v>—</x:v>
      </x:c>
      <x:c r="L152" s="10" t="str">
        <x:v>—</x:v>
      </x:c>
      <x:c r="M152" s="10" t="str">
        <x:v>—</x:v>
      </x:c>
      <x:c r="N152" s="10" t="str">
        <x:v>—</x:v>
      </x:c>
      <x:c r="O152" s="10" t="str">
        <x:v>—</x:v>
      </x:c>
      <x:c r="P152" s="10" t="str">
        <x:v>—</x:v>
      </x:c>
    </x:row>
    <x:row r="153" ht="38" customHeight="1">
      <x:c r="A153" s="10" t="str">
        <x:v>schedules.draft.create</x:v>
      </x:c>
      <x:c r="B153" s="10" t="str">
        <x:v>—</x:v>
      </x:c>
      <x:c r="C153" s="10" t="str">
        <x:v>Template</x:v>
      </x:c>
      <x:c r="D153" s="10" t="str">
        <x:v>—</x:v>
      </x:c>
      <x:c r="E153" s="10" t="str">
        <x:v>—</x:v>
      </x:c>
      <x:c r="F153" s="10" t="str">
        <x:v>—</x:v>
      </x:c>
      <x:c r="G153" s="10" t="str">
        <x:v>—</x:v>
      </x:c>
      <x:c r="H153" s="10" t="str">
        <x:v>—</x:v>
      </x:c>
      <x:c r="I153" s="10" t="str">
        <x:v>—</x:v>
      </x:c>
      <x:c r="J153" s="10" t="str">
        <x:v>—</x:v>
      </x:c>
      <x:c r="K153" s="10" t="str">
        <x:v>—</x:v>
      </x:c>
      <x:c r="L153" s="10" t="str">
        <x:v>—</x:v>
      </x:c>
      <x:c r="M153" s="10" t="str">
        <x:v>—</x:v>
      </x:c>
      <x:c r="N153" s="10" t="str">
        <x:v>—</x:v>
      </x:c>
      <x:c r="O153" s="10" t="str">
        <x:v>—</x:v>
      </x:c>
      <x:c r="P153" s="10" t="str">
        <x:v>—</x:v>
      </x:c>
    </x:row>
    <x:row r="154" ht="38" customHeight="1">
      <x:c r="A154" s="10" t="str">
        <x:v>schedules.draft.edit</x:v>
      </x:c>
      <x:c r="B154" s="10" t="str">
        <x:v>—</x:v>
      </x:c>
      <x:c r="C154" s="10" t="str">
        <x:v>Template</x:v>
      </x:c>
      <x:c r="D154" s="10" t="str">
        <x:v>—</x:v>
      </x:c>
      <x:c r="E154" s="10" t="str">
        <x:v>—</x:v>
      </x:c>
      <x:c r="F154" s="10" t="str">
        <x:v>—</x:v>
      </x:c>
      <x:c r="G154" s="10" t="str">
        <x:v>—</x:v>
      </x:c>
      <x:c r="H154" s="10" t="str">
        <x:v>—</x:v>
      </x:c>
      <x:c r="I154" s="10" t="str">
        <x:v>—</x:v>
      </x:c>
      <x:c r="J154" s="10" t="str">
        <x:v>—</x:v>
      </x:c>
      <x:c r="K154" s="10" t="str">
        <x:v>—</x:v>
      </x:c>
      <x:c r="L154" s="10" t="str">
        <x:v>—</x:v>
      </x:c>
      <x:c r="M154" s="10" t="str">
        <x:v>—</x:v>
      </x:c>
      <x:c r="N154" s="10" t="str">
        <x:v>—</x:v>
      </x:c>
      <x:c r="O154" s="10" t="str">
        <x:v>—</x:v>
      </x:c>
      <x:c r="P154" s="10" t="str">
        <x:v>—</x:v>
      </x:c>
    </x:row>
    <x:row r="155" ht="38" customHeight="1">
      <x:c r="A155" s="10" t="str">
        <x:v>schedules.read</x:v>
      </x:c>
      <x:c r="B155" s="10" t="str">
        <x:v>Template</x:v>
      </x:c>
      <x:c r="C155" s="10" t="str">
        <x:v>Template</x:v>
      </x:c>
      <x:c r="D155" s="10" t="str">
        <x:v>—</x:v>
      </x:c>
      <x:c r="E155" s="10" t="str">
        <x:v>—</x:v>
      </x:c>
      <x:c r="F155" s="10" t="str">
        <x:v>—</x:v>
      </x:c>
      <x:c r="G155" s="10" t="str">
        <x:v>—</x:v>
      </x:c>
      <x:c r="H155" s="10" t="str">
        <x:v>—</x:v>
      </x:c>
      <x:c r="I155" s="10" t="str">
        <x:v>—</x:v>
      </x:c>
      <x:c r="J155" s="10" t="str">
        <x:v>—</x:v>
      </x:c>
      <x:c r="K155" s="10" t="str">
        <x:v>—</x:v>
      </x:c>
      <x:c r="L155" s="10" t="str">
        <x:v>—</x:v>
      </x:c>
      <x:c r="M155" s="10" t="str">
        <x:v>—</x:v>
      </x:c>
      <x:c r="N155" s="10" t="str">
        <x:v>—</x:v>
      </x:c>
      <x:c r="O155" s="10" t="str">
        <x:v>—</x:v>
      </x:c>
      <x:c r="P155" s="10" t="str">
        <x:v>—</x:v>
      </x:c>
    </x:row>
    <x:row r="156" ht="38" customHeight="1">
      <x:c r="A156" s="10" t="str">
        <x:v>service-events.draft.create</x:v>
      </x:c>
      <x:c r="B156" s="10" t="str">
        <x:v>—</x:v>
      </x:c>
      <x:c r="C156" s="10" t="str">
        <x:v>—</x:v>
      </x:c>
      <x:c r="D156" s="10" t="str">
        <x:v>—</x:v>
      </x:c>
      <x:c r="E156" s="10" t="str">
        <x:v>—</x:v>
      </x:c>
      <x:c r="F156" s="10" t="str">
        <x:v>Template</x:v>
      </x:c>
      <x:c r="G156" s="10" t="str">
        <x:v>—</x:v>
      </x:c>
      <x:c r="H156" s="10" t="str">
        <x:v>—</x:v>
      </x:c>
      <x:c r="I156" s="10" t="str">
        <x:v>—</x:v>
      </x:c>
      <x:c r="J156" s="10" t="str">
        <x:v>—</x:v>
      </x:c>
      <x:c r="K156" s="10" t="str">
        <x:v>—</x:v>
      </x:c>
      <x:c r="L156" s="10" t="str">
        <x:v>—</x:v>
      </x:c>
      <x:c r="M156" s="10" t="str">
        <x:v>—</x:v>
      </x:c>
      <x:c r="N156" s="10" t="str">
        <x:v>—</x:v>
      </x:c>
      <x:c r="O156" s="10" t="str">
        <x:v>—</x:v>
      </x:c>
      <x:c r="P156" s="10" t="str">
        <x:v>—</x:v>
      </x:c>
    </x:row>
    <x:row r="157" ht="38" customHeight="1">
      <x:c r="A157" s="10" t="str">
        <x:v>service-events.draft.edit</x:v>
      </x:c>
      <x:c r="B157" s="10" t="str">
        <x:v>—</x:v>
      </x:c>
      <x:c r="C157" s="10" t="str">
        <x:v>—</x:v>
      </x:c>
      <x:c r="D157" s="10" t="str">
        <x:v>—</x:v>
      </x:c>
      <x:c r="E157" s="10" t="str">
        <x:v>—</x:v>
      </x:c>
      <x:c r="F157" s="10" t="str">
        <x:v>Template</x:v>
      </x:c>
      <x:c r="G157" s="10" t="str">
        <x:v>—</x:v>
      </x:c>
      <x:c r="H157" s="10" t="str">
        <x:v>—</x:v>
      </x:c>
      <x:c r="I157" s="10" t="str">
        <x:v>—</x:v>
      </x:c>
      <x:c r="J157" s="10" t="str">
        <x:v>—</x:v>
      </x:c>
      <x:c r="K157" s="10" t="str">
        <x:v>—</x:v>
      </x:c>
      <x:c r="L157" s="10" t="str">
        <x:v>—</x:v>
      </x:c>
      <x:c r="M157" s="10" t="str">
        <x:v>—</x:v>
      </x:c>
      <x:c r="N157" s="10" t="str">
        <x:v>—</x:v>
      </x:c>
      <x:c r="O157" s="10" t="str">
        <x:v>—</x:v>
      </x:c>
      <x:c r="P157" s="10" t="str">
        <x:v>—</x:v>
      </x:c>
    </x:row>
    <x:row r="158" ht="38" customHeight="1">
      <x:c r="A158" s="10" t="str">
        <x:v>service-events.read</x:v>
      </x:c>
      <x:c r="B158" s="10" t="str">
        <x:v>—</x:v>
      </x:c>
      <x:c r="C158" s="10" t="str">
        <x:v>—</x:v>
      </x:c>
      <x:c r="D158" s="10" t="str">
        <x:v>Template</x:v>
      </x:c>
      <x:c r="E158" s="10" t="str">
        <x:v>Template</x:v>
      </x:c>
      <x:c r="F158" s="10" t="str">
        <x:v>Template</x:v>
      </x:c>
      <x:c r="G158" s="10" t="str">
        <x:v>Template</x:v>
      </x:c>
      <x:c r="H158" s="10" t="str">
        <x:v>Template</x:v>
      </x:c>
      <x:c r="I158" s="10" t="str">
        <x:v>Template</x:v>
      </x:c>
      <x:c r="J158" s="10" t="str">
        <x:v>—</x:v>
      </x:c>
      <x:c r="K158" s="10" t="str">
        <x:v>—</x:v>
      </x:c>
      <x:c r="L158" s="10" t="str">
        <x:v>—</x:v>
      </x:c>
      <x:c r="M158" s="10" t="str">
        <x:v>—</x:v>
      </x:c>
      <x:c r="N158" s="10" t="str">
        <x:v>—</x:v>
      </x:c>
      <x:c r="O158" s="10" t="str">
        <x:v>—</x:v>
      </x:c>
      <x:c r="P158" s="10" t="str">
        <x:v>—</x:v>
      </x:c>
    </x:row>
    <x:row r="159" ht="38" customHeight="1">
      <x:c r="A159" s="10" t="str">
        <x:v>snapshots.read</x:v>
      </x:c>
      <x:c r="B159" s="10" t="str">
        <x:v>—</x:v>
      </x:c>
      <x:c r="C159" s="10" t="str">
        <x:v>—</x:v>
      </x:c>
      <x:c r="D159" s="10" t="str">
        <x:v>Template</x:v>
      </x:c>
      <x:c r="E159" s="10" t="str">
        <x:v>Template</x:v>
      </x:c>
      <x:c r="F159" s="10" t="str">
        <x:v>Template</x:v>
      </x:c>
      <x:c r="G159" s="10" t="str">
        <x:v>Template</x:v>
      </x:c>
      <x:c r="H159" s="10" t="str">
        <x:v>—</x:v>
      </x:c>
      <x:c r="I159" s="10" t="str">
        <x:v>Template</x:v>
      </x:c>
      <x:c r="J159" s="10" t="str">
        <x:v>Template</x:v>
      </x:c>
      <x:c r="K159" s="10" t="str">
        <x:v>—</x:v>
      </x:c>
      <x:c r="L159" s="10" t="str">
        <x:v>—</x:v>
      </x:c>
      <x:c r="M159" s="10" t="str">
        <x:v>—</x:v>
      </x:c>
      <x:c r="N159" s="10" t="str">
        <x:v>—</x:v>
      </x:c>
      <x:c r="O159" s="10" t="str">
        <x:v>—</x:v>
      </x:c>
      <x:c r="P159" s="10" t="str">
        <x:v>Template</x:v>
      </x:c>
    </x:row>
    <x:row r="160" ht="38" customHeight="1">
      <x:c r="A160" s="10" t="str">
        <x:v>submission.submit</x:v>
      </x:c>
      <x:c r="B160" s="10" t="str">
        <x:v>—</x:v>
      </x:c>
      <x:c r="C160" s="10" t="str">
        <x:v>—</x:v>
      </x:c>
      <x:c r="D160" s="10" t="str">
        <x:v>—</x:v>
      </x:c>
      <x:c r="E160" s="10" t="str">
        <x:v>—</x:v>
      </x:c>
      <x:c r="F160" s="10" t="str">
        <x:v>Template</x:v>
      </x:c>
      <x:c r="G160" s="10" t="str">
        <x:v>—</x:v>
      </x:c>
      <x:c r="H160" s="10" t="str">
        <x:v>Template</x:v>
      </x:c>
      <x:c r="I160" s="10" t="str">
        <x:v>—</x:v>
      </x:c>
      <x:c r="J160" s="10" t="str">
        <x:v>—</x:v>
      </x:c>
      <x:c r="K160" s="10" t="str">
        <x:v>—</x:v>
      </x:c>
      <x:c r="L160" s="10" t="str">
        <x:v>—</x:v>
      </x:c>
      <x:c r="M160" s="10" t="str">
        <x:v>—</x:v>
      </x:c>
      <x:c r="N160" s="10" t="str">
        <x:v>—</x:v>
      </x:c>
      <x:c r="O160" s="10" t="str">
        <x:v>—</x:v>
      </x:c>
      <x:c r="P160" s="10" t="str">
        <x:v>—</x:v>
      </x:c>
    </x:row>
    <x:row r="161" ht="38" customHeight="1">
      <x:c r="A161" s="10" t="str">
        <x:v>submission.sync</x:v>
      </x:c>
      <x:c r="B161" s="10" t="str">
        <x:v>—</x:v>
      </x:c>
      <x:c r="C161" s="10" t="str">
        <x:v>—</x:v>
      </x:c>
      <x:c r="D161" s="10" t="str">
        <x:v>—</x:v>
      </x:c>
      <x:c r="E161" s="10" t="str">
        <x:v>—</x:v>
      </x:c>
      <x:c r="F161" s="10" t="str">
        <x:v>—</x:v>
      </x:c>
      <x:c r="G161" s="10" t="str">
        <x:v>—</x:v>
      </x:c>
      <x:c r="H161" s="10" t="str">
        <x:v>Template</x:v>
      </x:c>
      <x:c r="I161" s="10" t="str">
        <x:v>—</x:v>
      </x:c>
      <x:c r="J161" s="10" t="str">
        <x:v>—</x:v>
      </x:c>
      <x:c r="K161" s="10" t="str">
        <x:v>—</x:v>
      </x:c>
      <x:c r="L161" s="10" t="str">
        <x:v>—</x:v>
      </x:c>
      <x:c r="M161" s="10" t="str">
        <x:v>—</x:v>
      </x:c>
      <x:c r="N161" s="10" t="str">
        <x:v>—</x:v>
      </x:c>
      <x:c r="O161" s="10" t="str">
        <x:v>—</x:v>
      </x:c>
      <x:c r="P161" s="10" t="str">
        <x:v>—</x:v>
      </x:c>
    </x:row>
    <x:row r="162" ht="38" customHeight="1">
      <x:c r="A162" s="10" t="str">
        <x:v>submissions.draft.create</x:v>
      </x:c>
      <x:c r="B162" s="10" t="str">
        <x:v>—</x:v>
      </x:c>
      <x:c r="C162" s="10" t="str">
        <x:v>—</x:v>
      </x:c>
      <x:c r="D162" s="10" t="str">
        <x:v>—</x:v>
      </x:c>
      <x:c r="E162" s="10" t="str">
        <x:v>—</x:v>
      </x:c>
      <x:c r="F162" s="10" t="str">
        <x:v>Template</x:v>
      </x:c>
      <x:c r="G162" s="10" t="str">
        <x:v>—</x:v>
      </x:c>
      <x:c r="H162" s="10" t="str">
        <x:v>Template</x:v>
      </x:c>
      <x:c r="I162" s="10" t="str">
        <x:v>—</x:v>
      </x:c>
      <x:c r="J162" s="10" t="str">
        <x:v>—</x:v>
      </x:c>
      <x:c r="K162" s="10" t="str">
        <x:v>—</x:v>
      </x:c>
      <x:c r="L162" s="10" t="str">
        <x:v>—</x:v>
      </x:c>
      <x:c r="M162" s="10" t="str">
        <x:v>—</x:v>
      </x:c>
      <x:c r="N162" s="10" t="str">
        <x:v>—</x:v>
      </x:c>
      <x:c r="O162" s="10" t="str">
        <x:v>—</x:v>
      </x:c>
      <x:c r="P162" s="10" t="str">
        <x:v>—</x:v>
      </x:c>
    </x:row>
    <x:row r="163" ht="38" customHeight="1">
      <x:c r="A163" s="10" t="str">
        <x:v>submissions.draft.edit</x:v>
      </x:c>
      <x:c r="B163" s="10" t="str">
        <x:v>—</x:v>
      </x:c>
      <x:c r="C163" s="10" t="str">
        <x:v>—</x:v>
      </x:c>
      <x:c r="D163" s="10" t="str">
        <x:v>—</x:v>
      </x:c>
      <x:c r="E163" s="10" t="str">
        <x:v>—</x:v>
      </x:c>
      <x:c r="F163" s="10" t="str">
        <x:v>Template</x:v>
      </x:c>
      <x:c r="G163" s="10" t="str">
        <x:v>—</x:v>
      </x:c>
      <x:c r="H163" s="10" t="str">
        <x:v>Template</x:v>
      </x:c>
      <x:c r="I163" s="10" t="str">
        <x:v>—</x:v>
      </x:c>
      <x:c r="J163" s="10" t="str">
        <x:v>—</x:v>
      </x:c>
      <x:c r="K163" s="10" t="str">
        <x:v>—</x:v>
      </x:c>
      <x:c r="L163" s="10" t="str">
        <x:v>—</x:v>
      </x:c>
      <x:c r="M163" s="10" t="str">
        <x:v>—</x:v>
      </x:c>
      <x:c r="N163" s="10" t="str">
        <x:v>—</x:v>
      </x:c>
      <x:c r="O163" s="10" t="str">
        <x:v>—</x:v>
      </x:c>
      <x:c r="P163" s="10" t="str">
        <x:v>—</x:v>
      </x:c>
    </x:row>
    <x:row r="164" ht="38" customHeight="1">
      <x:c r="A164" s="10" t="str">
        <x:v>submissions.read</x:v>
      </x:c>
      <x:c r="B164" s="10" t="str">
        <x:v>—</x:v>
      </x:c>
      <x:c r="C164" s="10" t="str">
        <x:v>—</x:v>
      </x:c>
      <x:c r="D164" s="10" t="str">
        <x:v>Template</x:v>
      </x:c>
      <x:c r="E164" s="10" t="str">
        <x:v>Template</x:v>
      </x:c>
      <x:c r="F164" s="10" t="str">
        <x:v>Template</x:v>
      </x:c>
      <x:c r="G164" s="10" t="str">
        <x:v>Template</x:v>
      </x:c>
      <x:c r="H164" s="10" t="str">
        <x:v>Template</x:v>
      </x:c>
      <x:c r="I164" s="10" t="str">
        <x:v>Template</x:v>
      </x:c>
      <x:c r="J164" s="10" t="str">
        <x:v>—</x:v>
      </x:c>
      <x:c r="K164" s="10" t="str">
        <x:v>—</x:v>
      </x:c>
      <x:c r="L164" s="10" t="str">
        <x:v>—</x:v>
      </x:c>
      <x:c r="M164" s="10" t="str">
        <x:v>—</x:v>
      </x:c>
      <x:c r="N164" s="10" t="str">
        <x:v>—</x:v>
      </x:c>
      <x:c r="O164" s="10" t="str">
        <x:v>—</x:v>
      </x:c>
      <x:c r="P164" s="10" t="str">
        <x:v>—</x:v>
      </x:c>
    </x:row>
    <x:row r="165" ht="38" customHeight="1">
      <x:c r="A165" s="10" t="str">
        <x:v>subscription.admin</x:v>
      </x:c>
      <x:c r="B165" s="10" t="str">
        <x:v>—</x:v>
      </x:c>
      <x:c r="C165" s="10" t="str">
        <x:v>—</x:v>
      </x:c>
      <x:c r="D165" s="10" t="str">
        <x:v>—</x:v>
      </x:c>
      <x:c r="E165" s="10" t="str">
        <x:v>—</x:v>
      </x:c>
      <x:c r="F165" s="10" t="str">
        <x:v>—</x:v>
      </x:c>
      <x:c r="G165" s="10" t="str">
        <x:v>—</x:v>
      </x:c>
      <x:c r="H165" s="10" t="str">
        <x:v>—</x:v>
      </x:c>
      <x:c r="I165" s="10" t="str">
        <x:v>—</x:v>
      </x:c>
      <x:c r="J165" s="10" t="str">
        <x:v>—</x:v>
      </x:c>
      <x:c r="K165" s="10" t="str">
        <x:v>—</x:v>
      </x:c>
      <x:c r="L165" s="10" t="str">
        <x:v>—</x:v>
      </x:c>
      <x:c r="M165" s="10" t="str">
        <x:v>Template</x:v>
      </x:c>
      <x:c r="N165" s="10" t="str">
        <x:v>—</x:v>
      </x:c>
      <x:c r="O165" s="10" t="str">
        <x:v>—</x:v>
      </x:c>
      <x:c r="P165" s="10" t="str">
        <x:v>—</x:v>
      </x:c>
    </x:row>
    <x:row r="166" ht="38" customHeight="1">
      <x:c r="A166" s="10" t="str">
        <x:v>subscriptions.read</x:v>
      </x:c>
      <x:c r="B166" s="10" t="str">
        <x:v>—</x:v>
      </x:c>
      <x:c r="C166" s="10" t="str">
        <x:v>—</x:v>
      </x:c>
      <x:c r="D166" s="10" t="str">
        <x:v>—</x:v>
      </x:c>
      <x:c r="E166" s="10" t="str">
        <x:v>—</x:v>
      </x:c>
      <x:c r="F166" s="10" t="str">
        <x:v>—</x:v>
      </x:c>
      <x:c r="G166" s="10" t="str">
        <x:v>—</x:v>
      </x:c>
      <x:c r="H166" s="10" t="str">
        <x:v>—</x:v>
      </x:c>
      <x:c r="I166" s="10" t="str">
        <x:v>—</x:v>
      </x:c>
      <x:c r="J166" s="10" t="str">
        <x:v>—</x:v>
      </x:c>
      <x:c r="K166" s="10" t="str">
        <x:v>—</x:v>
      </x:c>
      <x:c r="L166" s="10" t="str">
        <x:v>—</x:v>
      </x:c>
      <x:c r="M166" s="10" t="str">
        <x:v>Template</x:v>
      </x:c>
      <x:c r="N166" s="10" t="str">
        <x:v>—</x:v>
      </x:c>
      <x:c r="O166" s="10" t="str">
        <x:v>—</x:v>
      </x:c>
      <x:c r="P166" s="10" t="str">
        <x:v>—</x:v>
      </x:c>
    </x:row>
    <x:row r="167" ht="38" customHeight="1">
      <x:c r="A167" s="10" t="str">
        <x:v>support-requests.read</x:v>
      </x:c>
      <x:c r="B167" s="10" t="str">
        <x:v>Template</x:v>
      </x:c>
      <x:c r="C167" s="10" t="str">
        <x:v>Template</x:v>
      </x:c>
      <x:c r="D167" s="10" t="str">
        <x:v>—</x:v>
      </x:c>
      <x:c r="E167" s="10" t="str">
        <x:v>—</x:v>
      </x:c>
      <x:c r="F167" s="10" t="str">
        <x:v>—</x:v>
      </x:c>
      <x:c r="G167" s="10" t="str">
        <x:v>—</x:v>
      </x:c>
      <x:c r="H167" s="10" t="str">
        <x:v>—</x:v>
      </x:c>
      <x:c r="I167" s="10" t="str">
        <x:v>—</x:v>
      </x:c>
      <x:c r="J167" s="10" t="str">
        <x:v>—</x:v>
      </x:c>
      <x:c r="K167" s="10" t="str">
        <x:v>—</x:v>
      </x:c>
      <x:c r="L167" s="10" t="str">
        <x:v>—</x:v>
      </x:c>
      <x:c r="M167" s="10" t="str">
        <x:v>—</x:v>
      </x:c>
      <x:c r="N167" s="10" t="str">
        <x:v>—</x:v>
      </x:c>
      <x:c r="O167" s="10" t="str">
        <x:v>—</x:v>
      </x:c>
      <x:c r="P167" s="10" t="str">
        <x:v>—</x:v>
      </x:c>
    </x:row>
    <x:row r="168" ht="38" customHeight="1">
      <x:c r="A168" s="10" t="str">
        <x:v>support.approve</x:v>
      </x:c>
      <x:c r="B168" s="10" t="str">
        <x:v>Template</x:v>
      </x:c>
      <x:c r="C168" s="10" t="str">
        <x:v>—</x:v>
      </x:c>
      <x:c r="D168" s="10" t="str">
        <x:v>—</x:v>
      </x:c>
      <x:c r="E168" s="10" t="str">
        <x:v>—</x:v>
      </x:c>
      <x:c r="F168" s="10" t="str">
        <x:v>—</x:v>
      </x:c>
      <x:c r="G168" s="10" t="str">
        <x:v>—</x:v>
      </x:c>
      <x:c r="H168" s="10" t="str">
        <x:v>—</x:v>
      </x:c>
      <x:c r="I168" s="10" t="str">
        <x:v>—</x:v>
      </x:c>
      <x:c r="J168" s="10" t="str">
        <x:v>—</x:v>
      </x:c>
      <x:c r="K168" s="10" t="str">
        <x:v>—</x:v>
      </x:c>
      <x:c r="L168" s="10" t="str">
        <x:v>—</x:v>
      </x:c>
      <x:c r="M168" s="10" t="str">
        <x:v>—</x:v>
      </x:c>
      <x:c r="N168" s="10" t="str">
        <x:v>—</x:v>
      </x:c>
      <x:c r="O168" s="10" t="str">
        <x:v>—</x:v>
      </x:c>
      <x:c r="P168" s="10" t="str">
        <x:v>—</x:v>
      </x:c>
    </x:row>
    <x:row r="169" ht="38" customHeight="1">
      <x:c r="A169" s="10" t="str">
        <x:v>support.request</x:v>
      </x:c>
      <x:c r="B169" s="10" t="str">
        <x:v>—</x:v>
      </x:c>
      <x:c r="C169" s="10" t="str">
        <x:v>—</x:v>
      </x:c>
      <x:c r="D169" s="10" t="str">
        <x:v>—</x:v>
      </x:c>
      <x:c r="E169" s="10" t="str">
        <x:v>—</x:v>
      </x:c>
      <x:c r="F169" s="10" t="str">
        <x:v>—</x:v>
      </x:c>
      <x:c r="G169" s="10" t="str">
        <x:v>—</x:v>
      </x:c>
      <x:c r="H169" s="10" t="str">
        <x:v>—</x:v>
      </x:c>
      <x:c r="I169" s="10" t="str">
        <x:v>—</x:v>
      </x:c>
      <x:c r="J169" s="10" t="str">
        <x:v>—</x:v>
      </x:c>
      <x:c r="K169" s="10" t="str">
        <x:v>—</x:v>
      </x:c>
      <x:c r="L169" s="10" t="str">
        <x:v>—</x:v>
      </x:c>
      <x:c r="M169" s="10" t="str">
        <x:v>—</x:v>
      </x:c>
      <x:c r="N169" s="10" t="str">
        <x:v>Template</x:v>
      </x:c>
      <x:c r="O169" s="10" t="str">
        <x:v>—</x:v>
      </x:c>
      <x:c r="P169" s="10" t="str">
        <x:v>—</x:v>
      </x:c>
    </x:row>
    <x:row r="170" ht="38" customHeight="1">
      <x:c r="A170" s="10" t="str">
        <x:v>support.revoke</x:v>
      </x:c>
      <x:c r="B170" s="10" t="str">
        <x:v>Template</x:v>
      </x:c>
      <x:c r="C170" s="10" t="str">
        <x:v>—</x:v>
      </x:c>
      <x:c r="D170" s="10" t="str">
        <x:v>—</x:v>
      </x:c>
      <x:c r="E170" s="10" t="str">
        <x:v>—</x:v>
      </x:c>
      <x:c r="F170" s="10" t="str">
        <x:v>—</x:v>
      </x:c>
      <x:c r="G170" s="10" t="str">
        <x:v>—</x:v>
      </x:c>
      <x:c r="H170" s="10" t="str">
        <x:v>—</x:v>
      </x:c>
      <x:c r="I170" s="10" t="str">
        <x:v>—</x:v>
      </x:c>
      <x:c r="J170" s="10" t="str">
        <x:v>—</x:v>
      </x:c>
      <x:c r="K170" s="10" t="str">
        <x:v>—</x:v>
      </x:c>
      <x:c r="L170" s="10" t="str">
        <x:v>—</x:v>
      </x:c>
      <x:c r="M170" s="10" t="str">
        <x:v>Template</x:v>
      </x:c>
      <x:c r="N170" s="10" t="str">
        <x:v>—</x:v>
      </x:c>
      <x:c r="O170" s="10" t="str">
        <x:v>—</x:v>
      </x:c>
      <x:c r="P170" s="10" t="str">
        <x:v>—</x:v>
      </x:c>
    </x:row>
    <x:row r="171" ht="38" customHeight="1">
      <x:c r="A171" s="10" t="str">
        <x:v>target.submit</x:v>
      </x:c>
      <x:c r="B171" s="10" t="str">
        <x:v>—</x:v>
      </x:c>
      <x:c r="C171" s="10" t="str">
        <x:v>—</x:v>
      </x:c>
      <x:c r="D171" s="10" t="str">
        <x:v>Template</x:v>
      </x:c>
      <x:c r="E171" s="10" t="str">
        <x:v>—</x:v>
      </x:c>
      <x:c r="F171" s="10" t="str">
        <x:v>Template</x:v>
      </x:c>
      <x:c r="G171" s="10" t="str">
        <x:v>—</x:v>
      </x:c>
      <x:c r="H171" s="10" t="str">
        <x:v>—</x:v>
      </x:c>
      <x:c r="I171" s="10" t="str">
        <x:v>—</x:v>
      </x:c>
      <x:c r="J171" s="10" t="str">
        <x:v>—</x:v>
      </x:c>
      <x:c r="K171" s="10" t="str">
        <x:v>—</x:v>
      </x:c>
      <x:c r="L171" s="10" t="str">
        <x:v>—</x:v>
      </x:c>
      <x:c r="M171" s="10" t="str">
        <x:v>—</x:v>
      </x:c>
      <x:c r="N171" s="10" t="str">
        <x:v>—</x:v>
      </x:c>
      <x:c r="O171" s="10" t="str">
        <x:v>—</x:v>
      </x:c>
      <x:c r="P171" s="10" t="str">
        <x:v>—</x:v>
      </x:c>
    </x:row>
    <x:row r="172" ht="38" customHeight="1">
      <x:c r="A172" s="10" t="str">
        <x:v>targets.draft.create</x:v>
      </x:c>
      <x:c r="B172" s="10" t="str">
        <x:v>—</x:v>
      </x:c>
      <x:c r="C172" s="10" t="str">
        <x:v>—</x:v>
      </x:c>
      <x:c r="D172" s="10" t="str">
        <x:v>Template</x:v>
      </x:c>
      <x:c r="E172" s="10" t="str">
        <x:v>—</x:v>
      </x:c>
      <x:c r="F172" s="10" t="str">
        <x:v>Template</x:v>
      </x:c>
      <x:c r="G172" s="10" t="str">
        <x:v>—</x:v>
      </x:c>
      <x:c r="H172" s="10" t="str">
        <x:v>—</x:v>
      </x:c>
      <x:c r="I172" s="10" t="str">
        <x:v>—</x:v>
      </x:c>
      <x:c r="J172" s="10" t="str">
        <x:v>—</x:v>
      </x:c>
      <x:c r="K172" s="10" t="str">
        <x:v>—</x:v>
      </x:c>
      <x:c r="L172" s="10" t="str">
        <x:v>—</x:v>
      </x:c>
      <x:c r="M172" s="10" t="str">
        <x:v>—</x:v>
      </x:c>
      <x:c r="N172" s="10" t="str">
        <x:v>—</x:v>
      </x:c>
      <x:c r="O172" s="10" t="str">
        <x:v>—</x:v>
      </x:c>
      <x:c r="P172" s="10" t="str">
        <x:v>—</x:v>
      </x:c>
    </x:row>
    <x:row r="173" ht="38" customHeight="1">
      <x:c r="A173" s="10" t="str">
        <x:v>targets.draft.edit</x:v>
      </x:c>
      <x:c r="B173" s="10" t="str">
        <x:v>—</x:v>
      </x:c>
      <x:c r="C173" s="10" t="str">
        <x:v>—</x:v>
      </x:c>
      <x:c r="D173" s="10" t="str">
        <x:v>Template</x:v>
      </x:c>
      <x:c r="E173" s="10" t="str">
        <x:v>—</x:v>
      </x:c>
      <x:c r="F173" s="10" t="str">
        <x:v>Template</x:v>
      </x:c>
      <x:c r="G173" s="10" t="str">
        <x:v>—</x:v>
      </x:c>
      <x:c r="H173" s="10" t="str">
        <x:v>—</x:v>
      </x:c>
      <x:c r="I173" s="10" t="str">
        <x:v>—</x:v>
      </x:c>
      <x:c r="J173" s="10" t="str">
        <x:v>—</x:v>
      </x:c>
      <x:c r="K173" s="10" t="str">
        <x:v>—</x:v>
      </x:c>
      <x:c r="L173" s="10" t="str">
        <x:v>—</x:v>
      </x:c>
      <x:c r="M173" s="10" t="str">
        <x:v>—</x:v>
      </x:c>
      <x:c r="N173" s="10" t="str">
        <x:v>—</x:v>
      </x:c>
      <x:c r="O173" s="10" t="str">
        <x:v>—</x:v>
      </x:c>
      <x:c r="P173" s="10" t="str">
        <x:v>—</x:v>
      </x:c>
    </x:row>
    <x:row r="174" ht="38" customHeight="1">
      <x:c r="A174" s="10" t="str">
        <x:v>targets.read</x:v>
      </x:c>
      <x:c r="B174" s="10" t="str">
        <x:v>—</x:v>
      </x:c>
      <x:c r="C174" s="10" t="str">
        <x:v>—</x:v>
      </x:c>
      <x:c r="D174" s="10" t="str">
        <x:v>Template</x:v>
      </x:c>
      <x:c r="E174" s="10" t="str">
        <x:v>Template</x:v>
      </x:c>
      <x:c r="F174" s="10" t="str">
        <x:v>Template</x:v>
      </x:c>
      <x:c r="G174" s="10" t="str">
        <x:v>Template</x:v>
      </x:c>
      <x:c r="H174" s="10" t="str">
        <x:v>—</x:v>
      </x:c>
      <x:c r="I174" s="10" t="str">
        <x:v>Template</x:v>
      </x:c>
      <x:c r="J174" s="10" t="str">
        <x:v>Template</x:v>
      </x:c>
      <x:c r="K174" s="10" t="str">
        <x:v>—</x:v>
      </x:c>
      <x:c r="L174" s="10" t="str">
        <x:v>—</x:v>
      </x:c>
      <x:c r="M174" s="10" t="str">
        <x:v>—</x:v>
      </x:c>
      <x:c r="N174" s="10" t="str">
        <x:v>—</x:v>
      </x:c>
      <x:c r="O174" s="10" t="str">
        <x:v>—</x:v>
      </x:c>
      <x:c r="P174" s="10" t="str">
        <x:v>Template</x:v>
      </x:c>
    </x:row>
    <x:row r="175" ht="38" customHeight="1">
      <x:c r="A175" s="10" t="str">
        <x:v>tenant.export</x:v>
      </x:c>
      <x:c r="B175" s="10" t="str">
        <x:v>Template</x:v>
      </x:c>
      <x:c r="C175" s="10" t="str">
        <x:v>—</x:v>
      </x:c>
      <x:c r="D175" s="10" t="str">
        <x:v>—</x:v>
      </x:c>
      <x:c r="E175" s="10" t="str">
        <x:v>—</x:v>
      </x:c>
      <x:c r="F175" s="10" t="str">
        <x:v>—</x:v>
      </x:c>
      <x:c r="G175" s="10" t="str">
        <x:v>—</x:v>
      </x:c>
      <x:c r="H175" s="10" t="str">
        <x:v>—</x:v>
      </x:c>
      <x:c r="I175" s="10" t="str">
        <x:v>—</x:v>
      </x:c>
      <x:c r="J175" s="10" t="str">
        <x:v>—</x:v>
      </x:c>
      <x:c r="K175" s="10" t="str">
        <x:v>—</x:v>
      </x:c>
      <x:c r="L175" s="10" t="str">
        <x:v>—</x:v>
      </x:c>
      <x:c r="M175" s="10" t="str">
        <x:v>—</x:v>
      </x:c>
      <x:c r="N175" s="10" t="str">
        <x:v>—</x:v>
      </x:c>
      <x:c r="O175" s="10" t="str">
        <x:v>—</x:v>
      </x:c>
      <x:c r="P175" s="10" t="str">
        <x:v>—</x:v>
      </x:c>
    </x:row>
    <x:row r="176" ht="38" customHeight="1">
      <x:c r="A176" s="10" t="str">
        <x:v>tenant.transfer_owner</x:v>
      </x:c>
      <x:c r="B176" s="10" t="str">
        <x:v>Template</x:v>
      </x:c>
      <x:c r="C176" s="10" t="str">
        <x:v>—</x:v>
      </x:c>
      <x:c r="D176" s="10" t="str">
        <x:v>—</x:v>
      </x:c>
      <x:c r="E176" s="10" t="str">
        <x:v>—</x:v>
      </x:c>
      <x:c r="F176" s="10" t="str">
        <x:v>—</x:v>
      </x:c>
      <x:c r="G176" s="10" t="str">
        <x:v>—</x:v>
      </x:c>
      <x:c r="H176" s="10" t="str">
        <x:v>—</x:v>
      </x:c>
      <x:c r="I176" s="10" t="str">
        <x:v>—</x:v>
      </x:c>
      <x:c r="J176" s="10" t="str">
        <x:v>—</x:v>
      </x:c>
      <x:c r="K176" s="10" t="str">
        <x:v>—</x:v>
      </x:c>
      <x:c r="L176" s="10" t="str">
        <x:v>—</x:v>
      </x:c>
      <x:c r="M176" s="10" t="str">
        <x:v>—</x:v>
      </x:c>
      <x:c r="N176" s="10" t="str">
        <x:v>—</x:v>
      </x:c>
      <x:c r="O176" s="10" t="str">
        <x:v>—</x:v>
      </x:c>
      <x:c r="P176" s="10" t="str">
        <x:v>—</x:v>
      </x:c>
    </x:row>
    <x:row r="177" ht="38" customHeight="1">
      <x:c r="A177" s="10" t="str">
        <x:v>tenants.draft.create</x:v>
      </x:c>
      <x:c r="B177" s="10" t="str">
        <x:v>Template</x:v>
      </x:c>
      <x:c r="C177" s="10" t="str">
        <x:v>Template</x:v>
      </x:c>
      <x:c r="D177" s="10" t="str">
        <x:v>—</x:v>
      </x:c>
      <x:c r="E177" s="10" t="str">
        <x:v>—</x:v>
      </x:c>
      <x:c r="F177" s="10" t="str">
        <x:v>—</x:v>
      </x:c>
      <x:c r="G177" s="10" t="str">
        <x:v>—</x:v>
      </x:c>
      <x:c r="H177" s="10" t="str">
        <x:v>—</x:v>
      </x:c>
      <x:c r="I177" s="10" t="str">
        <x:v>—</x:v>
      </x:c>
      <x:c r="J177" s="10" t="str">
        <x:v>—</x:v>
      </x:c>
      <x:c r="K177" s="10" t="str">
        <x:v>—</x:v>
      </x:c>
      <x:c r="L177" s="10" t="str">
        <x:v>—</x:v>
      </x:c>
      <x:c r="M177" s="10" t="str">
        <x:v>—</x:v>
      </x:c>
      <x:c r="N177" s="10" t="str">
        <x:v>—</x:v>
      </x:c>
      <x:c r="O177" s="10" t="str">
        <x:v>—</x:v>
      </x:c>
      <x:c r="P177" s="10" t="str">
        <x:v>—</x:v>
      </x:c>
    </x:row>
    <x:row r="178" ht="38" customHeight="1">
      <x:c r="A178" s="10" t="str">
        <x:v>tenants.draft.edit</x:v>
      </x:c>
      <x:c r="B178" s="10" t="str">
        <x:v>Template</x:v>
      </x:c>
      <x:c r="C178" s="10" t="str">
        <x:v>Template</x:v>
      </x:c>
      <x:c r="D178" s="10" t="str">
        <x:v>—</x:v>
      </x:c>
      <x:c r="E178" s="10" t="str">
        <x:v>—</x:v>
      </x:c>
      <x:c r="F178" s="10" t="str">
        <x:v>—</x:v>
      </x:c>
      <x:c r="G178" s="10" t="str">
        <x:v>—</x:v>
      </x:c>
      <x:c r="H178" s="10" t="str">
        <x:v>—</x:v>
      </x:c>
      <x:c r="I178" s="10" t="str">
        <x:v>—</x:v>
      </x:c>
      <x:c r="J178" s="10" t="str">
        <x:v>—</x:v>
      </x:c>
      <x:c r="K178" s="10" t="str">
        <x:v>—</x:v>
      </x:c>
      <x:c r="L178" s="10" t="str">
        <x:v>—</x:v>
      </x:c>
      <x:c r="M178" s="10" t="str">
        <x:v>—</x:v>
      </x:c>
      <x:c r="N178" s="10" t="str">
        <x:v>—</x:v>
      </x:c>
      <x:c r="O178" s="10" t="str">
        <x:v>—</x:v>
      </x:c>
      <x:c r="P178" s="10" t="str">
        <x:v>—</x:v>
      </x:c>
    </x:row>
    <x:row r="179" ht="38" customHeight="1">
      <x:c r="A179" s="10" t="str">
        <x:v>tenants.read</x:v>
      </x:c>
      <x:c r="B179" s="10" t="str">
        <x:v>Template</x:v>
      </x:c>
      <x:c r="C179" s="10" t="str">
        <x:v>Template</x:v>
      </x:c>
      <x:c r="D179" s="10" t="str">
        <x:v>—</x:v>
      </x:c>
      <x:c r="E179" s="10" t="str">
        <x:v>—</x:v>
      </x:c>
      <x:c r="F179" s="10" t="str">
        <x:v>—</x:v>
      </x:c>
      <x:c r="G179" s="10" t="str">
        <x:v>—</x:v>
      </x:c>
      <x:c r="H179" s="10" t="str">
        <x:v>—</x:v>
      </x:c>
      <x:c r="I179" s="10" t="str">
        <x:v>—</x:v>
      </x:c>
      <x:c r="J179" s="10" t="str">
        <x:v>—</x:v>
      </x:c>
      <x:c r="K179" s="10" t="str">
        <x:v>—</x:v>
      </x:c>
      <x:c r="L179" s="10" t="str">
        <x:v>—</x:v>
      </x:c>
      <x:c r="M179" s="10" t="str">
        <x:v>—</x:v>
      </x:c>
      <x:c r="N179" s="10" t="str">
        <x:v>—</x:v>
      </x:c>
      <x:c r="O179" s="10" t="str">
        <x:v>—</x:v>
      </x:c>
      <x:c r="P179" s="10" t="str">
        <x:v>—</x:v>
      </x:c>
    </x:row>
    <x:row r="180" ht="38" customHeight="1">
      <x:c r="A180" s="10" t="str">
        <x:v>upload.create</x:v>
      </x:c>
      <x:c r="B180" s="10" t="str">
        <x:v>—</x:v>
      </x:c>
      <x:c r="C180" s="10" t="str">
        <x:v>—</x:v>
      </x:c>
      <x:c r="D180" s="10" t="str">
        <x:v>—</x:v>
      </x:c>
      <x:c r="E180" s="10" t="str">
        <x:v>—</x:v>
      </x:c>
      <x:c r="F180" s="10" t="str">
        <x:v>Template</x:v>
      </x:c>
      <x:c r="G180" s="10" t="str">
        <x:v>—</x:v>
      </x:c>
      <x:c r="H180" s="10" t="str">
        <x:v>Template</x:v>
      </x:c>
      <x:c r="I180" s="10" t="str">
        <x:v>Template</x:v>
      </x:c>
      <x:c r="J180" s="10" t="str">
        <x:v>—</x:v>
      </x:c>
      <x:c r="K180" s="10" t="str">
        <x:v>—</x:v>
      </x:c>
      <x:c r="L180" s="10" t="str">
        <x:v>—</x:v>
      </x:c>
      <x:c r="M180" s="10" t="str">
        <x:v>—</x:v>
      </x:c>
      <x:c r="N180" s="10" t="str">
        <x:v>—</x:v>
      </x:c>
      <x:c r="O180" s="10" t="str">
        <x:v>—</x:v>
      </x:c>
      <x:c r="P180" s="10" t="str">
        <x:v>—</x:v>
      </x:c>
    </x:row>
    <x:row r="181" ht="38" customHeight="1">
      <x:c r="A181" s="10" t="str">
        <x:v>upload.write</x:v>
      </x:c>
      <x:c r="B181" s="10" t="str">
        <x:v>—</x:v>
      </x:c>
      <x:c r="C181" s="10" t="str">
        <x:v>—</x:v>
      </x:c>
      <x:c r="D181" s="10" t="str">
        <x:v>—</x:v>
      </x:c>
      <x:c r="E181" s="10" t="str">
        <x:v>—</x:v>
      </x:c>
      <x:c r="F181" s="10" t="str">
        <x:v>Template</x:v>
      </x:c>
      <x:c r="G181" s="10" t="str">
        <x:v>—</x:v>
      </x:c>
      <x:c r="H181" s="10" t="str">
        <x:v>Template</x:v>
      </x:c>
      <x:c r="I181" s="10" t="str">
        <x:v>Template</x:v>
      </x:c>
      <x:c r="J181" s="10" t="str">
        <x:v>—</x:v>
      </x:c>
      <x:c r="K181" s="10" t="str">
        <x:v>—</x:v>
      </x:c>
      <x:c r="L181" s="10" t="str">
        <x:v>—</x:v>
      </x:c>
      <x:c r="M181" s="10" t="str">
        <x:v>—</x:v>
      </x:c>
      <x:c r="N181" s="10" t="str">
        <x:v>—</x:v>
      </x:c>
      <x:c r="O181" s="10" t="str">
        <x:v>—</x:v>
      </x:c>
      <x:c r="P181" s="10" t="str">
        <x:v>—</x:v>
      </x:c>
    </x:row>
    <x:row r="182" ht="38" customHeight="1">
      <x:c r="A182" s="10" t="str">
        <x:v>uploads.read</x:v>
      </x:c>
      <x:c r="B182" s="10" t="str">
        <x:v>Template</x:v>
      </x:c>
      <x:c r="C182" s="10" t="str">
        <x:v>Template</x:v>
      </x:c>
      <x:c r="D182" s="10" t="str">
        <x:v>Template</x:v>
      </x:c>
      <x:c r="E182" s="10" t="str">
        <x:v>Template</x:v>
      </x:c>
      <x:c r="F182" s="10" t="str">
        <x:v>Template</x:v>
      </x:c>
      <x:c r="G182" s="10" t="str">
        <x:v>Template</x:v>
      </x:c>
      <x:c r="H182" s="10" t="str">
        <x:v>Template</x:v>
      </x:c>
      <x:c r="I182" s="10" t="str">
        <x:v>Template</x:v>
      </x:c>
      <x:c r="J182" s="10" t="str">
        <x:v>Template</x:v>
      </x:c>
      <x:c r="K182" s="10" t="str">
        <x:v>Template</x:v>
      </x:c>
      <x:c r="L182" s="10" t="str">
        <x:v>Template</x:v>
      </x:c>
      <x:c r="M182" s="10" t="str">
        <x:v>Template</x:v>
      </x:c>
      <x:c r="N182" s="10" t="str">
        <x:v>Template</x:v>
      </x:c>
      <x:c r="O182" s="10" t="str">
        <x:v>Template</x:v>
      </x:c>
      <x:c r="P182" s="10" t="str">
        <x:v>Template</x:v>
      </x:c>
    </x:row>
    <x:row r="183" ht="38" customHeight="1">
      <x:c r="A183" s="10" t="str">
        <x:v>work-items.draft.create</x:v>
      </x:c>
      <x:c r="B183" s="10" t="str">
        <x:v>—</x:v>
      </x:c>
      <x:c r="C183" s="10" t="str">
        <x:v>—</x:v>
      </x:c>
      <x:c r="D183" s="10" t="str">
        <x:v>—</x:v>
      </x:c>
      <x:c r="E183" s="10" t="str">
        <x:v>Template</x:v>
      </x:c>
      <x:c r="F183" s="10" t="str">
        <x:v>Template</x:v>
      </x:c>
      <x:c r="G183" s="10" t="str">
        <x:v>—</x:v>
      </x:c>
      <x:c r="H183" s="10" t="str">
        <x:v>—</x:v>
      </x:c>
      <x:c r="I183" s="10" t="str">
        <x:v>—</x:v>
      </x:c>
      <x:c r="J183" s="10" t="str">
        <x:v>—</x:v>
      </x:c>
      <x:c r="K183" s="10" t="str">
        <x:v>—</x:v>
      </x:c>
      <x:c r="L183" s="10" t="str">
        <x:v>—</x:v>
      </x:c>
      <x:c r="M183" s="10" t="str">
        <x:v>—</x:v>
      </x:c>
      <x:c r="N183" s="10" t="str">
        <x:v>—</x:v>
      </x:c>
      <x:c r="O183" s="10" t="str">
        <x:v>—</x:v>
      </x:c>
      <x:c r="P183" s="10" t="str">
        <x:v>—</x:v>
      </x:c>
    </x:row>
    <x:row r="184" ht="38" customHeight="1">
      <x:c r="A184" s="10" t="str">
        <x:v>work-items.draft.edit</x:v>
      </x:c>
      <x:c r="B184" s="10" t="str">
        <x:v>—</x:v>
      </x:c>
      <x:c r="C184" s="10" t="str">
        <x:v>—</x:v>
      </x:c>
      <x:c r="D184" s="10" t="str">
        <x:v>—</x:v>
      </x:c>
      <x:c r="E184" s="10" t="str">
        <x:v>Template</x:v>
      </x:c>
      <x:c r="F184" s="10" t="str">
        <x:v>Template</x:v>
      </x:c>
      <x:c r="G184" s="10" t="str">
        <x:v>—</x:v>
      </x:c>
      <x:c r="H184" s="10" t="str">
        <x:v>—</x:v>
      </x:c>
      <x:c r="I184" s="10" t="str">
        <x:v>—</x:v>
      </x:c>
      <x:c r="J184" s="10" t="str">
        <x:v>—</x:v>
      </x:c>
      <x:c r="K184" s="10" t="str">
        <x:v>—</x:v>
      </x:c>
      <x:c r="L184" s="10" t="str">
        <x:v>—</x:v>
      </x:c>
      <x:c r="M184" s="10" t="str">
        <x:v>—</x:v>
      </x:c>
      <x:c r="N184" s="10" t="str">
        <x:v>—</x:v>
      </x:c>
      <x:c r="O184" s="10" t="str">
        <x:v>—</x:v>
      </x:c>
      <x:c r="P184" s="10" t="str">
        <x:v>—</x:v>
      </x:c>
    </x:row>
    <x:row r="185" ht="38" customHeight="1">
      <x:c r="A185" s="10" t="str">
        <x:v>work-items.read</x:v>
      </x:c>
      <x:c r="B185" s="10" t="str">
        <x:v>—</x:v>
      </x:c>
      <x:c r="C185" s="10" t="str">
        <x:v>—</x:v>
      </x:c>
      <x:c r="D185" s="10" t="str">
        <x:v>Template</x:v>
      </x:c>
      <x:c r="E185" s="10" t="str">
        <x:v>Template</x:v>
      </x:c>
      <x:c r="F185" s="10" t="str">
        <x:v>Template</x:v>
      </x:c>
      <x:c r="G185" s="10" t="str">
        <x:v>Template</x:v>
      </x:c>
      <x:c r="H185" s="10" t="str">
        <x:v>—</x:v>
      </x:c>
      <x:c r="I185" s="10" t="str">
        <x:v>Template</x:v>
      </x:c>
      <x:c r="J185" s="10" t="str">
        <x:v>Template</x:v>
      </x:c>
      <x:c r="K185" s="10" t="str">
        <x:v>—</x:v>
      </x:c>
      <x:c r="L185" s="10" t="str">
        <x:v>—</x:v>
      </x:c>
      <x:c r="M185" s="10" t="str">
        <x:v>—</x:v>
      </x:c>
      <x:c r="N185" s="10" t="str">
        <x:v>—</x:v>
      </x:c>
      <x:c r="O185" s="10" t="str">
        <x:v>—</x:v>
      </x:c>
      <x:c r="P185" s="10" t="str">
        <x:v>Template</x:v>
      </x:c>
    </x:row>
    <x:row r="186" ht="38" customHeight="1">
      <x:c r="A186" s="10" t="str">
        <x:v>workflow.approve</x:v>
      </x:c>
      <x:c r="B186" s="10" t="str">
        <x:v>—</x:v>
      </x:c>
      <x:c r="C186" s="10" t="str">
        <x:v>—</x:v>
      </x:c>
      <x:c r="D186" s="10" t="str">
        <x:v>—</x:v>
      </x:c>
      <x:c r="E186" s="10" t="str">
        <x:v>—</x:v>
      </x:c>
      <x:c r="F186" s="10" t="str">
        <x:v>—</x:v>
      </x:c>
      <x:c r="G186" s="10" t="str">
        <x:v>Template</x:v>
      </x:c>
      <x:c r="H186" s="10" t="str">
        <x:v>—</x:v>
      </x:c>
      <x:c r="I186" s="10" t="str">
        <x:v>—</x:v>
      </x:c>
      <x:c r="J186" s="10" t="str">
        <x:v>—</x:v>
      </x:c>
      <x:c r="K186" s="10" t="str">
        <x:v>—</x:v>
      </x:c>
      <x:c r="L186" s="10" t="str">
        <x:v>—</x:v>
      </x:c>
      <x:c r="M186" s="10" t="str">
        <x:v>—</x:v>
      </x:c>
      <x:c r="N186" s="10" t="str">
        <x:v>—</x:v>
      </x:c>
      <x:c r="O186" s="10" t="str">
        <x:v>—</x:v>
      </x:c>
      <x:c r="P186" s="10" t="str">
        <x:v>—</x:v>
      </x:c>
    </x:row>
    <x:row r="187" ht="38" customHeight="1">
      <x:c r="A187" s="10" t="str">
        <x:v>workflow.reject</x:v>
      </x:c>
      <x:c r="B187" s="10" t="str">
        <x:v>—</x:v>
      </x:c>
      <x:c r="C187" s="10" t="str">
        <x:v>—</x:v>
      </x:c>
      <x:c r="D187" s="10" t="str">
        <x:v>—</x:v>
      </x:c>
      <x:c r="E187" s="10" t="str">
        <x:v>—</x:v>
      </x:c>
      <x:c r="F187" s="10" t="str">
        <x:v>—</x:v>
      </x:c>
      <x:c r="G187" s="10" t="str">
        <x:v>Template</x:v>
      </x:c>
      <x:c r="H187" s="10" t="str">
        <x:v>—</x:v>
      </x:c>
      <x:c r="I187" s="10" t="str">
        <x:v>—</x:v>
      </x:c>
      <x:c r="J187" s="10" t="str">
        <x:v>—</x:v>
      </x:c>
      <x:c r="K187" s="10" t="str">
        <x:v>—</x:v>
      </x:c>
      <x:c r="L187" s="10" t="str">
        <x:v>—</x:v>
      </x:c>
      <x:c r="M187" s="10" t="str">
        <x:v>—</x:v>
      </x:c>
      <x:c r="N187" s="10" t="str">
        <x:v>—</x:v>
      </x:c>
      <x:c r="O187" s="10" t="str">
        <x:v>—</x:v>
      </x:c>
      <x:c r="P187" s="10" t="str">
        <x:v>—</x:v>
      </x:c>
    </x:row>
    <x:row r="188" ht="38" customHeight="1">
      <x:c r="A188" s="10" t="str">
        <x:v>workflow.return</x:v>
      </x:c>
      <x:c r="B188" s="10" t="str">
        <x:v>—</x:v>
      </x:c>
      <x:c r="C188" s="10" t="str">
        <x:v>—</x:v>
      </x:c>
      <x:c r="D188" s="10" t="str">
        <x:v>—</x:v>
      </x:c>
      <x:c r="E188" s="10" t="str">
        <x:v>—</x:v>
      </x:c>
      <x:c r="F188" s="10" t="str">
        <x:v>—</x:v>
      </x:c>
      <x:c r="G188" s="10" t="str">
        <x:v>Template</x:v>
      </x:c>
      <x:c r="H188" s="10" t="str">
        <x:v>—</x:v>
      </x:c>
      <x:c r="I188" s="10" t="str">
        <x:v>—</x:v>
      </x:c>
      <x:c r="J188" s="10" t="str">
        <x:v>—</x:v>
      </x:c>
      <x:c r="K188" s="10" t="str">
        <x:v>—</x:v>
      </x:c>
      <x:c r="L188" s="10" t="str">
        <x:v>—</x:v>
      </x:c>
      <x:c r="M188" s="10" t="str">
        <x:v>—</x:v>
      </x:c>
      <x:c r="N188" s="10" t="str">
        <x:v>—</x:v>
      </x:c>
      <x:c r="O188" s="10" t="str">
        <x:v>—</x:v>
      </x:c>
      <x:c r="P188" s="10" t="str">
        <x:v>—</x:v>
      </x:c>
    </x:row>
    <x:row r="189" ht="38" customHeight="1">
      <x:c r="A189" s="10" t="str">
        <x:v>workflows.read</x:v>
      </x:c>
      <x:c r="B189" s="10" t="str">
        <x:v>—</x:v>
      </x:c>
      <x:c r="C189" s="10" t="str">
        <x:v>—</x:v>
      </x:c>
      <x:c r="D189" s="10" t="str">
        <x:v>Template</x:v>
      </x:c>
      <x:c r="E189" s="10" t="str">
        <x:v>Template</x:v>
      </x:c>
      <x:c r="F189" s="10" t="str">
        <x:v>Template</x:v>
      </x:c>
      <x:c r="G189" s="10" t="str">
        <x:v>Template</x:v>
      </x:c>
      <x:c r="H189" s="10" t="str">
        <x:v>—</x:v>
      </x:c>
      <x:c r="I189" s="10" t="str">
        <x:v>Template</x:v>
      </x:c>
      <x:c r="J189" s="10" t="str">
        <x:v>Template</x:v>
      </x:c>
      <x:c r="K189" s="10" t="str">
        <x:v>—</x:v>
      </x:c>
      <x:c r="L189" s="10" t="str">
        <x:v>—</x:v>
      </x:c>
      <x:c r="M189" s="10" t="str">
        <x:v>—</x:v>
      </x:c>
      <x:c r="N189" s="10" t="str">
        <x:v>—</x:v>
      </x:c>
      <x:c r="O189" s="10" t="str">
        <x:v>—</x:v>
      </x:c>
      <x:c r="P189" s="10" t="str">
        <x:v>Template</x:v>
      </x:c>
    </x:row>
  </x:sheetData>
  <x:pageMargins left="0.7" right="0.7" top="0.75" bottom="0.75" header="0.3" footer="0.3"/>
  <x:tableParts count="1">
    <x:tablePart xmlns:r="http://schemas.openxmlformats.org/officeDocument/2006/relationships" r:id="R33116ce2629642f7"/>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15" hidden="0" customWidth="1"/>
    <x:col min="3" max="3" width="37" hidden="0" customWidth="1"/>
    <x:col min="4" max="4" width="88" hidden="0" customWidth="1"/>
    <x:col min="5" max="5" width="90" hidden="0" customWidth="1"/>
    <x:col min="6" max="6" width="95" hidden="0" customWidth="1"/>
    <x:col min="7" max="7" width="30" hidden="0" customWidth="1"/>
    <x:col min="8" max="8" width="43" hidden="0" customWidth="1"/>
    <x:col min="9" max="9" width="28" hidden="0" customWidth="1"/>
    <x:col min="10" max="10" width="55" hidden="0" customWidth="1"/>
  </x:cols>
  <x:sheetData>
    <x:row r="1">
      <x:c r="A1" s="1"/>
      <x:c r="B1" s="1"/>
      <x:c r="C1" s="1"/>
      <x:c r="D1" s="1"/>
      <x:c r="E1" s="1"/>
      <x:c r="F1" s="1"/>
      <x:c r="G1" s="1"/>
      <x:c r="H1" s="1"/>
      <x:c r="I1" s="1"/>
      <x:c r="J1" s="1"/>
    </x:row>
    <x:row r="2" ht="30" customHeight="1">
      <x:c r="A2" s="2" t="str">
        <x:v>Security threat register</x:v>
      </x:c>
      <x:c r="B2" s="1"/>
      <x:c r="C2" s="1"/>
      <x:c r="D2" s="1"/>
      <x:c r="E2" s="1"/>
      <x:c r="F2" s="1"/>
      <x:c r="G2" s="1"/>
      <x:c r="H2" s="1"/>
      <x:c r="I2" s="1"/>
      <x:c r="J2" s="1"/>
    </x:row>
    <x:row r="3">
      <x:c r="A3" s="1"/>
      <x:c r="B3" s="1"/>
      <x:c r="C3" s="1"/>
      <x:c r="D3" s="1"/>
      <x:c r="E3" s="1"/>
      <x:c r="F3" s="1"/>
      <x:c r="G3" s="1"/>
      <x:c r="H3" s="1"/>
      <x:c r="I3" s="1"/>
      <x:c r="J3" s="1"/>
    </x:row>
    <x:row r="4" ht="22" customHeight="1">
      <x:c r="A4" s="1" t="str">
        <x:v>Edition 1.1 | 27 September 2026 | Original requirements retained; current coverage annotated.</x:v>
      </x:c>
      <x:c r="B4" s="1"/>
      <x:c r="C4" s="1"/>
      <x:c r="D4" s="1"/>
      <x:c r="E4" s="1"/>
      <x:c r="F4" s="1"/>
      <x:c r="G4" s="1"/>
      <x:c r="H4" s="1"/>
      <x:c r="I4" s="1"/>
      <x:c r="J4" s="1"/>
    </x:row>
    <x:row r="5">
      <x:c r="A5" s="3"/>
      <x:c r="B5" s="3"/>
      <x:c r="C5" s="3"/>
      <x:c r="D5" s="3"/>
      <x:c r="E5" s="3"/>
      <x:c r="F5" s="3"/>
      <x:c r="G5" s="3"/>
      <x:c r="H5" s="3"/>
      <x:c r="I5" s="3"/>
      <x:c r="J5" s="3"/>
    </x:row>
    <x:row r="6" ht="36" customHeight="1">
      <x:c r="A6" s="8" t="str">
        <x:v>Threat</x:v>
      </x:c>
      <x:c r="B6" s="8" t="str">
        <x:v>Impact</x:v>
      </x:c>
      <x:c r="C6" s="8" t="str">
        <x:v>Asset</x:v>
      </x:c>
      <x:c r="D6" s="8" t="str">
        <x:v>Attack</x:v>
      </x:c>
      <x:c r="E6" s="8" t="str">
        <x:v>Required control</x:v>
      </x:c>
      <x:c r="F6" s="8" t="str">
        <x:v>Verification</x:v>
      </x:c>
      <x:c r="G6" s="8" t="str">
        <x:v>Owner role</x:v>
      </x:c>
      <x:c r="H6" s="8" t="str">
        <x:v>FSD references</x:v>
      </x:c>
      <x:c r="I6" s="8" t="str">
        <x:v>Status</x:v>
      </x:c>
      <x:c r="J6" s="8" t="str">
        <x:v>Evidence</x:v>
      </x:c>
    </x:row>
    <x:row r="7" ht="38" customHeight="1">
      <x:c r="A7" s="10" t="str">
        <x:v>TH01 Cross tenant object access</x:v>
      </x:c>
      <x:c r="B7" s="10" t="str">
        <x:v>Critical</x:v>
      </x:c>
      <x:c r="C7" s="10" t="str">
        <x:v>API IDs and cached responses</x:v>
      </x:c>
      <x:c r="D7" s="10" t="str">
        <x:v>A valid tenant A account substitutes a tenant B ID in a route, nested reference or export.</x:v>
      </x:c>
      <x:c r="E7" s="10" t="str">
        <x:v>Tenant-keyed queries and FKs, forced RLS, current membership and output filtering.</x:v>
      </x:c>
      <x:c r="F7" s="10" t="str">
        <x:v>Exercise nested reads, mutations, lists, exports and jobs with A/B identities; deny without hidden metadata.</x:v>
      </x:c>
      <x:c r="G7" s="10" t="str">
        <x:v>Security lead</x:v>
      </x:c>
      <x:c r="H7" s="10" t="str">
        <x:v>FR-SEC-003 FR-ACC-002</x:v>
      </x:c>
      <x:c r="I7" s="12" t="str">
        <x:v>Verification pending</x:v>
      </x:c>
      <x:c r="J7" s="12" t="str"/>
    </x:row>
    <x:row r="8" ht="38" customHeight="1">
      <x:c r="A8" s="10" t="str">
        <x:v>TH02 Scope escalation within a tenant</x:v>
      </x:c>
      <x:c r="B8" s="10" t="str">
        <x:v>High</x:v>
      </x:c>
      <x:c r="C8" s="10" t="str">
        <x:v>Programme and assignment records</x:v>
      </x:c>
      <x:c r="D8" s="10" t="str">
        <x:v>A partner uses a tenant-wide list or inherited hierarchy to see another programme.</x:v>
      </x:c>
      <x:c r="E8" s="10" t="str">
        <x:v>Explicit scope predicates and field policies on every resolver and derived output.</x:v>
      </x:c>
      <x:c r="F8" s="10" t="str">
        <x:v>Compare positive assigned records with unassigned records and aggregate drill-down.</x:v>
      </x:c>
      <x:c r="G8" s="10" t="str">
        <x:v>Access lead</x:v>
      </x:c>
      <x:c r="H8" s="10" t="str">
        <x:v>FR-ACC-002 FR-ACC-010</x:v>
      </x:c>
      <x:c r="I8" s="12" t="str">
        <x:v>Verification pending</x:v>
      </x:c>
      <x:c r="J8" s="12" t="str"/>
    </x:row>
    <x:row r="9" ht="38" customHeight="1">
      <x:c r="A9" s="10" t="str">
        <x:v>TH03 Forged processing or authority fields</x:v>
      </x:c>
      <x:c r="B9" s="10" t="str">
        <x:v>Critical</x:v>
      </x:c>
      <x:c r="C9" s="10" t="str">
        <x:v>Approval and scan state</x:v>
      </x:c>
      <x:c r="D9" s="10" t="str">
        <x:v>A caller places approved, issuer or clean-scan fields in a draft body.</x:v>
      </x:c>
      <x:c r="E9" s="10" t="str">
        <x:v>Closed DTOs exclude server-owned fields; explicit domain commands validate transitions.</x:v>
      </x:c>
      <x:c r="F9" s="10" t="str">
        <x:v>Reject protected top-level and nested properties; check no state or audit mutation.</x:v>
      </x:c>
      <x:c r="G9" s="10" t="str">
        <x:v>API lead</x:v>
      </x:c>
      <x:c r="H9" s="10" t="str">
        <x:v>FR-SEC-004 FR-ACC-004</x:v>
      </x:c>
      <x:c r="I9" s="12" t="str">
        <x:v>Verification pending</x:v>
      </x:c>
      <x:c r="J9" s="12" t="str"/>
    </x:row>
    <x:row r="10" ht="38" customHeight="1">
      <x:c r="A10" s="10" t="str">
        <x:v>TH04 Confused identity token</x:v>
      </x:c>
      <x:c r="B10" s="10" t="str">
        <x:v>Critical</x:v>
      </x:c>
      <x:c r="C10" s="10" t="str">
        <x:v>Identity and sessions</x:v>
      </x:c>
      <x:c r="D10" s="10" t="str">
        <x:v>An attacker presents a token for another issuer, audience, client or credential channel.</x:v>
      </x:c>
      <x:c r="E10" s="10" t="str">
        <x:v>Validate issuer, audience, signature and expiry; reject conflicting cookie and bearer identity.</x:v>
      </x:c>
      <x:c r="F10" s="10" t="str">
        <x:v>Test wrong audience, stale signing key, unsigned token, dual credentials and token substitution.</x:v>
      </x:c>
      <x:c r="G10" s="10" t="str">
        <x:v>Identity lead</x:v>
      </x:c>
      <x:c r="H10" s="10" t="str">
        <x:v>FR-IAM-002 FR-IAM-006</x:v>
      </x:c>
      <x:c r="I10" s="12" t="str">
        <x:v>Verification pending</x:v>
      </x:c>
      <x:c r="J10" s="12" t="str"/>
    </x:row>
    <x:row r="11" ht="38" customHeight="1">
      <x:c r="A11" s="10" t="str">
        <x:v>TH05 Invitation and recovery takeover</x:v>
      </x:c>
      <x:c r="B11" s="10" t="str">
        <x:v>Critical</x:v>
      </x:c>
      <x:c r="C11" s="10" t="str">
        <x:v>Membership custody</x:v>
      </x:c>
      <x:c r="D11" s="10" t="str">
        <x:v>Reused invitation, email change or weak recovery yields administrator access.</x:v>
      </x:c>
      <x:c r="E11" s="10" t="str">
        <x:v>Hashed single-use tokens, intended identity binding, current inviter authority and fresh assurance.</x:v>
      </x:c>
      <x:c r="F11" s="10" t="str">
        <x:v>Test expiry, resend, replay, other identity, departed inviter and changed email.</x:v>
      </x:c>
      <x:c r="G11" s="10" t="str">
        <x:v>Identity lead</x:v>
      </x:c>
      <x:c r="H11" s="10" t="str">
        <x:v>FR-IAM-001 FR-IAM-007</x:v>
      </x:c>
      <x:c r="I11" s="12" t="str">
        <x:v>Verification pending</x:v>
      </x:c>
      <x:c r="J11" s="12" t="str"/>
    </x:row>
    <x:row r="12" ht="38" customHeight="1">
      <x:c r="A12" s="10" t="str">
        <x:v>TH06 Stale grant after revocation</x:v>
      </x:c>
      <x:c r="B12" s="10" t="str">
        <x:v>Critical</x:v>
      </x:c>
      <x:c r="C12" s="10" t="str">
        <x:v>Consequential actions</x:v>
      </x:c>
      <x:c r="D12" s="10" t="str">
        <x:v>A cached grant or queued job publishes after the user was revoked.</x:v>
      </x:c>
      <x:c r="E12" s="10" t="str">
        <x:v>Bounded positive cache, epochs and fresh checks at side-effect boundaries.</x:v>
      </x:c>
      <x:c r="F12" s="10" t="str">
        <x:v>Race revocation against approval, export, webhook and chunk download within the 60-second target.</x:v>
      </x:c>
      <x:c r="G12" s="10" t="str">
        <x:v>Access lead</x:v>
      </x:c>
      <x:c r="H12" s="10" t="str">
        <x:v>FR-ACC-011 FR-IAM-008</x:v>
      </x:c>
      <x:c r="I12" s="12" t="str">
        <x:v>Verification pending</x:v>
      </x:c>
      <x:c r="J12" s="12" t="str"/>
    </x:row>
    <x:row r="13" ht="38" customHeight="1">
      <x:c r="A13" s="10" t="str">
        <x:v>TH07 Self approval through aliases</x:v>
      </x:c>
      <x:c r="B13" s="10" t="str">
        <x:v>Critical</x:v>
      </x:c>
      <x:c r="C13" s="10" t="str">
        <x:v>Review integrity</x:v>
      </x:c>
      <x:c r="D13" s="10" t="str">
        <x:v>The same person reviews their own material using another membership or delegation.</x:v>
      </x:c>
      <x:c r="E13" s="10" t="str">
        <x:v>Verified natural-person identity and immutable candidate author set.</x:v>
      </x:c>
      <x:c r="F13" s="10" t="str">
        <x:v>Attempt self-approval across accounts, delegated roles and changed candidate versions.</x:v>
      </x:c>
      <x:c r="G13" s="10" t="str">
        <x:v>Workflow lead</x:v>
      </x:c>
      <x:c r="H13" s="10" t="str">
        <x:v>FR-ACC-004</x:v>
      </x:c>
      <x:c r="I13" s="12" t="str">
        <x:v>Verification pending</x:v>
      </x:c>
      <x:c r="J13" s="12" t="str"/>
    </x:row>
    <x:row r="14" ht="38" customHeight="1">
      <x:c r="A14" s="10" t="str">
        <x:v>TH08 Replay and duplicate source effects</x:v>
      </x:c>
      <x:c r="B14" s="10" t="str">
        <x:v>High</x:v>
      </x:c>
      <x:c r="C14" s="10" t="str">
        <x:v>Results and source records</x:v>
      </x:c>
      <x:c r="D14" s="10" t="str">
        <x:v>Lost responses or retries create duplicate observations, transactions or notifications.</x:v>
      </x:c>
      <x:c r="E14" s="10" t="str">
        <x:v>Durable operation receipts plus permanent source business and revision identities.</x:v>
      </x:c>
      <x:c r="F14" s="10" t="str">
        <x:v>Interrupt commit and acknowledgement; replay identical and changed payloads and compare counts.</x:v>
      </x:c>
      <x:c r="G14" s="10" t="str">
        <x:v>Backend lead</x:v>
      </x:c>
      <x:c r="H14" s="10" t="str">
        <x:v>FR-OFF-003 FR-DAT-001</x:v>
      </x:c>
      <x:c r="I14" s="12" t="str">
        <x:v>Verification pending</x:v>
      </x:c>
      <x:c r="J14" s="12" t="str"/>
    </x:row>
    <x:row r="15" ht="38" customHeight="1">
      <x:c r="A15" s="10" t="str">
        <x:v>TH09 Lost update or close race</x:v>
      </x:c>
      <x:c r="B15" s="10" t="str">
        <x:v>Critical</x:v>
      </x:c>
      <x:c r="C15" s="10" t="str">
        <x:v>Official snapshots</x:v>
      </x:c>
      <x:c r="D15" s="10" t="str">
        <x:v>Competing edits or a late source correction changes the value being approved or closed.</x:v>
      </x:c>
      <x:c r="E15" s="10" t="str">
        <x:v>Expected revisions, fixed candidate and input manifest, ordered locks and new restatement.</x:v>
      </x:c>
      <x:c r="F15" s="10" t="str">
        <x:v>Race edit/edit, correction/close and approval/candidate edit; require one consistent outcome.</x:v>
      </x:c>
      <x:c r="G15" s="10" t="str">
        <x:v>Workflow lead</x:v>
      </x:c>
      <x:c r="H15" s="10" t="str">
        <x:v>FR-WFL-001 FR-CAL-001</x:v>
      </x:c>
      <x:c r="I15" s="12" t="str">
        <x:v>Verification pending</x:v>
      </x:c>
      <x:c r="J15" s="12" t="str"/>
    </x:row>
    <x:row r="16" ht="38" customHeight="1">
      <x:c r="A16" s="10" t="str">
        <x:v>TH10 Database role or context leakage</x:v>
      </x:c>
      <x:c r="B16" s="10" t="str">
        <x:v>Critical</x:v>
      </x:c>
      <x:c r="C16" s="10" t="str">
        <x:v>Tenant database</x:v>
      </x:c>
      <x:c r="D16" s="10" t="str">
        <x:v>A pooled connection retains another tenant or runtime owns tables and bypasses RLS.</x:v>
      </x:c>
      <x:c r="E16" s="10" t="str">
        <x:v>Transaction-local context, nonowner roles, FORCE RLS and uncertain-pool discard.</x:v>
      </x:c>
      <x:c r="F16" s="10" t="str">
        <x:v>Run real-role context reset, owner/BYPASSRLS audit, direct partition and TRUNCATE tests.</x:v>
      </x:c>
      <x:c r="G16" s="10" t="str">
        <x:v>Database lead</x:v>
      </x:c>
      <x:c r="H16" s="10" t="str">
        <x:v>FR-SEC-003 FR-SEC-013</x:v>
      </x:c>
      <x:c r="I16" s="12" t="str">
        <x:v>Verification pending</x:v>
      </x:c>
      <x:c r="J16" s="12" t="str"/>
    </x:row>
    <x:row r="17" ht="38" customHeight="1">
      <x:c r="A17" s="10" t="str">
        <x:v>TH11 Unsafe expressions and imports</x:v>
      </x:c>
      <x:c r="B17" s="10" t="str">
        <x:v>Critical</x:v>
      </x:c>
      <x:c r="C17" s="10" t="str">
        <x:v>Parser and worker process</x:v>
      </x:c>
      <x:c r="D17" s="10" t="str">
        <x:v>A formula, transformation, archive or spreadsheet invokes code or exhausts resources.</x:v>
      </x:c>
      <x:c r="E17" s="10" t="str">
        <x:v>Typed AST, allowlisted functions, bounded parsing and isolated workers.</x:v>
      </x:c>
      <x:c r="F17" s="10" t="str">
        <x:v>Submit recursive expressions, formula payloads, huge cells, archive bombs and malformed encodings.</x:v>
      </x:c>
      <x:c r="G17" s="10" t="str">
        <x:v>Data lead</x:v>
      </x:c>
      <x:c r="H17" s="10" t="str">
        <x:v>FR-SEC-005 FR-FRM-001</x:v>
      </x:c>
      <x:c r="I17" s="12" t="str">
        <x:v>Verification pending</x:v>
      </x:c>
      <x:c r="J17" s="12" t="str"/>
    </x:row>
    <x:row r="18" ht="38" customHeight="1">
      <x:c r="A18" s="10" t="str">
        <x:v>TH12 Malicious evidence and previews</x:v>
      </x:c>
      <x:c r="B18" s="10" t="str">
        <x:v>High</x:v>
      </x:c>
      <x:c r="C18" s="10" t="str">
        <x:v>Evidence store and browser</x:v>
      </x:c>
      <x:c r="D18" s="10" t="str">
        <x:v>An executable upload or document preview runs active content or is marked clean prematurely.</x:v>
      </x:c>
      <x:c r="E18" s="10" t="str">
        <x:v>Quarantine, actual-type checking, resource-bounded scanning and isolated preview delivery.</x:v>
      </x:c>
      <x:c r="F18" s="10" t="str">
        <x:v>Upload active, mismatched, infected and scanner-failed content; verify all download paths deny.</x:v>
      </x:c>
      <x:c r="G18" s="10" t="str">
        <x:v>Evidence lead</x:v>
      </x:c>
      <x:c r="H18" s="10" t="str">
        <x:v>FR-SEC-005</x:v>
      </x:c>
      <x:c r="I18" s="12" t="str">
        <x:v>Verification pending</x:v>
      </x:c>
      <x:c r="J18" s="12" t="str"/>
    </x:row>
    <x:row r="19" ht="38" customHeight="1">
      <x:c r="A19" s="10" t="str">
        <x:v>TH13 Outbound request forgery</x:v>
      </x:c>
      <x:c r="B19" s="10" t="str">
        <x:v>Critical</x:v>
      </x:c>
      <x:c r="C19" s="10" t="str">
        <x:v>Private network and credentials</x:v>
      </x:c>
      <x:c r="D19" s="10" t="str">
        <x:v>A connector or evidence URL redirects to metadata, localhost or a private network.</x:v>
      </x:c>
      <x:c r="E19" s="10" t="str">
        <x:v>Scheme/host/address policy, redirect revalidation, no cross-host credential forwarding.</x:v>
      </x:c>
      <x:c r="F19" s="10" t="str">
        <x:v>Test IPv4, IPv6, encoded hosts, DNS rebinding and multi-step redirects.</x:v>
      </x:c>
      <x:c r="G19" s="10" t="str">
        <x:v>Integration lead</x:v>
      </x:c>
      <x:c r="H19" s="10" t="str">
        <x:v>FR-SEC-004 FR-INT-001</x:v>
      </x:c>
      <x:c r="I19" s="12" t="str">
        <x:v>Verification pending</x:v>
      </x:c>
      <x:c r="J19" s="12" t="str"/>
    </x:row>
    <x:row r="20" ht="38" customHeight="1">
      <x:c r="A20" s="10" t="str">
        <x:v>TH14 Secret leakage through diagnostics</x:v>
      </x:c>
      <x:c r="B20" s="10" t="str">
        <x:v>Critical</x:v>
      </x:c>
      <x:c r="C20" s="10" t="str">
        <x:v>Service credentials</x:v>
      </x:c>
      <x:c r="D20" s="10" t="str">
        <x:v>Connection metadata, error text, logs or support bundles expose a token or key.</x:v>
      </x:c>
      <x:c r="E20" s="10" t="str">
        <x:v>Secret references, redaction at source, safe errors and scoped diagnostic bundles.</x:v>
      </x:c>
      <x:c r="F20" s="10" t="str">
        <x:v>Search logs, exports, traces, retries and failed connection responses using synthetic canary secrets.</x:v>
      </x:c>
      <x:c r="G20" s="10" t="str">
        <x:v>Platform security lead</x:v>
      </x:c>
      <x:c r="H20" s="10" t="str">
        <x:v>FR-SEC-006</x:v>
      </x:c>
      <x:c r="I20" s="12" t="str">
        <x:v>Verification pending</x:v>
      </x:c>
      <x:c r="J20" s="12" t="str"/>
    </x:row>
    <x:row r="21" ht="38" customHeight="1">
      <x:c r="A21" s="10" t="str">
        <x:v>TH15 Export or storage URL bypass</x:v>
      </x:c>
      <x:c r="B21" s="10" t="str">
        <x:v>Critical</x:v>
      </x:c>
      <x:c r="C21" s="10" t="str">
        <x:v>Restricted artifacts</x:v>
      </x:c>
      <x:c r="D21" s="10" t="str">
        <x:v>A user retains a long-lived URL or cached report after grant removal.</x:v>
      </x:c>
      <x:c r="E21" s="10" t="str">
        <x:v>Mediated download, current restriction overlay and bounded reauthorisation.</x:v>
      </x:c>
      <x:c r="F21" s="10" t="str">
        <x:v>Revoke during range download and retry a prior URL using another principal.</x:v>
      </x:c>
      <x:c r="G21" s="10" t="str">
        <x:v>Reporting lead</x:v>
      </x:c>
      <x:c r="H21" s="10" t="str">
        <x:v>FR-ACC-007 FR-ACC-011</x:v>
      </x:c>
      <x:c r="I21" s="12" t="str">
        <x:v>Verification pending</x:v>
      </x:c>
      <x:c r="J21" s="12" t="str"/>
    </x:row>
    <x:row r="22" ht="38" customHeight="1">
      <x:c r="A22" s="10" t="str">
        <x:v>TH16 Small cell and differencing inference</x:v>
      </x:c>
      <x:c r="B22" s="10" t="str">
        <x:v>High</x:v>
      </x:c>
      <x:c r="C22" s="10" t="str">
        <x:v>Public aggregates</x:v>
      </x:c>
      <x:c r="D22" s="10" t="str">
        <x:v>Several individually allowed slices reveal a suppressed participant category.</x:v>
      </x:c>
      <x:c r="E22" s="10" t="str">
        <x:v>Minimum cell rules, complementary suppression, release-history review and query bounds.</x:v>
      </x:c>
      <x:c r="F22" s="10" t="str">
        <x:v>Combine totals, overlapping geography and repeated slices; verify raw values absent everywhere.</x:v>
      </x:c>
      <x:c r="G22" s="10" t="str">
        <x:v>Privacy lead</x:v>
      </x:c>
      <x:c r="H22" s="10" t="str">
        <x:v>FR-ACC-009</x:v>
      </x:c>
      <x:c r="I22" s="12" t="str">
        <x:v>Verification pending</x:v>
      </x:c>
      <x:c r="J22" s="12" t="str"/>
    </x:row>
    <x:row r="23" ht="38" customHeight="1">
      <x:c r="A23" s="10" t="str">
        <x:v>TH17 Plaintext on a lost device</x:v>
      </x:c>
      <x:c r="B23" s="10" t="str">
        <x:v>Critical</x:v>
      </x:c>
      <x:c r="C23" s="10" t="str">
        <x:v>Offline restricted records</x:v>
      </x:c>
      <x:c r="D23" s="10" t="str">
        <x:v>A lost or shared device exposes cached identifiers or another account database.</x:v>
      </x:c>
      <x:c r="E23" s="10" t="str">
        <x:v>Encrypted per-account storage, managed profile, key separation and bounded package lease.</x:v>
      </x:c>
      <x:c r="F23" s="10" t="str">
        <x:v>Inspect storage, backups, account switching and device custody on the supported matrix.</x:v>
      </x:c>
      <x:c r="G23" s="10" t="str">
        <x:v>Mobile security lead</x:v>
      </x:c>
      <x:c r="H23" s="10" t="str">
        <x:v>FR-OFF-005 FR-OFF-006</x:v>
      </x:c>
      <x:c r="I23" s="12" t="str">
        <x:v>Verification pending</x:v>
      </x:c>
      <x:c r="J23" s="12" t="str"/>
    </x:row>
    <x:row r="24" ht="38" customHeight="1">
      <x:c r="A24" s="10" t="str">
        <x:v>TH18 Clock rollback extends offline authority</x:v>
      </x:c>
      <x:c r="B24" s="10" t="str">
        <x:v>High</x:v>
      </x:c>
      <x:c r="C24" s="10" t="str">
        <x:v>Offline lease</x:v>
      </x:c>
      <x:c r="D24" s="10" t="str">
        <x:v>A user changes wall time or reboots to keep an expired package open.</x:v>
      </x:c>
      <x:c r="E24" s="10" t="str">
        <x:v>Server time anchor, monotonic continuity and lock on lost trust.</x:v>
      </x:c>
      <x:c r="F24" s="10" t="str">
        <x:v>Move time backward/forward, reboot offline and restore an old local backup.</x:v>
      </x:c>
      <x:c r="G24" s="10" t="str">
        <x:v>Mobile lead</x:v>
      </x:c>
      <x:c r="H24" s="10" t="str">
        <x:v>FR-OFF-005</x:v>
      </x:c>
      <x:c r="I24" s="12" t="str">
        <x:v>Verification pending</x:v>
      </x:c>
      <x:c r="J24" s="12" t="str"/>
    </x:row>
    <x:row r="25" ht="38" customHeight="1">
      <x:c r="A25" s="10" t="str">
        <x:v>TH19 Media chunk substitution</x:v>
      </x:c>
      <x:c r="B25" s="10" t="str">
        <x:v>High</x:v>
      </x:c>
      <x:c r="C25" s="10" t="str">
        <x:v>Evidence integrity</x:v>
      </x:c>
      <x:c r="D25" s="10" t="str">
        <x:v>A stale client overwrites a numbered chunk or completes another user upload.</x:v>
      </x:c>
      <x:c r="E25" s="10" t="str">
        <x:v>Owner checks, immutable part receipt, exact sealed manifest and whole-file digest.</x:v>
      </x:c>
      <x:c r="F25" s="10" t="str">
        <x:v>Replay same and different bytes, change part order, cancel during assembly and swap owner.</x:v>
      </x:c>
      <x:c r="G25" s="10" t="str">
        <x:v>Collection lead</x:v>
      </x:c>
      <x:c r="H25" s="10" t="str">
        <x:v>FR-OFF-008 FR-SEC-005</x:v>
      </x:c>
      <x:c r="I25" s="12" t="str">
        <x:v>Verification pending</x:v>
      </x:c>
      <x:c r="J25" s="12" t="str"/>
    </x:row>
    <x:row r="26" ht="38" customHeight="1">
      <x:c r="A26" s="10" t="str">
        <x:v>TH20 Stale worker commits after takeover</x:v>
      </x:c>
      <x:c r="B26" s="10" t="str">
        <x:v>High</x:v>
      </x:c>
      <x:c r="C26" s="10" t="str">
        <x:v>Async outputs</x:v>
      </x:c>
      <x:c r="D26" s="10" t="str">
        <x:v>A delayed worker writes after its lease expired and another worker took over.</x:v>
      </x:c>
      <x:c r="E26" s="10" t="str">
        <x:v>Generation predicates on every state/output commit and deduplicated external effects.</x:v>
      </x:c>
      <x:c r="F26" s="10" t="str">
        <x:v>Pause a worker after effect preparation, take over lease, then resume the original.</x:v>
      </x:c>
      <x:c r="G26" s="10" t="str">
        <x:v>Platform lead</x:v>
      </x:c>
      <x:c r="H26" s="10" t="str">
        <x:v>FR-OPS-009 FR-DAT-001</x:v>
      </x:c>
      <x:c r="I26" s="12" t="str">
        <x:v>Verification pending</x:v>
      </x:c>
      <x:c r="J26" s="12" t="str"/>
    </x:row>
    <x:row r="27" ht="38" customHeight="1">
      <x:c r="A27" s="10" t="str">
        <x:v>TH21 Prompt injection in retrieved content</x:v>
      </x:c>
      <x:c r="B27" s="10" t="str">
        <x:v>Critical</x:v>
      </x:c>
      <x:c r="C27" s="10" t="str">
        <x:v>AI tools and data scope</x:v>
      </x:c>
      <x:c r="D27" s="10" t="str">
        <x:v>An uploaded document tells the model to reveal another tenant or execute a privileged tool.</x:v>
      </x:c>
      <x:c r="E27" s="10" t="str">
        <x:v>Scoped retrieval, untrusted content separation, typed tools and ordinary command policy.</x:v>
      </x:c>
      <x:c r="F27" s="10" t="str">
        <x:v>Inject instructions in evidence, metadata and tool results; inspect model context and attempted calls.</x:v>
      </x:c>
      <x:c r="G27" s="10" t="str">
        <x:v>AI security lead</x:v>
      </x:c>
      <x:c r="H27" s="10" t="str">
        <x:v>FR-AI-001 FR-SEC-004</x:v>
      </x:c>
      <x:c r="I27" s="12" t="str">
        <x:v>Verification pending</x:v>
      </x:c>
      <x:c r="J27" s="12" t="str"/>
    </x:row>
    <x:row r="28" ht="38" customHeight="1">
      <x:c r="A28" s="10" t="str">
        <x:v>TH22 Unsupported official AI claims</x:v>
      </x:c>
      <x:c r="B28" s="10" t="str">
        <x:v>High</x:v>
      </x:c>
      <x:c r="C28" s="10" t="str">
        <x:v>Reports and evaluations</x:v>
      </x:c>
      <x:c r="D28" s="10" t="str">
        <x:v>Generated prose invents a number or presents correlation as approved causality.</x:v>
      </x:c>
      <x:c r="E28" s="10" t="str">
        <x:v>Deterministic numeric bindings, citations and use-case consequential-claim gates.</x:v>
      </x:c>
      <x:c r="F28" s="10" t="str">
        <x:v>Compare every numeric occurrence with result references and challenge unsupported causal claims.</x:v>
      </x:c>
      <x:c r="G28" s="10" t="str">
        <x:v>Measurement lead</x:v>
      </x:c>
      <x:c r="H28" s="10" t="str">
        <x:v>FR-AI-001 FR-EVA-001</x:v>
      </x:c>
      <x:c r="I28" s="12" t="str">
        <x:v>Verification pending</x:v>
      </x:c>
      <x:c r="J28" s="12" t="str"/>
    </x:row>
    <x:row r="29" ht="38" customHeight="1">
      <x:c r="A29" s="10" t="str">
        <x:v>TH23 Stale AI proposal application</x:v>
      </x:c>
      <x:c r="B29" s="10" t="str">
        <x:v>High</x:v>
      </x:c>
      <x:c r="C29" s="10" t="str">
        <x:v>Draft integrity</x:v>
      </x:c>
      <x:c r="D29" s="10" t="str">
        <x:v>A proposal based on an old source overwrites a corrected object or changed permission.</x:v>
      </x:c>
      <x:c r="E29" s="10" t="str">
        <x:v>Exact diff, source revisions, expiry, proposal digest and fresh policy at confirmation.</x:v>
      </x:c>
      <x:c r="F29" s="10" t="str">
        <x:v>Change each source, target, purpose and policy after preview; confirmation must reject.</x:v>
      </x:c>
      <x:c r="G29" s="10" t="str">
        <x:v>AI lead</x:v>
      </x:c>
      <x:c r="H29" s="10" t="str">
        <x:v>FR-AI-001 FR-ACC-011</x:v>
      </x:c>
      <x:c r="I29" s="12" t="str">
        <x:v>Verification pending</x:v>
      </x:c>
      <x:c r="J29" s="12" t="str"/>
    </x:row>
    <x:row r="30" ht="38" customHeight="1">
      <x:c r="A30" s="10" t="str">
        <x:v>TH24 AI budget or queue abuse</x:v>
      </x:c>
      <x:c r="B30" s="10" t="str">
        <x:v>High</x:v>
      </x:c>
      <x:c r="C30" s="10" t="str">
        <x:v>Service continuity and cost</x:v>
      </x:c>
      <x:c r="D30" s="10" t="str">
        <x:v>Repeated requests exhaust the tenant or platform provider budget.</x:v>
      </x:c>
      <x:c r="E30" s="10" t="str">
        <x:v>Atomic reservation, quotas, admission limits, cancellation reconciliation and provider circuit control.</x:v>
      </x:c>
      <x:c r="F30" s="10" t="str">
        <x:v>Race admissions near quota, interrupt provider responses and compare reserved versus used budget.</x:v>
      </x:c>
      <x:c r="G30" s="10" t="str">
        <x:v>Platform lead</x:v>
      </x:c>
      <x:c r="H30" s="10" t="str">
        <x:v>FR-OPS-008 FR-SEC-014</x:v>
      </x:c>
      <x:c r="I30" s="12" t="str">
        <x:v>Verification pending</x:v>
      </x:c>
      <x:c r="J30" s="12" t="str"/>
    </x:row>
    <x:row r="31" ht="38" customHeight="1">
      <x:c r="A31" s="10" t="str">
        <x:v>TH25 Privileged support escalation</x:v>
      </x:c>
      <x:c r="B31" s="10" t="str">
        <x:v>Critical</x:v>
      </x:c>
      <x:c r="C31" s="10" t="str">
        <x:v>Tenant content and administration</x:v>
      </x:c>
      <x:c r="D31" s="10" t="str">
        <x:v>An operator grants themselves broad support access or continues after expiry.</x:v>
      </x:c>
      <x:c r="E31" s="10" t="str">
        <x:v>Distinct approver, exact scope/capabilities, 60-minute limit and audited assurance.</x:v>
      </x:c>
      <x:c r="F31" s="10" t="str">
        <x:v>Self-approve, request wildcard scope, extend expiry and use a cached support session.</x:v>
      </x:c>
      <x:c r="G31" s="10" t="str">
        <x:v>Security lead</x:v>
      </x:c>
      <x:c r="H31" s="10" t="str">
        <x:v>FR-ACC-008 FR-SEC-013</x:v>
      </x:c>
      <x:c r="I31" s="12" t="str">
        <x:v>Verification pending</x:v>
      </x:c>
      <x:c r="J31" s="12" t="str"/>
    </x:row>
    <x:row r="32" ht="38" customHeight="1">
      <x:c r="A32" s="10" t="str">
        <x:v>TH26 Incomplete privacy deletion</x:v>
      </x:c>
      <x:c r="B32" s="10" t="str">
        <x:v>Critical</x:v>
      </x:c>
      <x:c r="C32" s="10" t="str">
        <x:v>Personal data across stores</x:v>
      </x:c>
      <x:c r="D32" s="10" t="str">
        <x:v>A case closes after deleting one table while blobs, caches or exports retain data.</x:v>
      </x:c>
      <x:c r="E32" s="10" t="str">
        <x:v>Store inventory, approved actions, holds, restriction, independent ledger and reconciled outcomes.</x:v>
      </x:c>
      <x:c r="F32" s="10" t="str">
        <x:v>Fail each store and verify partial status; search residual copies and retry without losing attribution.</x:v>
      </x:c>
      <x:c r="G32" s="10" t="str">
        <x:v>Privacy lead</x:v>
      </x:c>
      <x:c r="H32" s="10" t="str">
        <x:v>FR-PRV-001</x:v>
      </x:c>
      <x:c r="I32" s="12" t="str">
        <x:v>Verification pending</x:v>
      </x:c>
      <x:c r="J32" s="12" t="str"/>
    </x:row>
    <x:row r="33" ht="38" customHeight="1">
      <x:c r="A33" s="10" t="str">
        <x:v>TH27 Backup resurrects deleted records</x:v>
      </x:c>
      <x:c r="B33" s="10" t="str">
        <x:v>Critical</x:v>
      </x:c>
      <x:c r="C33" s="10" t="str">
        <x:v>Restored environment</x:v>
      </x:c>
      <x:c r="D33" s="10" t="str">
        <x:v>A restore reintroduces a deleted participant or revoked administrator.</x:v>
      </x:c>
      <x:c r="E33" s="10" t="str">
        <x:v>Closed restore, current deletion/revocation replay and worker admission gate.</x:v>
      </x:c>
      <x:c r="F33" s="10" t="str">
        <x:v>Restore a backup predating deletion and verify the current restrictions before opening traffic.</x:v>
      </x:c>
      <x:c r="G33" s="10" t="str">
        <x:v>Platform privacy leads</x:v>
      </x:c>
      <x:c r="H33" s="10" t="str">
        <x:v>FR-OPS-006 FR-PRV-001</x:v>
      </x:c>
      <x:c r="I33" s="12" t="str">
        <x:v>Verification pending</x:v>
      </x:c>
      <x:c r="J33" s="12" t="str"/>
    </x:row>
    <x:row r="34" ht="38" customHeight="1">
      <x:c r="A34" s="10" t="str">
        <x:v>TH28 Audit modification or truncation</x:v>
      </x:c>
      <x:c r="B34" s="10" t="str">
        <x:v>Critical</x:v>
      </x:c>
      <x:c r="C34" s="10" t="str">
        <x:v>Accountability</x:v>
      </x:c>
      <x:c r="D34" s="10" t="str">
        <x:v>A privileged actor alters history or deletes the newest signed batch.</x:v>
      </x:c>
      <x:c r="E34" s="10" t="str">
        <x:v>Append-only privileges, linked digests and independently retained checkpoints.</x:v>
      </x:c>
      <x:c r="F34" s="10" t="str">
        <x:v>Mutate, reorder, omit and truncate batches relative to an external checkpoint.</x:v>
      </x:c>
      <x:c r="G34" s="10" t="str">
        <x:v>Security lead</x:v>
      </x:c>
      <x:c r="H34" s="10" t="str">
        <x:v>FR-SEC-007</x:v>
      </x:c>
      <x:c r="I34" s="12" t="str">
        <x:v>Verification pending</x:v>
      </x:c>
      <x:c r="J34" s="12" t="str"/>
    </x:row>
    <x:row r="35" ht="38" customHeight="1">
      <x:c r="A35" s="10" t="str">
        <x:v>TH29 Compromised dependency or build</x:v>
      </x:c>
      <x:c r="B35" s="10" t="str">
        <x:v>Critical</x:v>
      </x:c>
      <x:c r="C35" s="10" t="str">
        <x:v>Release supply chain</x:v>
      </x:c>
      <x:c r="D35" s="10" t="str">
        <x:v>A dependency, CI token or mutable tag injects code into production.</x:v>
      </x:c>
      <x:c r="E35" s="10" t="str">
        <x:v>Locked hashes, secret separation, SBOM, provenance and immutable artifact promotion.</x:v>
      </x:c>
      <x:c r="F35" s="10" t="str">
        <x:v>Verify origin and digest, scan secrets and simulate a changed lock or substituted build.</x:v>
      </x:c>
      <x:c r="G35" s="10" t="str">
        <x:v>Platform security lead</x:v>
      </x:c>
      <x:c r="H35" s="10" t="str">
        <x:v>FR-SEC-008 FR-SEC-009</x:v>
      </x:c>
      <x:c r="I35" s="12" t="str">
        <x:v>Verification pending</x:v>
      </x:c>
      <x:c r="J35" s="12" t="str"/>
    </x:row>
    <x:row r="36" ht="38" customHeight="1">
      <x:c r="A36" s="10" t="str">
        <x:v>TH30 Cross site and browser persistence attacks</x:v>
      </x:c>
      <x:c r="B36" s="10" t="str">
        <x:v>High</x:v>
      </x:c>
      <x:c r="C36" s="10" t="str">
        <x:v>Web sessions and content</x:v>
      </x:c>
      <x:c r="D36" s="10" t="str">
        <x:v>XSS, CSRF or persistent browser storage exposes sessions or triggers commands.</x:v>
      </x:c>
      <x:c r="E36" s="10" t="str">
        <x:v>Escaping, sanitisation, CSP, secure cookies, Origin/CSRF validation and restricted caches.</x:v>
      </x:c>
      <x:c r="F36" s="10" t="str">
        <x:v>Exercise rich text, report previews, cross-origin mutations and access loss on browser history.</x:v>
      </x:c>
      <x:c r="G36" s="10" t="str">
        <x:v>Frontend security lead</x:v>
      </x:c>
      <x:c r="H36" s="10" t="str">
        <x:v>FR-SEC-004</x:v>
      </x:c>
      <x:c r="I36" s="12" t="str">
        <x:v>Verification pending</x:v>
      </x:c>
      <x:c r="J36" s="12" t="str"/>
    </x:row>
    <x:row r="37" ht="38" customHeight="1">
      <x:c r="A37" s="10" t="str">
        <x:v>TH31 Noisy tenant starvation</x:v>
      </x:c>
      <x:c r="B37" s="10" t="str">
        <x:v>High</x:v>
      </x:c>
      <x:c r="C37" s="10" t="str">
        <x:v>Core service availability</x:v>
      </x:c>
      <x:c r="D37" s="10" t="str">
        <x:v>One tenant exports, imports or queries monopolise database or workers.</x:v>
      </x:c>
      <x:c r="E37" s="10" t="str">
        <x:v>Per-tenant admission and quotas, bounded query shapes and separate work classes.</x:v>
      </x:c>
      <x:c r="F37" s="10" t="str">
        <x:v>Run the largest tenant and hostile bulk work alongside ordinary saves and approvals.</x:v>
      </x:c>
      <x:c r="G37" s="10" t="str">
        <x:v>Platform lead</x:v>
      </x:c>
      <x:c r="H37" s="10" t="str">
        <x:v>FR-SEC-014 FR-OPS-008</x:v>
      </x:c>
      <x:c r="I37" s="12" t="str">
        <x:v>Verification pending</x:v>
      </x:c>
      <x:c r="J37" s="12" t="str"/>
    </x:row>
    <x:row r="38" ht="38" customHeight="1">
      <x:c r="A38" s="10" t="str">
        <x:v>TH32 Migration changes historic meaning</x:v>
      </x:c>
      <x:c r="B38" s="10" t="str">
        <x:v>High</x:v>
      </x:c>
      <x:c r="C38" s="10" t="str">
        <x:v>Retained forms and indicators</x:v>
      </x:c>
      <x:c r="D38" s="10" t="str">
        <x:v>A schema or code-list upgrade reinterprets old answers, units or approved results.</x:v>
      </x:c>
      <x:c r="E38" s="10" t="str">
        <x:v>Versioned schemas and definitions, semantic migration comparison and retained readers.</x:v>
      </x:c>
      <x:c r="F38" s="10" t="str">
        <x:v>Compare old/new periods, missingness, codes, units, approvals and exports under rollback.</x:v>
      </x:c>
      <x:c r="G38" s="10" t="str">
        <x:v>Implementation lead</x:v>
      </x:c>
      <x:c r="H38" s="10" t="str">
        <x:v>FR-MIG-001 FR-OPS-007</x:v>
      </x:c>
      <x:c r="I38" s="12" t="str">
        <x:v>Verification pending</x:v>
      </x:c>
      <x:c r="J38" s="12" t="str"/>
    </x:row>
  </x:sheetData>
  <x:dataValidations count="1">
    <x:dataValidation type="list" sqref="I7:I38">
      <x:formula1>"Verification pending,In assessment,Mitigated and verified,Open finding"</x:formula1>
    </x:dataValidation>
  </x:dataValidations>
  <x:pageMargins left="0.7" right="0.7" top="0.75" bottom="0.75" header="0.3" footer="0.3"/>
  <x:tableParts count="1">
    <x:tablePart xmlns:r="http://schemas.openxmlformats.org/officeDocument/2006/relationships" r:id="R5e3b7bd947a34ede"/>
  </x:tableParts>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34" hidden="0" customWidth="1"/>
    <x:col min="3" max="3" width="65" hidden="0" customWidth="1"/>
    <x:col min="4" max="4" width="92" hidden="0" customWidth="1"/>
    <x:col min="5" max="5" width="73" hidden="0" customWidth="1"/>
    <x:col min="6" max="6" width="99" hidden="0" customWidth="1"/>
    <x:col min="7" max="7" width="99" hidden="0" customWidth="1"/>
    <x:col min="8" max="8" width="20" hidden="0" customWidth="1"/>
    <x:col min="9" max="9" width="65" hidden="0" customWidth="1"/>
    <x:col min="10" max="10" width="65" hidden="0" customWidth="1"/>
  </x:cols>
  <x:sheetData>
    <x:row r="1">
      <x:c r="A1" s="1"/>
      <x:c r="B1" s="1"/>
      <x:c r="C1" s="1"/>
      <x:c r="D1" s="1"/>
      <x:c r="E1" s="1"/>
      <x:c r="F1" s="1"/>
      <x:c r="G1" s="1"/>
    </x:row>
    <x:row r="2" ht="30" customHeight="1">
      <x:c r="A2" s="2" t="str">
        <x:v>Screen interaction contracts</x:v>
      </x:c>
      <x:c r="B2" s="1"/>
      <x:c r="C2" s="1"/>
      <x:c r="D2" s="1"/>
      <x:c r="E2" s="1"/>
      <x:c r="F2" s="1"/>
      <x:c r="G2" s="1"/>
    </x:row>
    <x:row r="3">
      <x:c r="A3" s="1"/>
      <x:c r="B3" s="1"/>
      <x:c r="C3" s="1"/>
      <x:c r="D3" s="1"/>
      <x:c r="E3" s="1"/>
      <x:c r="F3" s="1"/>
      <x:c r="G3" s="1"/>
    </x:row>
    <x:row r="4" ht="22" customHeight="1">
      <x:c r="A4" s="1" t="str">
        <x:v>Edition 1.1 | 27 September 2026 | Original requirements retained; current coverage annotated.</x:v>
      </x:c>
      <x:c r="B4" s="1"/>
      <x:c r="C4" s="1"/>
      <x:c r="D4" s="1"/>
      <x:c r="E4" s="1"/>
      <x:c r="F4" s="1"/>
      <x:c r="G4" s="1"/>
    </x:row>
    <x:row r="5">
      <x:c r="A5" s="3"/>
      <x:c r="B5" s="3"/>
      <x:c r="C5" s="3"/>
      <x:c r="D5" s="3"/>
      <x:c r="E5" s="3"/>
      <x:c r="F5" s="3"/>
      <x:c r="G5" s="3"/>
    </x:row>
    <x:row r="6" ht="36" customHeight="1">
      <x:c r="A6" s="8" t="str">
        <x:v>Screen</x:v>
      </x:c>
      <x:c r="B6" s="8" t="str">
        <x:v>Primary actor</x:v>
      </x:c>
      <x:c r="C6" s="8" t="str">
        <x:v>Client route</x:v>
      </x:c>
      <x:c r="D6" s="8" t="str">
        <x:v>Data</x:v>
      </x:c>
      <x:c r="E6" s="8" t="str">
        <x:v>Actions</x:v>
      </x:c>
      <x:c r="F6" s="8" t="str">
        <x:v>Interaction</x:v>
      </x:c>
      <x:c r="G6" s="8" t="str">
        <x:v>Guard</x:v>
      </x:c>
      <x:c r="H6" s="17" t="str">
        <x:v>Build 0.12 coverage</x:v>
      </x:c>
      <x:c r="I6" s="17" t="str">
        <x:v>Current source or panel</x:v>
      </x:c>
      <x:c r="J6" s="17" t="str">
        <x:v>Current limits</x:v>
      </x:c>
    </x:row>
    <x:row r="7" ht="38" customHeight="1">
      <x:c r="A7" s="10" t="str">
        <x:v>UI01 Sign in and recovery</x:v>
      </x:c>
      <x:c r="B7" s="10" t="str">
        <x:v>Member establishes identity</x:v>
      </x:c>
      <x:c r="C7" s="10" t="str">
        <x:v>/sign-in</x:v>
      </x:c>
      <x:c r="D7" s="10" t="str">
        <x:v>Identity method and recovery availability</x:v>
      </x:c>
      <x:c r="E7" s="10" t="str">
        <x:v>Sign in, enterprise sign in, recover access</x:v>
      </x:c>
      <x:c r="F7" s="10" t="str">
        <x:v>Route to the configured identity provider and return through a verified callback; show safe feedback for unknown identities.</x:v>
      </x:c>
      <x:c r="G7" s="10" t="str">
        <x:v>Do not enumerate accounts or bypass federation through recovery.</x:v>
      </x:c>
      <x:c r="H7" s="17" t="str">
        <x:v>PARTIAL</x:v>
      </x:c>
      <x:c r="I7" s="17" t="str">
        <x:v>main.tsx and auth.py</x:v>
      </x:c>
      <x:c r="J7" s="17" t="str">
        <x:v>Local sign-in and OIDC transport; live federation, MFA and actual recovery unqualified</x:v>
      </x:c>
    </x:row>
    <x:row r="8" ht="38" customHeight="1">
      <x:c r="A8" s="10" t="str">
        <x:v>UI02 Tenant switch and profile</x:v>
      </x:c>
      <x:c r="B8" s="10" t="str">
        <x:v>Multi tenant member changes context</x:v>
      </x:c>
      <x:c r="C8" s="10" t="str">
        <x:v>/tenants</x:v>
      </x:c>
      <x:c r="D8" s="10" t="str">
        <x:v>Current membership, tenant names, profile and sessions</x:v>
      </x:c>
      <x:c r="E8" s="10" t="str">
        <x:v>Switch tenant, edit permitted profile, end session</x:v>
      </x:c>
      <x:c r="F8" s="10" t="str">
        <x:v>Reload scope and permitted navigation after a switch; clear the previous tenant view and requests.</x:v>
      </x:c>
      <x:c r="G8" s="10" t="str">
        <x:v>Do not cache another tenant behind browser Back; identity changes require verification.</x:v>
      </x:c>
      <x:c r="H8" s="17" t="str">
        <x:v>PARTIAL</x:v>
      </x:c>
      <x:c r="I8" s="17" t="str">
        <x:v>main.tsx and WorkspaceSettings.tsx</x:v>
      </x:c>
      <x:c r="J8" s="17" t="str">
        <x:v>Workspace switching, preferences and own sessions; broader identity lifecycle pending</x:v>
      </x:c>
    </x:row>
    <x:row r="9" ht="38" customHeight="1">
      <x:c r="A9" s="10" t="str">
        <x:v>UI03 My work</x:v>
      </x:c>
      <x:c r="B9" s="10" t="str">
        <x:v>Collector reviewer manager</x:v>
      </x:c>
      <x:c r="C9" s="10" t="str">
        <x:v>/t/:tenant/work</x:v>
      </x:c>
      <x:c r="D9" s="10" t="str">
        <x:v>Assigned tasks, due dates, review requests and job outcomes</x:v>
      </x:c>
      <x:c r="E9" s="10" t="str">
        <x:v>Open task, filter, acknowledge eligible notice</x:v>
      </x:c>
      <x:c r="F9" s="10" t="str">
        <x:v>Open the exact object and revision context; distinguish overdue work from failed automation.</x:v>
      </x:c>
      <x:c r="G9" s="10" t="str">
        <x:v>Only assigned or otherwise permitted work appears; notifications contain safe references.</x:v>
      </x:c>
      <x:c r="H9" s="17" t="str">
        <x:v>PARTIAL</x:v>
      </x:c>
      <x:c r="I9" s="17" t="str">
        <x:v>WorkCenter.tsx</x:v>
      </x:c>
      <x:c r="J9" s="17" t="str">
        <x:v>Recalculation tasks and safe notices; complete assigned work aggregation pending</x:v>
      </x:c>
    </x:row>
    <x:row r="10" ht="38" customHeight="1">
      <x:c r="A10" s="10" t="str">
        <x:v>UI04 Tenant settings</x:v>
      </x:c>
      <x:c r="B10" s="10" t="str">
        <x:v>Owner identity or policy admin</x:v>
      </x:c>
      <x:c r="C10" s="10" t="str">
        <x:v>/t/:tenant/settings</x:v>
      </x:c>
      <x:c r="D10" s="10" t="str">
        <x:v>Versioned identity, region, retention and terminology settings</x:v>
      </x:c>
      <x:c r="E10" s="10" t="str">
        <x:v>Preview change, save, promote configuration</x:v>
      </x:c>
      <x:c r="F10" s="10" t="str">
        <x:v>Show affected policy and work before applying; conflict on a changed configuration revision.</x:v>
      </x:c>
      <x:c r="G10" s="10" t="str">
        <x:v>Prevent removal of final owner and activation without required policy settings.</x:v>
      </x:c>
      <x:c r="H10" s="17" t="str">
        <x:v>PARTIAL</x:v>
      </x:c>
      <x:c r="I10" s="17" t="str">
        <x:v>TenantLifecycle.tsx and WorkspaceSettings.tsx</x:v>
      </x:c>
      <x:c r="J10" s="17" t="str">
        <x:v>Managed-tenant lifecycle and workspace administration; full policy editing pending</x:v>
      </x:c>
    </x:row>
    <x:row r="11" ht="38" customHeight="1">
      <x:c r="A11" s="10" t="str">
        <x:v>UI05 Members and grants</x:v>
      </x:c>
      <x:c r="B11" s="10" t="str">
        <x:v>Delegated identity admin</x:v>
      </x:c>
      <x:c r="C11" s="10" t="str">
        <x:v>/t/:tenant/access</x:v>
      </x:c>
      <x:c r="D11" s="10" t="str">
        <x:v>Members, role templates, scoped grants, expiry and effective access</x:v>
      </x:c>
      <x:c r="E11" s="10" t="str">
        <x:v>Invite, change grant, suspend, revoke, transfer ownership</x:v>
      </x:c>
      <x:c r="F11" s="10" t="str">
        <x:v>Separate membership state from grants; show exact scope and expiry before sensitive commands.</x:v>
      </x:c>
      <x:c r="G11" s="10" t="str">
        <x:v>Fresh assurance, issuer bounds and independent custody checks; no browser-assigned issuer.</x:v>
      </x:c>
      <x:c r="H11" s="17" t="str">
        <x:v>PARTIAL</x:v>
      </x:c>
      <x:c r="I11" s="17" t="str">
        <x:v>Administration.tsx</x:v>
      </x:c>
      <x:c r="J11" s="17" t="str">
        <x:v>Reviewed memberships, grants and role changes; full external delivery and departure inventory pending</x:v>
      </x:c>
    </x:row>
    <x:row r="12" ht="38" customHeight="1">
      <x:c r="A12" s="10" t="str">
        <x:v>UI06 Programme registry</x:v>
      </x:c>
      <x:c r="B12" s="10" t="str">
        <x:v>Manager</x:v>
      </x:c>
      <x:c r="C12" s="10" t="str">
        <x:v>/t/:tenant/programmes</x:v>
      </x:c>
      <x:c r="D12" s="10" t="str">
        <x:v>Permitted programme registry and lifecycle</x:v>
      </x:c>
      <x:c r="E12" s="10" t="str">
        <x:v>Create draft, filter, open, archive</x:v>
      </x:c>
      <x:c r="F12" s="10" t="str">
        <x:v>Preserve filters and cursor context; distinguish no records from no filter matches.</x:v>
      </x:c>
      <x:c r="G12" s="10" t="str">
        <x:v>Creation is Draft; activation checks mandatory measurement and policy configuration.</x:v>
      </x:c>
      <x:c r="H12" s="17" t="str">
        <x:v>PARTIAL</x:v>
      </x:c>
      <x:c r="I12" s="17" t="str">
        <x:v>main.tsx and Configuration.tsx</x:v>
      </x:c>
      <x:c r="J12" s="17" t="str">
        <x:v>Programme registry and create; advanced programme planning pending</x:v>
      </x:c>
    </x:row>
    <x:row r="13" ht="38" customHeight="1">
      <x:c r="A13" s="10" t="str">
        <x:v>UI07 Programme workspace</x:v>
      </x:c>
      <x:c r="B13" s="10" t="str">
        <x:v>Manager and partner</x:v>
      </x:c>
      <x:c r="C13" s="10" t="str">
        <x:v>/t/:tenant/programmes/:id</x:v>
      </x:c>
      <x:c r="D13" s="10" t="str">
        <x:v>Programme overview, activities, risks, obligations and budget links</x:v>
      </x:c>
      <x:c r="E13" s="10" t="str">
        <x:v>Edit draft, assign work, activate, archive</x:v>
      </x:c>
      <x:c r="F13" s="10" t="str">
        <x:v>Provide stable navigation between framework, indicators, work, results and reporting.</x:v>
      </x:c>
      <x:c r="G13" s="10" t="str">
        <x:v>Material edits retain versions; archive previews unfinished obligations and schedules.</x:v>
      </x:c>
      <x:c r="H13" s="17" t="str">
        <x:v>PARTIAL</x:v>
      </x:c>
      <x:c r="I13" s="17" t="str">
        <x:v>main.tsx and Configuration.tsx</x:v>
      </x:c>
      <x:c r="J13" s="17" t="str">
        <x:v>Programme setup and readiness; broader delivery management pending</x:v>
      </x:c>
    </x:row>
    <x:row r="14" ht="38" customHeight="1">
      <x:c r="A14" s="10" t="str">
        <x:v>UI08 Framework editor</x:v>
      </x:c>
      <x:c r="B14" s="10" t="str">
        <x:v>MEL administrator</x:v>
      </x:c>
      <x:c r="C14" s="10" t="str">
        <x:v>/t/:tenant/frameworks/:id</x:v>
      </x:c>
      <x:c r="D14" s="10" t="str">
        <x:v>Versioned nodes, relationships, completeness and comparison</x:v>
      </x:c>
      <x:c r="E14" s="10" t="str">
        <x:v>Add node, link, reorder, compare, submit</x:v>
      </x:c>
      <x:c r="F14" s="10" t="str">
        <x:v>Offer graph and accessible tabular editing; validate cycles and missing definitions before review.</x:v>
      </x:c>
      <x:c r="G14" s="10" t="str">
        <x:v>Published or reviewed meaning is preserved; a changed graph creates a new candidate.</x:v>
      </x:c>
      <x:c r="H14" s="17" t="str">
        <x:v>PENDING</x:v>
      </x:c>
      <x:c r="I14" s="17" t="str">
        <x:v>No complete current screen mapped</x:v>
      </x:c>
      <x:c r="J14" s="17" t="str">
        <x:v>Target design; do not infer implementation from this prototype</x:v>
      </x:c>
    </x:row>
    <x:row r="15" ht="38" customHeight="1">
      <x:c r="A15" s="10" t="str">
        <x:v>UI09 Indicator designer</x:v>
      </x:c>
      <x:c r="B15" s="10" t="str">
        <x:v>MEL administrator</x:v>
      </x:c>
      <x:c r="C15" s="10" t="str">
        <x:v>/t/:tenant/indicators/:id/design</x:v>
      </x:c>
      <x:c r="D15" s="10" t="str">
        <x:v>Unit, population, denominator, time meaning, source and targets</x:v>
      </x:c>
      <x:c r="E15" s="10" t="str">
        <x:v>Edit, test calculation, compare, submit</x:v>
      </x:c>
      <x:c r="F15" s="10" t="str">
        <x:v>Make aggregation and comparability choices explicit; show sample inputs and expected result.</x:v>
      </x:c>
      <x:c r="G15" s="10" t="str">
        <x:v>Block incompatible units, ambiguous denominators and invalid cumulative treatment.</x:v>
      </x:c>
      <x:c r="H15" s="17" t="str">
        <x:v>PARTIAL</x:v>
      </x:c>
      <x:c r="I15" s="17" t="str">
        <x:v>Configuration.tsx</x:v>
      </x:c>
      <x:c r="J15" s="17" t="str">
        <x:v>Manual FLOW definition and plan workflow; complete indicator profiles pending</x:v>
      </x:c>
    </x:row>
    <x:row r="16" ht="38" customHeight="1">
      <x:c r="A16" s="10" t="str">
        <x:v>UI10 Indicator results</x:v>
      </x:c>
      <x:c r="B16" s="10" t="str">
        <x:v>Reviewer or analyst</x:v>
      </x:c>
      <x:c r="C16" s="10" t="str">
        <x:v>/t/:tenant/indicators/:id/results</x:v>
      </x:c>
      <x:c r="D16" s="10" t="str">
        <x:v>Periods, values, missingness, approval, coverage and lineage</x:v>
      </x:c>
      <x:c r="E16" s="10" t="str">
        <x:v>Inspect contribution, compare periods, request correction</x:v>
      </x:c>
      <x:c r="F16" s="10" t="str">
        <x:v>Show official versus provisional, freshness and excluded contributions beside values.</x:v>
      </x:c>
      <x:c r="G16" s="10" t="str">
        <x:v>No averaging displayed percentages; missing, zero and suppressed values remain distinct.</x:v>
      </x:c>
      <x:c r="H16" s="17" t="str">
        <x:v>PARTIAL</x:v>
      </x:c>
      <x:c r="I16" s="17" t="str">
        <x:v>main.tsx</x:v>
      </x:c>
      <x:c r="J16" s="17" t="str">
        <x:v>SUM and pooled result lineage; other calculations and full lineage graph pending</x:v>
      </x:c>
    </x:row>
    <x:row r="17" ht="38" customHeight="1">
      <x:c r="A17" s="10" t="str">
        <x:v>UI11 Form designer</x:v>
      </x:c>
      <x:c r="B17" s="10" t="str">
        <x:v>Instrument owner</x:v>
      </x:c>
      <x:c r="C17" s="10" t="str">
        <x:v>/t/:tenant/forms/:id</x:v>
      </x:c>
      <x:c r="D17" s="10" t="str">
        <x:v>Fields, logic, repeats, language and compatibility</x:v>
      </x:c>
      <x:c r="E17" s="10" t="str">
        <x:v>Add field, preview path, test, version, publish</x:v>
      </x:c>
      <x:c r="F17" s="10" t="str">
        <x:v>Validate bounded expressions and dependency cycles; test requiredness and hidden-field handling.</x:v>
      </x:c>
      <x:c r="G17" s="10" t="str">
        <x:v>Published instrument immutable; destructive changes require a new version and compatibility handling.</x:v>
      </x:c>
      <x:c r="H17" s="17" t="str">
        <x:v>PENDING</x:v>
      </x:c>
      <x:c r="I17" s="17" t="str">
        <x:v>No complete current screen mapped</x:v>
      </x:c>
      <x:c r="J17" s="17" t="str">
        <x:v>Target design; do not infer implementation from this prototype</x:v>
      </x:c>
    </x:row>
    <x:row r="18" ht="38" customHeight="1">
      <x:c r="A18" s="10" t="str">
        <x:v>UI12 Field assignments</x:v>
      </x:c>
      <x:c r="B18" s="10" t="str">
        <x:v>Enumerator</x:v>
      </x:c>
      <x:c r="C18" s="10" t="str">
        <x:v>/t/:tenant/assignments</x:v>
      </x:c>
      <x:c r="D18" s="10" t="str">
        <x:v>Minimal assigned tasks, form version and offline lease</x:v>
      </x:c>
      <x:c r="E18" s="10" t="str">
        <x:v>Download package, open task, request renewal</x:v>
      </x:c>
      <x:c r="F18" s="10" t="str">
        <x:v>Show last server check, package expiry and on-device availability; keep identities minimal.</x:v>
      </x:c>
      <x:c r="G18" s="10" t="str">
        <x:v>Expired or unqualified device cannot unlock restricted content.</x:v>
      </x:c>
      <x:c r="H18" s="17" t="str">
        <x:v>PENDING</x:v>
      </x:c>
      <x:c r="I18" s="17" t="str">
        <x:v>No complete current screen mapped</x:v>
      </x:c>
      <x:c r="J18" s="17" t="str">
        <x:v>Target design; do not infer implementation from this prototype</x:v>
      </x:c>
    </x:row>
    <x:row r="19" ht="38" customHeight="1">
      <x:c r="A19" s="10" t="str">
        <x:v>UI13 Collection form</x:v>
      </x:c>
      <x:c r="B19" s="10" t="str">
        <x:v>Enumerator or respondent</x:v>
      </x:c>
      <x:c r="C19" s="10" t="str">
        <x:v>/t/:tenant/collect/:assignment</x:v>
      </x:c>
      <x:c r="D19" s="10" t="str">
        <x:v>Published questions, answers, repeats, media and save status</x:v>
      </x:c>
      <x:c r="E19" s="10" t="str">
        <x:v>Save locally, validate, submit</x:v>
      </x:c>
      <x:c r="F19" s="10" t="str">
        <x:v>Label on-device save separately from server receipt; preserve repeat row identity and typed answers.</x:v>
      </x:c>
      <x:c r="G19" s="10" t="str">
        <x:v>No false submission success; required media and current assignment checks apply.</x:v>
      </x:c>
      <x:c r="H19" s="17" t="str">
        <x:v>PARTIAL</x:v>
      </x:c>
      <x:c r="I19" s="17" t="str">
        <x:v>main.tsx</x:v>
      </x:c>
      <x:c r="J19" s="17" t="str">
        <x:v>Manual observation collection only; full form runtime and offline collection pending</x:v>
      </x:c>
    </x:row>
    <x:row r="20" ht="38" customHeight="1">
      <x:c r="A20" s="10" t="str">
        <x:v>UI14 Sync and conflicts</x:v>
      </x:c>
      <x:c r="B20" s="10" t="str">
        <x:v>Collector supervisor</x:v>
      </x:c>
      <x:c r="C20" s="10" t="str">
        <x:v>/t/:tenant/sync</x:v>
      </x:c>
      <x:c r="D20" s="10" t="str">
        <x:v>Per-record local state, server receipts, parts and conflicts</x:v>
      </x:c>
      <x:c r="E20" s="10" t="str">
        <x:v>Sync, resume, view permitted diff, resolve through correction</x:v>
      </x:c>
      <x:c r="F20" s="10" t="str">
        <x:v>Recover lost acknowledgements by receipt; show each failure without obscuring successful items.</x:v>
      </x:c>
      <x:c r="G20" s="10" t="str">
        <x:v>Never overwrite conflicting server revision or expose another author private fields.</x:v>
      </x:c>
      <x:c r="H20" s="17" t="str">
        <x:v>PENDING</x:v>
      </x:c>
      <x:c r="I20" s="17" t="str">
        <x:v>No complete current screen mapped</x:v>
      </x:c>
      <x:c r="J20" s="17" t="str">
        <x:v>Target design; do not infer implementation from this prototype</x:v>
      </x:c>
    </x:row>
    <x:row r="21" ht="38" customHeight="1">
      <x:c r="A21" s="10" t="str">
        <x:v>UI15 Import workspace</x:v>
      </x:c>
      <x:c r="B21" s="10" t="str">
        <x:v>Data steward</x:v>
      </x:c>
      <x:c r="C21" s="10" t="str">
        <x:v>/t/:tenant/imports/:id</x:v>
      </x:c>
      <x:c r="D21" s="10" t="str">
        <x:v>Source digest, locale, mapping, duplicate rules and row outcomes</x:v>
      </x:c>
      <x:c r="E21" s="10" t="str">
        <x:v>Upload, preview, map, confirm commit, cancel</x:v>
      </x:c>
      <x:c r="F21" s="10" t="str">
        <x:v>Use a staged flow; bind commit to current preview hash and show atomic versus partial treatment.</x:v>
      </x:c>
      <x:c r="G21" s="10" t="str">
        <x:v>Controlled replacement names exact scope; row totals reconcile and cancellation preserves accepted rows.</x:v>
      </x:c>
      <x:c r="H21" s="17" t="str">
        <x:v>PENDING</x:v>
      </x:c>
      <x:c r="I21" s="17" t="str">
        <x:v>No complete current screen mapped</x:v>
      </x:c>
      <x:c r="J21" s="17" t="str">
        <x:v>Target design; do not infer implementation from this prototype</x:v>
      </x:c>
    </x:row>
    <x:row r="22" ht="38" customHeight="1">
      <x:c r="A22" s="10" t="str">
        <x:v>UI16 Dataset catalogue</x:v>
      </x:c>
      <x:c r="B22" s="10" t="str">
        <x:v>Steward analyst</x:v>
      </x:c>
      <x:c r="C22" s="10" t="str">
        <x:v>/t/:tenant/datasets</x:v>
      </x:c>
      <x:c r="D22" s="10" t="str">
        <x:v>Schema, owner, classification, refresh and lineage</x:v>
      </x:c>
      <x:c r="E22" s="10" t="str">
        <x:v>Inspect, map, derive, export where permitted</x:v>
      </x:c>
      <x:c r="F22" s="10" t="str">
        <x:v>Show source version, stale data and transformation chain before choosing a dataset.</x:v>
      </x:c>
      <x:c r="G22" s="10" t="str">
        <x:v>Exports require separate authority; schema views cannot leak restricted sample rows.</x:v>
      </x:c>
      <x:c r="H22" s="17" t="str">
        <x:v>PENDING</x:v>
      </x:c>
      <x:c r="I22" s="17" t="str">
        <x:v>No complete current screen mapped</x:v>
      </x:c>
      <x:c r="J22" s="17" t="str">
        <x:v>Target design; do not infer implementation from this prototype</x:v>
      </x:c>
    </x:row>
    <x:row r="23" ht="38" customHeight="1">
      <x:c r="A23" s="10" t="str">
        <x:v>UI17 Quality queue</x:v>
      </x:c>
      <x:c r="B23" s="10" t="str">
        <x:v>Steward reviewer</x:v>
      </x:c>
      <x:c r="C23" s="10" t="str">
        <x:v>/t/:tenant/quality</x:v>
      </x:c>
      <x:c r="D23" s="10" t="str">
        <x:v>Issues by severity, rule, affected revision and owner</x:v>
      </x:c>
      <x:c r="E23" s="10" t="str">
        <x:v>Correct, revalidate, request exception, review exception</x:v>
      </x:c>
      <x:c r="F23" s="10" t="str">
        <x:v>Keep a correction separate from dismissal; show expiry and scope of approved exceptions.</x:v>
      </x:c>
      <x:c r="G23" s="10" t="str">
        <x:v>Blocking issues stop affected approvals or close; exceptions require independent authority.</x:v>
      </x:c>
      <x:c r="H23" s="17" t="str">
        <x:v>PENDING</x:v>
      </x:c>
      <x:c r="I23" s="17" t="str">
        <x:v>No complete current screen mapped</x:v>
      </x:c>
      <x:c r="J23" s="17" t="str">
        <x:v>Target design; do not infer implementation from this prototype</x:v>
      </x:c>
    </x:row>
    <x:row r="24" ht="38" customHeight="1">
      <x:c r="A24" s="10" t="str">
        <x:v>UI18 Participant workspace</x:v>
      </x:c>
      <x:c r="B24" s="10" t="str">
        <x:v>Assigned programme staff</x:v>
      </x:c>
      <x:c r="C24" s="10" t="str">
        <x:v>/t/:tenant/participants/:id</x:v>
      </x:c>
      <x:c r="D24" s="10" t="str">
        <x:v>Pseudonym, permitted identifiers, events, relationships and purpose</x:v>
      </x:c>
      <x:c r="E24" s="10" t="str">
        <x:v>Record event, update permitted fields, record handling, restrict</x:v>
      </x:c>
      <x:c r="F24" s="10" t="str">
        <x:v>Default to pseudonymous views; disclose direct identifiers only for an authorised purpose.</x:v>
      </x:c>
      <x:c r="G24" s="10" t="str">
        <x:v>Keep encrypted identifiers separate; withdrawal does not silently rewrite aggregate arithmetic.</x:v>
      </x:c>
      <x:c r="H24" s="17" t="str">
        <x:v>PENDING</x:v>
      </x:c>
      <x:c r="I24" s="17" t="str">
        <x:v>No complete current screen mapped</x:v>
      </x:c>
      <x:c r="J24" s="17" t="str">
        <x:v>Target design; do not infer implementation from this prototype</x:v>
      </x:c>
    </x:row>
    <x:row r="25" ht="38" customHeight="1">
      <x:c r="A25" s="10" t="str">
        <x:v>UI19 Evidence repository</x:v>
      </x:c>
      <x:c r="B25" s="10" t="str">
        <x:v>Author analyst reviewer</x:v>
      </x:c>
      <x:c r="C25" s="10" t="str">
        <x:v>/t/:tenant/evidence</x:v>
      </x:c>
      <x:c r="D25" s="10" t="str">
        <x:v>Evidence versions, provenance, scan and verification</x:v>
      </x:c>
      <x:c r="E25" s="10" t="str">
        <x:v>Upload, inspect, quote, verify, download</x:v>
      </x:c>
      <x:c r="F25" s="10" t="str">
        <x:v>Distinguish transfer, scan, provenance and review states; citations pin exact evidence revision.</x:v>
      </x:c>
      <x:c r="G25" s="10" t="str">
        <x:v>Quarantined bytes unavailable; downloads and previews recheck present permission.</x:v>
      </x:c>
      <x:c r="H25" s="17" t="str">
        <x:v>PARTIAL</x:v>
      </x:c>
      <x:c r="I25" s="17" t="str">
        <x:v>main.tsx</x:v>
      </x:c>
      <x:c r="J25" s="17" t="str">
        <x:v>Authorized evidence read surfaces only; upload, scan and evidence management pending</x:v>
      </x:c>
    </x:row>
    <x:row r="26" ht="38" customHeight="1">
      <x:c r="A26" s="10" t="str">
        <x:v>UI20 Evaluation workspace</x:v>
      </x:c>
      <x:c r="B26" s="10" t="str">
        <x:v>Evaluator</x:v>
      </x:c>
      <x:c r="C26" s="10" t="str">
        <x:v>/t/:tenant/evaluations/:id</x:v>
      </x:c>
      <x:c r="D26" s="10" t="str">
        <x:v>Question, method, source extracts, findings and limitations</x:v>
      </x:c>
      <x:c r="E26" s="10" t="str">
        <x:v>Code extract, compare findings, draft recommendation, submit</x:v>
      </x:c>
      <x:c r="F26" s="10" t="str">
        <x:v>Connect each finding to sources and method; preserve disagreement and management responses.</x:v>
      </x:c>
      <x:c r="G26" s="10" t="str">
        <x:v>Causal statements require justified method and review; AI suggestions remain labelled drafts.</x:v>
      </x:c>
      <x:c r="H26" s="17" t="str">
        <x:v>PENDING</x:v>
      </x:c>
      <x:c r="I26" s="17" t="str">
        <x:v>No complete current screen mapped</x:v>
      </x:c>
      <x:c r="J26" s="17" t="str">
        <x:v>Target design; do not infer implementation from this prototype</x:v>
      </x:c>
    </x:row>
    <x:row r="27" ht="38" customHeight="1">
      <x:c r="A27" s="10" t="str">
        <x:v>UI21 Review queue</x:v>
      </x:c>
      <x:c r="B27" s="10" t="str">
        <x:v>Independent reviewer</x:v>
      </x:c>
      <x:c r="C27" s="10" t="str">
        <x:v>/t/:tenant/reviews/:id</x:v>
      </x:c>
      <x:c r="D27" s="10" t="str">
        <x:v>Exact candidate, changed fields, evidence and independence</x:v>
      </x:c>
      <x:c r="E27" s="10" t="str">
        <x:v>Approve, return, reject, delegate within policy</x:v>
      </x:c>
      <x:c r="F27" s="10" t="str">
        <x:v>Pin the candidate and reveal current blockers; require reasons as specified and preserve receipts.</x:v>
      </x:c>
      <x:c r="G27" s="10" t="str">
        <x:v>Self-approval and changed-candidate decisions fail at server even when a button was visible.</x:v>
      </x:c>
      <x:c r="H27" s="17" t="str">
        <x:v>PARTIAL</x:v>
      </x:c>
      <x:c r="I27" s="17" t="str">
        <x:v>main.tsx</x:v>
      </x:c>
      <x:c r="J27" s="17" t="str">
        <x:v>Independent single-stage review; configurable multistage workflows pending</x:v>
      </x:c>
    </x:row>
    <x:row r="28" ht="38" customHeight="1">
      <x:c r="A28" s="10" t="str">
        <x:v>UI22 Dashboard editor and viewer</x:v>
      </x:c>
      <x:c r="B28" s="10" t="str">
        <x:v>Analyst manager viewer</x:v>
      </x:c>
      <x:c r="C28" s="10" t="str">
        <x:v>/t/:tenant/dashboards/:id</x:v>
      </x:c>
      <x:c r="D28" s="10" t="str">
        <x:v>Typed widgets, scoped filters, target version and source mode</x:v>
      </x:c>
      <x:c r="E28" s="10" t="str">
        <x:v>Filter, drill down, edit layout, save version</x:v>
      </x:c>
      <x:c r="F28" s="10" t="str">
        <x:v>Provide data alternatives to charts; show partial/stale status and official/provisional mode.</x:v>
      </x:c>
      <x:c r="G28" s="10" t="str">
        <x:v>Hidden cells and metadata remain absent; filters never expand authority.</x:v>
      </x:c>
      <x:c r="H28" s="17" t="str">
        <x:v>PENDING</x:v>
      </x:c>
      <x:c r="I28" s="17" t="str">
        <x:v>No complete current screen mapped</x:v>
      </x:c>
      <x:c r="J28" s="17" t="str">
        <x:v>Target design; do not infer implementation from this prototype</x:v>
      </x:c>
    </x:row>
    <x:row r="29" ht="38" customHeight="1">
      <x:c r="A29" s="10" t="str">
        <x:v>UI23 Report workspace</x:v>
      </x:c>
      <x:c r="B29" s="10" t="str">
        <x:v>Report author and approver</x:v>
      </x:c>
      <x:c r="C29" s="10" t="str">
        <x:v>/t/:tenant/reports/:id</x:v>
      </x:c>
      <x:c r="D29" s="10" t="str">
        <x:v>Template, snapshot, narrative, citations and numeric bindings</x:v>
      </x:c>
      <x:c r="E29" s="10" t="str">
        <x:v>Draft, reconcile, submit, export, publish, withdraw</x:v>
      </x:c>
      <x:c r="F29" s="10" t="str">
        <x:v>Bind official numbers to result revisions; preview audience and expiry before publication.</x:v>
      </x:c>
      <x:c r="G29" s="10" t="str">
        <x:v>Approval, disclosure and publication capability are separate; partial render is never an official download.</x:v>
      </x:c>
      <x:c r="H29" s="17" t="str">
        <x:v>PARTIAL</x:v>
      </x:c>
      <x:c r="I29" s="17" t="str">
        <x:v>main.tsx and PeriodGovernance.tsx</x:v>
      </x:c>
      <x:c r="J29" s="17" t="str">
        <x:v>Frozen HTML/CSV reports and named-recipient publication; other exports and delivery pending</x:v>
      </x:c>
    </x:row>
    <x:row r="30" ht="38" customHeight="1">
      <x:c r="A30" s="10" t="str">
        <x:v>UI24 Period close</x:v>
      </x:c>
      <x:c r="B30" s="10" t="str">
        <x:v>MEL manager and reviewer</x:v>
      </x:c>
      <x:c r="C30" s="10" t="str">
        <x:v>/t/:tenant/periods/:id/close</x:v>
      </x:c>
      <x:c r="D30" s="10" t="str">
        <x:v>Expected obligations, blockers, exclusions and snapshot manifest</x:v>
      </x:c>
      <x:c r="E30" s="10" t="str">
        <x:v>Refresh readiness, review exclusions, close, restate</x:v>
      </x:c>
      <x:c r="F30" s="10" t="str">
        <x:v>Show the exact version set and outstanding blockers; return a close job and durable outcome.</x:v>
      </x:c>
      <x:c r="G30" s="10" t="str">
        <x:v>Late changes invalidate readiness; restatement requires independent approval and a new snapshot.</x:v>
      </x:c>
      <x:c r="H30" s="17" t="str">
        <x:v>PARTIAL</x:v>
      </x:c>
      <x:c r="I30" s="17" t="str">
        <x:v>PeriodGovernance.tsx</x:v>
      </x:c>
      <x:c r="J30" s="17" t="str">
        <x:v>Close and scoped restatement; complete late-source and cross-period policy pending</x:v>
      </x:c>
    </x:row>
    <x:row r="31" ht="38" customHeight="1">
      <x:c r="A31" s="10" t="str">
        <x:v>UI25 Integration administration</x:v>
      </x:c>
      <x:c r="B31" s="10" t="str">
        <x:v>Connection owner</x:v>
      </x:c>
      <x:c r="C31" s="10" t="str">
        <x:v>/t/:tenant/connections/:id</x:v>
      </x:c>
      <x:c r="D31" s="10" t="str">
        <x:v>Scope, secret reference, qualification, schedule and checkpoints</x:v>
      </x:c>
      <x:c r="E31" s="10" t="str">
        <x:v>Test, activate, pause, rotate, run, inspect retry</x:v>
      </x:c>
      <x:c r="F31" s="10" t="str">
        <x:v>Show credential expiry and upstream permission health without reading back secret values.</x:v>
      </x:c>
      <x:c r="G31" s="10" t="str">
        <x:v>Service owner and backup are required; retry rechecks destination, credentials and scope.</x:v>
      </x:c>
      <x:c r="H31" s="17" t="str">
        <x:v>PENDING</x:v>
      </x:c>
      <x:c r="I31" s="17" t="str">
        <x:v>No complete current screen mapped</x:v>
      </x:c>
      <x:c r="J31" s="17" t="str">
        <x:v>Target design; do not infer implementation from this prototype</x:v>
      </x:c>
    </x:row>
    <x:row r="32" ht="38" customHeight="1">
      <x:c r="A32" s="10" t="str">
        <x:v>UI26 AI workspace</x:v>
      </x:c>
      <x:c r="B32" s="10" t="str">
        <x:v>Author analyst reviewer</x:v>
      </x:c>
      <x:c r="C32" s="10" t="str">
        <x:v>/t/:tenant/ai</x:v>
      </x:c>
      <x:c r="D32" s="10" t="str">
        <x:v>Use case, allowed sources, citations, budget and proposals</x:v>
      </x:c>
      <x:c r="E32" s="10" t="str">
        <x:v>Ask, inspect evidence, preview diff, confirm draft, cancel</x:v>
      </x:c>
      <x:c r="F32" s="10" t="str">
        <x:v>Display exact sources and target revisions; stale or expired proposals require regeneration.</x:v>
      </x:c>
      <x:c r="G32" s="10" t="str">
        <x:v>No autonomous approve, publish, grant or deletion; unsupported consequential claims block use.</x:v>
      </x:c>
      <x:c r="H32" s="17" t="str">
        <x:v>PENDING</x:v>
      </x:c>
      <x:c r="I32" s="17" t="str">
        <x:v>No complete current screen mapped</x:v>
      </x:c>
      <x:c r="J32" s="17" t="str">
        <x:v>Target design; do not infer implementation from this prototype</x:v>
      </x:c>
    </x:row>
    <x:row r="33" ht="38" customHeight="1">
      <x:c r="A33" s="10" t="str">
        <x:v>UI27 Privacy and disclosure</x:v>
      </x:c>
      <x:c r="B33" s="10" t="str">
        <x:v>Privacy officer</x:v>
      </x:c>
      <x:c r="C33" s="10" t="str">
        <x:v>/t/:tenant/privacy</x:v>
      </x:c>
      <x:c r="D33" s="10" t="str">
        <x:v>Cases, verified requester, authority, holds, disclosure and store outcomes</x:v>
      </x:c>
      <x:c r="E33" s="10" t="str">
        <x:v>Review, approve plan, execute, verify outcomes, release hold through authority</x:v>
      </x:c>
      <x:c r="F33" s="10" t="str">
        <x:v>Show per-store progress and held actions; distinguish partial completion and effective restriction.</x:v>
      </x:c>
      <x:c r="G33" s="10" t="str">
        <x:v>Plan changes invalidate approval; public disclosure checks cumulative inference and download rights.</x:v>
      </x:c>
      <x:c r="H33" s="17" t="str">
        <x:v>PENDING</x:v>
      </x:c>
      <x:c r="I33" s="17" t="str">
        <x:v>No complete current screen mapped</x:v>
      </x:c>
      <x:c r="J33" s="17" t="str">
        <x:v>Target design; do not infer implementation from this prototype</x:v>
      </x:c>
    </x:row>
    <x:row r="34" ht="38" customHeight="1">
      <x:c r="A34" s="10" t="str">
        <x:v>UI28 Service operations</x:v>
      </x:c>
      <x:c r="B34" s="10" t="str">
        <x:v>Platform operator</x:v>
      </x:c>
      <x:c r="C34" s="10" t="str">
        <x:v>/operations</x:v>
      </x:c>
      <x:c r="D34" s="10" t="str">
        <x:v>Service metadata, tenant limits, incidents and support sessions</x:v>
      </x:c>
      <x:c r="E34" s="10" t="str">
        <x:v>Inspect health, change approved limits, request or end support</x:v>
      </x:c>
      <x:c r="F34" s="10" t="str">
        <x:v>Separate platform health from tenant content; show support scope, approver and countdown.</x:v>
      </x:c>
      <x:c r="G34" s="10" t="str">
        <x:v>Operator role has no default business content access and cannot approve its own support grant.</x:v>
      </x:c>
      <x:c r="H34" s="17" t="str">
        <x:v>PENDING</x:v>
      </x:c>
      <x:c r="I34" s="17" t="str">
        <x:v>No complete current screen mapped</x:v>
      </x:c>
      <x:c r="J34" s="17" t="str">
        <x:v>Target design; do not infer implementation from this prototype</x:v>
      </x:c>
    </x:row>
    <x:row r="35" ht="38" customHeight="1">
      <x:c r="A35" s="10" t="str">
        <x:v>UI29 Migration and exit</x:v>
      </x:c>
      <x:c r="B35" s="10" t="str">
        <x:v>Implementation lead owner</x:v>
      </x:c>
      <x:c r="C35" s="10" t="str">
        <x:v>/t/:tenant/migration</x:v>
      </x:c>
      <x:c r="D35" s="10" t="str">
        <x:v>Mapping, dry run, reconciliation, cutover and exit manifest</x:v>
      </x:c>
      <x:c r="E35" s="10" t="str">
        <x:v>Run trial, inspect semantic diff, confirm cutover, export, close</x:v>
      </x:c>
      <x:c r="F35" s="10" t="str">
        <x:v>Compare values, periods, approvals and lineage; preserve a rollback or repair path.</x:v>
      </x:c>
      <x:c r="G35" s="10" t="str">
        <x:v>Exit cannot skip holds; migration never fabricates historic human approval.</x:v>
      </x:c>
      <x:c r="H35" s="17" t="str">
        <x:v>PENDING</x:v>
      </x:c>
      <x:c r="I35" s="17" t="str">
        <x:v>No complete current screen mapped</x:v>
      </x:c>
      <x:c r="J35" s="17" t="str">
        <x:v>Target design; do not infer implementation from this prototype</x:v>
      </x:c>
    </x:row>
    <x:row r="36" ht="38" customHeight="1">
      <x:c r="A36" s="10" t="str">
        <x:v>UI30 Budget workspace</x:v>
      </x:c>
      <x:c r="B36" s="10" t="str">
        <x:v>Finance authorised user</x:v>
      </x:c>
      <x:c r="C36" s="10" t="str">
        <x:v>/t/:tenant/finance</x:v>
      </x:c>
      <x:c r="D36" s="10" t="str">
        <x:v>Funding, budget versions, transactions, exchange rates and allocations</x:v>
      </x:c>
      <x:c r="E36" s="10" t="str">
        <x:v>Import transactions, revise budget, apply rate, allocate, review</x:v>
      </x:c>
      <x:c r="F36" s="10" t="str">
        <x:v>Show source currency and reporting currency separately; reconcile allocation total and rounding residual.</x:v>
      </x:c>
      <x:c r="G36" s="10" t="str">
        <x:v>No silent overwrite of expenditure; reversals link the original and finance authority remains separate.</x:v>
      </x:c>
      <x:c r="H36" s="17" t="str">
        <x:v>PENDING</x:v>
      </x:c>
      <x:c r="I36" s="17" t="str">
        <x:v>No complete current screen mapped</x:v>
      </x:c>
      <x:c r="J36" s="17" t="str">
        <x:v>Target design; do not infer implementation from this prototype</x:v>
      </x:c>
    </x:row>
    <x:row r="37" ht="96" customHeight="1">
      <x:c r="A37" s="17" t="str">
        <x:v>UI31 Managed tenant onboarding</x:v>
      </x:c>
      <x:c r="B37" s="17" t="str">
        <x:v>Authorized current actor; see user/admin guide</x:v>
      </x:c>
      <x:c r="C37" s="17" t="str">
        <x:v>Current SPA panel; not a baseline deep-link route</x:v>
      </x:c>
      <x:c r="D37" s="17" t="str">
        <x:v>Managed tenant onboarding</x:v>
      </x:c>
      <x:c r="E37" s="17" t="str">
        <x:v>See wireframe and guide</x:v>
      </x:c>
      <x:c r="F37" s="17" t="str">
        <x:v>Current implementation subset; prototype uses synthetic data.</x:v>
      </x:c>
      <x:c r="G37" s="17" t="str">
        <x:v>Explicit current authority and independent review as applicable.</x:v>
      </x:c>
      <x:c r="H37" s="17" t="str">
        <x:v>PARTIAL</x:v>
      </x:c>
      <x:c r="I37" s="17" t="str">
        <x:v>TenantLifecycle.tsx, InitialAccess.tsx, RecoveryContacts.tsx, WorkspaceSettings.tsx</x:v>
      </x:c>
      <x:c r="J37" s="17" t="str">
        <x:v>Current implemented subset; full baseline acceptance remains open</x:v>
      </x:c>
    </x:row>
    <x:row r="38" ht="96" customHeight="1">
      <x:c r="A38" s="17" t="str">
        <x:v>UI32 Reviewed initial access</x:v>
      </x:c>
      <x:c r="B38" s="17" t="str">
        <x:v>Authorized current actor; see user/admin guide</x:v>
      </x:c>
      <x:c r="C38" s="17" t="str">
        <x:v>Current SPA panel; not a baseline deep-link route</x:v>
      </x:c>
      <x:c r="D38" s="17" t="str">
        <x:v>Reviewed initial access</x:v>
      </x:c>
      <x:c r="E38" s="17" t="str">
        <x:v>See wireframe and guide</x:v>
      </x:c>
      <x:c r="F38" s="17" t="str">
        <x:v>Current implementation subset; prototype uses synthetic data.</x:v>
      </x:c>
      <x:c r="G38" s="17" t="str">
        <x:v>Explicit current authority and independent review as applicable.</x:v>
      </x:c>
      <x:c r="H38" s="17" t="str">
        <x:v>PARTIAL</x:v>
      </x:c>
      <x:c r="I38" s="17" t="str">
        <x:v>TenantLifecycle.tsx, InitialAccess.tsx, RecoveryContacts.tsx, WorkspaceSettings.tsx</x:v>
      </x:c>
      <x:c r="J38" s="17" t="str">
        <x:v>Current implemented subset; full baseline acceptance remains open</x:v>
      </x:c>
    </x:row>
    <x:row r="39" ht="96" customHeight="1">
      <x:c r="A39" s="17" t="str">
        <x:v>UI33 Recovery contacts</x:v>
      </x:c>
      <x:c r="B39" s="17" t="str">
        <x:v>Authorized current actor; see user/admin guide</x:v>
      </x:c>
      <x:c r="C39" s="17" t="str">
        <x:v>Current SPA panel; not a baseline deep-link route</x:v>
      </x:c>
      <x:c r="D39" s="17" t="str">
        <x:v>Recovery contacts</x:v>
      </x:c>
      <x:c r="E39" s="17" t="str">
        <x:v>See wireframe and guide</x:v>
      </x:c>
      <x:c r="F39" s="17" t="str">
        <x:v>Current implementation subset; prototype uses synthetic data.</x:v>
      </x:c>
      <x:c r="G39" s="17" t="str">
        <x:v>Explicit current authority and independent review as applicable.</x:v>
      </x:c>
      <x:c r="H39" s="17" t="str">
        <x:v>PARTIAL</x:v>
      </x:c>
      <x:c r="I39" s="17" t="str">
        <x:v>TenantLifecycle.tsx, InitialAccess.tsx, RecoveryContacts.tsx, WorkspaceSettings.tsx</x:v>
      </x:c>
      <x:c r="J39" s="17" t="str">
        <x:v>Current implemented subset; full baseline acceptance remains open</x:v>
      </x:c>
    </x:row>
    <x:row r="40" ht="96" customHeight="1">
      <x:c r="A40" s="17" t="str">
        <x:v>UI34 Workspace and account settings</x:v>
      </x:c>
      <x:c r="B40" s="17" t="str">
        <x:v>Authorized current actor; see user/admin guide</x:v>
      </x:c>
      <x:c r="C40" s="17" t="str">
        <x:v>Current SPA panel; not a baseline deep-link route</x:v>
      </x:c>
      <x:c r="D40" s="17" t="str">
        <x:v>Workspace and account settings</x:v>
      </x:c>
      <x:c r="E40" s="17" t="str">
        <x:v>See wireframe and guide</x:v>
      </x:c>
      <x:c r="F40" s="17" t="str">
        <x:v>Current implementation subset; prototype uses synthetic data.</x:v>
      </x:c>
      <x:c r="G40" s="17" t="str">
        <x:v>Explicit current authority and independent review as applicable.</x:v>
      </x:c>
      <x:c r="H40" s="17" t="str">
        <x:v>PARTIAL</x:v>
      </x:c>
      <x:c r="I40" s="17" t="str">
        <x:v>TenantLifecycle.tsx, InitialAccess.tsx, RecoveryContacts.tsx, WorkspaceSettings.tsx</x:v>
      </x:c>
      <x:c r="J40" s="17" t="str">
        <x:v>Current implemented subset; full baseline acceptance remains open</x:v>
      </x:c>
    </x:row>
  </x:sheetData>
  <x:pageMargins left="0.7" right="0.7" top="0.75" bottom="0.75" header="0.3" footer="0.3"/>
  <x:tableParts count="1">
    <x:tablePart xmlns:r="http://schemas.openxmlformats.org/officeDocument/2006/relationships" r:id="R66a4fa41e15646ba"/>
  </x:tableParts>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9" hidden="0" customWidth="1"/>
    <x:col min="2" max="2" width="105" hidden="0" customWidth="1"/>
    <x:col min="3" max="3" width="33" hidden="0" customWidth="1"/>
    <x:col min="4" max="4" width="19" hidden="0" customWidth="1"/>
    <x:col min="5" max="5" width="55" hidden="0" customWidth="1"/>
    <x:col min="6" max="6" width="28" hidden="0" customWidth="1"/>
  </x:cols>
  <x:sheetData>
    <x:row r="1">
      <x:c r="A1" s="1"/>
      <x:c r="B1" s="1"/>
      <x:c r="C1" s="1"/>
      <x:c r="D1" s="1"/>
      <x:c r="E1" s="1"/>
      <x:c r="F1" s="1"/>
    </x:row>
    <x:row r="2" ht="30" customHeight="1">
      <x:c r="A2" s="2" t="str">
        <x:v>Release qualification gates</x:v>
      </x:c>
      <x:c r="B2" s="1"/>
      <x:c r="C2" s="1"/>
      <x:c r="D2" s="1"/>
      <x:c r="E2" s="1"/>
      <x:c r="F2" s="1"/>
    </x:row>
    <x:row r="3">
      <x:c r="A3" s="1"/>
      <x:c r="B3" s="1"/>
      <x:c r="C3" s="1"/>
      <x:c r="D3" s="1"/>
      <x:c r="E3" s="1"/>
      <x:c r="F3" s="1"/>
    </x:row>
    <x:row r="4" ht="22" customHeight="1">
      <x:c r="A4" s="1" t="str">
        <x:v>Edition 1.1 | 27 September 2026 | Original requirements retained; current coverage annotated.</x:v>
      </x:c>
      <x:c r="B4" s="1"/>
      <x:c r="C4" s="1"/>
      <x:c r="D4" s="1"/>
      <x:c r="E4" s="1"/>
      <x:c r="F4" s="1"/>
    </x:row>
    <x:row r="5">
      <x:c r="A5" s="3"/>
      <x:c r="B5" s="3"/>
      <x:c r="C5" s="3"/>
      <x:c r="D5" s="3"/>
      <x:c r="E5" s="3"/>
      <x:c r="F5" s="3"/>
    </x:row>
    <x:row r="6" ht="36" customHeight="1">
      <x:c r="A6" s="8" t="str">
        <x:v>Gate</x:v>
      </x:c>
      <x:c r="B6" s="8" t="str">
        <x:v>Criterion</x:v>
      </x:c>
      <x:c r="C6" s="8" t="str">
        <x:v>Owner role</x:v>
      </x:c>
      <x:c r="D6" s="8" t="str">
        <x:v>Status</x:v>
      </x:c>
      <x:c r="E6" s="8" t="str">
        <x:v>Evidence</x:v>
      </x:c>
      <x:c r="F6" s="8" t="str">
        <x:v>Qualification</x:v>
      </x:c>
    </x:row>
    <x:row r="7" ht="38" customHeight="1">
      <x:c r="A7" s="10" t="str">
        <x:v>G01 Requirements</x:v>
      </x:c>
      <x:c r="B7" s="10" t="str">
        <x:v>All release-assigned requirements meet source acceptance and recovery behaviours.</x:v>
      </x:c>
      <x:c r="C7" s="10" t="str">
        <x:v>Product and QA</x:v>
      </x:c>
      <x:c r="D7" s="12" t="str">
        <x:v>In progress</x:v>
      </x:c>
      <x:c r="E7" s="12" t="str">
        <x:v>docs/QUALIFICATION.md and RELEASE-ACCEPTANCE.md. Local subset only; full gate unqualified.</x:v>
      </x:c>
      <x:c r="F7" s="10" t="str">
        <x:f>IF(AND(D7="Pass",LEN(E7)&gt;0),"Qualified","Evidence required")</x:f>
        <x:v>Evidence required</x:v>
      </x:c>
    </x:row>
    <x:row r="8" ht="38" customHeight="1">
      <x:c r="A8" s="10" t="str">
        <x:v>G02 Contracts</x:v>
      </x:c>
      <x:c r="B8" s="10" t="str">
        <x:v>Closed schemas, generated types, compatibility and policy coverage pass.</x:v>
      </x:c>
      <x:c r="C8" s="10" t="str">
        <x:v>API lead</x:v>
      </x:c>
      <x:c r="D8" s="12" t="str">
        <x:v>In progress</x:v>
      </x:c>
      <x:c r="E8" s="12" t="str">
        <x:v>docs/QUALIFICATION.md and RELEASE-ACCEPTANCE.md. Local subset only; full gate unqualified.</x:v>
      </x:c>
      <x:c r="F8" s="10" t="str">
        <x:f>IF(AND(D8="Pass",LEN(E8)&gt;0),"Qualified","Evidence required")</x:f>
        <x:v>Evidence required</x:v>
      </x:c>
    </x:row>
    <x:row r="9" ht="38" customHeight="1">
      <x:c r="A9" s="10" t="str">
        <x:v>G03 Database</x:v>
      </x:c>
      <x:c r="B9" s="10" t="str">
        <x:v>Fresh install, upgrade, checksums, real-role isolation and concurrent transactions pass.</x:v>
      </x:c>
      <x:c r="C9" s="10" t="str">
        <x:v>Database lead</x:v>
      </x:c>
      <x:c r="D9" s="12" t="str">
        <x:v>In progress</x:v>
      </x:c>
      <x:c r="E9" s="12" t="str">
        <x:v>docs/QUALIFICATION.md and RELEASE-ACCEPTANCE.md. Local subset only; full gate unqualified.</x:v>
      </x:c>
      <x:c r="F9" s="10" t="str">
        <x:f>IF(AND(D9="Pass",LEN(E9)&gt;0),"Qualified","Evidence required")</x:f>
        <x:v>Evidence required</x:v>
      </x:c>
    </x:row>
    <x:row r="10" ht="38" customHeight="1">
      <x:c r="A10" s="10" t="str">
        <x:v>G04 Identity and access</x:v>
      </x:c>
      <x:c r="B10" s="10" t="str">
        <x:v>Federation, recovery, grant issuance, revocation, purpose and independence pass.</x:v>
      </x:c>
      <x:c r="C10" s="10" t="str">
        <x:v>Security lead</x:v>
      </x:c>
      <x:c r="D10" s="12" t="str">
        <x:v>In progress</x:v>
      </x:c>
      <x:c r="E10" s="12" t="str">
        <x:v>docs/QUALIFICATION.md and RELEASE-ACCEPTANCE.md. Local subset only; full gate unqualified.</x:v>
      </x:c>
      <x:c r="F10" s="10" t="str">
        <x:f>IF(AND(D10="Pass",LEN(E10)&gt;0),"Qualified","Evidence required")</x:f>
        <x:v>Evidence required</x:v>
      </x:c>
    </x:row>
    <x:row r="11" ht="38" customHeight="1">
      <x:c r="A11" s="10" t="str">
        <x:v>G05 Measurement</x:v>
      </x:c>
      <x:c r="B11" s="10" t="str">
        <x:v>Golden corpus, source lineage and official report reconciliation pass.</x:v>
      </x:c>
      <x:c r="C11" s="10" t="str">
        <x:v>Measurement lead</x:v>
      </x:c>
      <x:c r="D11" s="12" t="str">
        <x:v>In progress</x:v>
      </x:c>
      <x:c r="E11" s="12" t="str">
        <x:v>docs/QUALIFICATION.md and RELEASE-ACCEPTANCE.md. Local subset only; full gate unqualified.</x:v>
      </x:c>
      <x:c r="F11" s="10" t="str">
        <x:f>IF(AND(D11="Pass",LEN(E11)&gt;0),"Qualified","Evidence required")</x:f>
        <x:v>Evidence required</x:v>
      </x:c>
    </x:row>
    <x:row r="12" ht="38" customHeight="1">
      <x:c r="A12" s="10" t="str">
        <x:v>G06 Web</x:v>
      </x:c>
      <x:c r="B12" s="10" t="str">
        <x:v>Complete workflows, browser matrix, keyboard, screen reader and responsive checks pass.</x:v>
      </x:c>
      <x:c r="C12" s="10" t="str">
        <x:v>Frontend and QA</x:v>
      </x:c>
      <x:c r="D12" s="12" t="str">
        <x:v>In progress</x:v>
      </x:c>
      <x:c r="E12" s="12" t="str">
        <x:v>docs/QUALIFICATION.md and RELEASE-ACCEPTANCE.md. Local subset only; full gate unqualified.</x:v>
      </x:c>
      <x:c r="F12" s="10" t="str">
        <x:f>IF(AND(D12="Pass",LEN(E12)&gt;0),"Qualified","Evidence required")</x:f>
        <x:v>Evidence required</x:v>
      </x:c>
    </x:row>
    <x:row r="13" ht="38" customHeight="1">
      <x:c r="A13" s="10" t="str">
        <x:v>G07 Android</x:v>
      </x:c>
      <x:c r="B13" s="10" t="str">
        <x:v>Qualified device matrix proves expiry, encryption, account isolation and durable sync.</x:v>
      </x:c>
      <x:c r="C13" s="10" t="str">
        <x:v>Mobile and QA</x:v>
      </x:c>
      <x:c r="D13" s="12" t="str">
        <x:v>Not run</x:v>
      </x:c>
      <x:c r="E13" s="12" t="str"/>
      <x:c r="F13" s="10" t="str">
        <x:f>IF(AND(D13="Pass",LEN(E13)&gt;0),"Qualified","Evidence required")</x:f>
        <x:v>Evidence required</x:v>
      </x:c>
    </x:row>
    <x:row r="14" ht="38" customHeight="1">
      <x:c r="A14" s="10" t="str">
        <x:v>G08 Integration</x:v>
      </x:c>
      <x:c r="B14" s="10" t="str">
        <x:v>Provider scope, checkpoint, credential rotation, retry and replay tests pass.</x:v>
      </x:c>
      <x:c r="C14" s="10" t="str">
        <x:v>Integration lead</x:v>
      </x:c>
      <x:c r="D14" s="12" t="str">
        <x:v>Not run</x:v>
      </x:c>
      <x:c r="E14" s="12" t="str"/>
      <x:c r="F14" s="10" t="str">
        <x:f>IF(AND(D14="Pass",LEN(E14)&gt;0),"Qualified","Evidence required")</x:f>
        <x:v>Evidence required</x:v>
      </x:c>
    </x:row>
    <x:row r="15" ht="38" customHeight="1">
      <x:c r="A15" s="10" t="str">
        <x:v>G09 Performance</x:v>
      </x:c>
      <x:c r="B15" s="10" t="str">
        <x:v>FSD peak, burst, soak and largest-tenant bounds pass with background work.</x:v>
      </x:c>
      <x:c r="C15" s="10" t="str">
        <x:v>Platform lead</x:v>
      </x:c>
      <x:c r="D15" s="12" t="str">
        <x:v>Not run</x:v>
      </x:c>
      <x:c r="E15" s="12" t="str"/>
      <x:c r="F15" s="10" t="str">
        <x:f>IF(AND(D15="Pass",LEN(E15)&gt;0),"Qualified","Evidence required")</x:f>
        <x:v>Evidence required</x:v>
      </x:c>
    </x:row>
    <x:row r="16" ht="38" customHeight="1">
      <x:c r="A16" s="10" t="str">
        <x:v>G10 Recovery</x:v>
      </x:c>
      <x:c r="B16" s="10" t="str">
        <x:v>RPO and RTO measured; deletion and identity restrictions survive restore.</x:v>
      </x:c>
      <x:c r="C16" s="10" t="str">
        <x:v>Platform and privacy</x:v>
      </x:c>
      <x:c r="D16" s="12" t="str">
        <x:v>Not run</x:v>
      </x:c>
      <x:c r="E16" s="12" t="str"/>
      <x:c r="F16" s="10" t="str">
        <x:f>IF(AND(D16="Pass",LEN(E16)&gt;0),"Qualified","Evidence required")</x:f>
        <x:v>Evidence required</x:v>
      </x:c>
    </x:row>
    <x:row r="17" ht="38" customHeight="1">
      <x:c r="A17" s="10" t="str">
        <x:v>G11 Security</x:v>
      </x:c>
      <x:c r="B17" s="10" t="str">
        <x:v>Independent assessment has no unresolved critical/high access or integrity failure without verified mitigation.</x:v>
      </x:c>
      <x:c r="C17" s="10" t="str">
        <x:v>Security lead</x:v>
      </x:c>
      <x:c r="D17" s="12" t="str">
        <x:v>Not run</x:v>
      </x:c>
      <x:c r="E17" s="12" t="str"/>
      <x:c r="F17" s="10" t="str">
        <x:f>IF(AND(D17="Pass",LEN(E17)&gt;0),"Qualified","Evidence required")</x:f>
        <x:v>Evidence required</x:v>
      </x:c>
    </x:row>
    <x:row r="18" ht="38" customHeight="1">
      <x:c r="A18" s="10" t="str">
        <x:v>G12 AI</x:v>
      </x:c>
      <x:c r="B18" s="10" t="str">
        <x:v>Released use cases pass grounding, correctness, privacy, injection, confirmation and budget evaluation.</x:v>
      </x:c>
      <x:c r="C18" s="10" t="str">
        <x:v>AI and domain leads</x:v>
      </x:c>
      <x:c r="D18" s="12" t="str">
        <x:v>Not run</x:v>
      </x:c>
      <x:c r="E18" s="12" t="str"/>
      <x:c r="F18" s="10" t="str">
        <x:f>IF(AND(D18="Pass",LEN(E18)&gt;0),"Qualified","Evidence required")</x:f>
        <x:v>Evidence required</x:v>
      </x:c>
    </x:row>
    <x:row r="19" ht="38" customHeight="1">
      <x:c r="A19" s="10" t="str">
        <x:v>G13 Operations</x:v>
      </x:c>
      <x:c r="B19" s="10" t="str">
        <x:v>Alerts, on-call route, runbooks, limits and support custody exercised.</x:v>
      </x:c>
      <x:c r="C19" s="10" t="str">
        <x:v>Operations owner</x:v>
      </x:c>
      <x:c r="D19" s="12" t="str">
        <x:v>Not run</x:v>
      </x:c>
      <x:c r="E19" s="12" t="str"/>
      <x:c r="F19" s="10" t="str">
        <x:f>IF(AND(D19="Pass",LEN(E19)&gt;0),"Qualified","Evidence required")</x:f>
        <x:v>Evidence required</x:v>
      </x:c>
    </x:row>
    <x:row r="20" ht="38" customHeight="1">
      <x:c r="A20" s="10" t="str">
        <x:v>G14 Release</x:v>
      </x:c>
      <x:c r="B20" s="10" t="str">
        <x:v>Artifact, schema, policy, fixture, SBOM and evidence manifest match the release candidate.</x:v>
      </x:c>
      <x:c r="C20" s="10" t="str">
        <x:v>Release manager</x:v>
      </x:c>
      <x:c r="D20" s="12" t="str">
        <x:v>In progress</x:v>
      </x:c>
      <x:c r="E20" s="12" t="str">
        <x:v>docs/QUALIFICATION.md and RELEASE-ACCEPTANCE.md. Local subset only; full gate unqualified.</x:v>
      </x:c>
      <x:c r="F20" s="10" t="str">
        <x:f>IF(AND(D20="Pass",LEN(E20)&gt;0),"Qualified","Evidence required")</x:f>
        <x:v>Evidence required</x:v>
      </x:c>
    </x:row>
  </x:sheetData>
  <x:dataValidations count="1">
    <x:dataValidation type="list" sqref="D7:D20">
      <x:formula1>"Not run,In progress,Pass,Fail,Blocked,Not applicable"</x:formula1>
    </x:dataValidation>
  </x:dataValidations>
  <x:pageMargins left="0.7" right="0.7" top="0.75" bottom="0.75" header="0.3" footer="0.3"/>
  <x:tableParts count="1">
    <x:tablePart xmlns:r="http://schemas.openxmlformats.org/officeDocument/2006/relationships" r:id="R0de00ef8632a4d66"/>
  </x:tableParts>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5" hidden="0" customWidth="1"/>
    <x:col min="2" max="2" width="97" hidden="0" customWidth="1"/>
    <x:col min="3" max="3" width="37" hidden="0" customWidth="1"/>
    <x:col min="4" max="4" width="23" hidden="0" customWidth="1"/>
    <x:col min="5" max="5" width="86" hidden="0" customWidth="1"/>
  </x:cols>
  <x:sheetData>
    <x:row r="1">
      <x:c r="A1" s="1"/>
      <x:c r="B1" s="1"/>
      <x:c r="C1" s="1"/>
      <x:c r="D1" s="1"/>
      <x:c r="E1" s="1"/>
    </x:row>
    <x:row r="2" ht="30" customHeight="1">
      <x:c r="A2" s="2" t="str">
        <x:v>Environment inputs and ownership</x:v>
      </x:c>
      <x:c r="B2" s="1"/>
      <x:c r="C2" s="1"/>
      <x:c r="D2" s="1"/>
      <x:c r="E2" s="1"/>
    </x:row>
    <x:row r="3">
      <x:c r="A3" s="1"/>
      <x:c r="B3" s="1"/>
      <x:c r="C3" s="1"/>
      <x:c r="D3" s="1"/>
      <x:c r="E3" s="1"/>
    </x:row>
    <x:row r="4" ht="22" customHeight="1">
      <x:c r="A4" s="1" t="str">
        <x:v>Record configuration references or owner actions only. Keep credential values and private keys out of this workbook.</x:v>
      </x:c>
      <x:c r="B4" s="1"/>
      <x:c r="C4" s="1"/>
      <x:c r="D4" s="1"/>
      <x:c r="E4" s="1"/>
    </x:row>
    <x:row r="5">
      <x:c r="A5" s="3"/>
      <x:c r="B5" s="3"/>
      <x:c r="C5" s="3"/>
      <x:c r="D5" s="3"/>
      <x:c r="E5" s="3"/>
    </x:row>
    <x:row r="6" ht="36" customHeight="1">
      <x:c r="A6" s="8" t="str">
        <x:v>Input</x:v>
      </x:c>
      <x:c r="B6" s="8" t="str">
        <x:v>Meaning</x:v>
      </x:c>
      <x:c r="C6" s="8" t="str">
        <x:v>Owner role</x:v>
      </x:c>
      <x:c r="D6" s="8" t="str">
        <x:v>Status</x:v>
      </x:c>
      <x:c r="E6" s="8" t="str">
        <x:v>Configuration reference or action</x:v>
      </x:c>
    </x:row>
    <x:row r="7" ht="38" customHeight="1">
      <x:c r="A7" s="10" t="str">
        <x:v>IMPACT_REGION</x:v>
      </x:c>
      <x:c r="B7" s="10" t="str">
        <x:v>Actual deployment region</x:v>
      </x:c>
      <x:c r="C7" s="10" t="str">
        <x:v>Platform lead</x:v>
      </x:c>
      <x:c r="D7" s="12" t="str">
        <x:v>Not supplied</x:v>
      </x:c>
      <x:c r="E7" s="12" t="str"/>
    </x:row>
    <x:row r="8" ht="38" customHeight="1">
      <x:c r="A8" s="10" t="str">
        <x:v>IMPACT_ALLOWED_REGIONS</x:v>
      </x:c>
      <x:c r="B8" s="10" t="str">
        <x:v>Permitted region allowlist approved for the data</x:v>
      </x:c>
      <x:c r="C8" s="10" t="str">
        <x:v>Privacy and platform</x:v>
      </x:c>
      <x:c r="D8" s="12" t="str">
        <x:v>Not supplied</x:v>
      </x:c>
      <x:c r="E8" s="12" t="str"/>
    </x:row>
    <x:row r="9" ht="38" customHeight="1">
      <x:c r="A9" s="10" t="str">
        <x:v>IMPACT_PUBLIC_ORIGIN</x:v>
      </x:c>
      <x:c r="B9" s="10" t="str">
        <x:v>Actual HTTPS web origin</x:v>
      </x:c>
      <x:c r="C9" s="10" t="str">
        <x:v>Platform lead</x:v>
      </x:c>
      <x:c r="D9" s="12" t="str">
        <x:v>Not supplied</x:v>
      </x:c>
      <x:c r="E9" s="12" t="str"/>
    </x:row>
    <x:row r="10" ht="38" customHeight="1">
      <x:c r="A10" s="10" t="str">
        <x:v>IMPACT_OIDC_ISSUER</x:v>
      </x:c>
      <x:c r="B10" s="10" t="str">
        <x:v>Configured identity issuer and audience contract</x:v>
      </x:c>
      <x:c r="C10" s="10" t="str">
        <x:v>Identity lead</x:v>
      </x:c>
      <x:c r="D10" s="12" t="str">
        <x:v>Not supplied</x:v>
      </x:c>
      <x:c r="E10" s="12" t="str"/>
    </x:row>
    <x:row r="11" ht="38" customHeight="1">
      <x:c r="A11" s="10" t="str">
        <x:v>IMPACT_RUNTIME_SECRET_REFERENCE</x:v>
      </x:c>
      <x:c r="B11" s="10" t="str">
        <x:v>Runtime database credential secret reference</x:v>
      </x:c>
      <x:c r="C11" s="10" t="str">
        <x:v>Platform lead</x:v>
      </x:c>
      <x:c r="D11" s="12" t="str">
        <x:v>Not supplied</x:v>
      </x:c>
      <x:c r="E11" s="12" t="str"/>
    </x:row>
    <x:row r="12" ht="38" customHeight="1">
      <x:c r="A12" s="10" t="str">
        <x:v>IMPACT_PRIVACY_SECRET_REFERENCE</x:v>
      </x:c>
      <x:c r="B12" s="10" t="str">
        <x:v>Separate privacy executor credential reference</x:v>
      </x:c>
      <x:c r="C12" s="10" t="str">
        <x:v>Privacy engineering</x:v>
      </x:c>
      <x:c r="D12" s="12" t="str">
        <x:v>Not supplied</x:v>
      </x:c>
      <x:c r="E12" s="12" t="str"/>
    </x:row>
    <x:row r="13" ht="38" customHeight="1">
      <x:c r="A13" s="10" t="str">
        <x:v>IMPACT_KMS_KEY_REFERENCE</x:v>
      </x:c>
      <x:c r="B13" s="10" t="str">
        <x:v>Governed encryption key identity</x:v>
      </x:c>
      <x:c r="C13" s="10" t="str">
        <x:v>Security lead</x:v>
      </x:c>
      <x:c r="D13" s="12" t="str">
        <x:v>Not supplied</x:v>
      </x:c>
      <x:c r="E13" s="12" t="str"/>
    </x:row>
    <x:row r="14" ht="38" customHeight="1">
      <x:c r="A14" s="10" t="str">
        <x:v>IMPACT_ONCALL_ROUTE</x:v>
      </x:c>
      <x:c r="B14" s="10" t="str">
        <x:v>Actual incident routing and accountable rota</x:v>
      </x:c>
      <x:c r="C14" s="10" t="str">
        <x:v>Operations owner</x:v>
      </x:c>
      <x:c r="D14" s="12" t="str">
        <x:v>Not supplied</x:v>
      </x:c>
      <x:c r="E14" s="12" t="str"/>
    </x:row>
    <x:row r="15" ht="38" customHeight="1">
      <x:c r="A15" s="10" t="str">
        <x:v>IMPACT_RELEASE_EVIDENCE_FILE</x:v>
      </x:c>
      <x:c r="B15" s="10" t="str">
        <x:v>Qualified release evidence manifest path</x:v>
      </x:c>
      <x:c r="C15" s="10" t="str">
        <x:v>QA lead</x:v>
      </x:c>
      <x:c r="D15" s="12" t="str">
        <x:v>Not supplied</x:v>
      </x:c>
      <x:c r="E15" s="12" t="str"/>
    </x:row>
    <x:row r="16" ht="38" customHeight="1">
      <x:c r="A16" s="10" t="str">
        <x:v>IMPACT_POSTGRES_IMAGE</x:v>
      </x:c>
      <x:c r="B16" s="10" t="str">
        <x:v>Verified immutable database image digest</x:v>
      </x:c>
      <x:c r="C16" s="10" t="str">
        <x:v>Platform lead</x:v>
      </x:c>
      <x:c r="D16" s="12" t="str">
        <x:v>Not supplied</x:v>
      </x:c>
      <x:c r="E16" s="12" t="str"/>
    </x:row>
    <x:row r="17" ht="38" customHeight="1">
      <x:c r="A17" s="10" t="str">
        <x:v>IMPACT_IDP_IMAGE</x:v>
      </x:c>
      <x:c r="B17" s="10" t="str">
        <x:v>Verified immutable identity image digest</x:v>
      </x:c>
      <x:c r="C17" s="10" t="str">
        <x:v>Identity lead</x:v>
      </x:c>
      <x:c r="D17" s="12" t="str">
        <x:v>Not supplied</x:v>
      </x:c>
      <x:c r="E17" s="12" t="str"/>
    </x:row>
    <x:row r="18" ht="38" customHeight="1">
      <x:c r="A18" s="10" t="str">
        <x:v>IMPACT_MIGRATION_DSN</x:v>
      </x:c>
      <x:c r="B18" s="10" t="str">
        <x:v>Privileged deployment connection supplied securely</x:v>
      </x:c>
      <x:c r="C18" s="10" t="str">
        <x:v>Database lead</x:v>
      </x:c>
      <x:c r="D18" s="12" t="str">
        <x:v>Not supplied</x:v>
      </x:c>
      <x:c r="E18" s="12" t="str"/>
    </x:row>
    <x:row r="19" ht="38" customHeight="1">
      <x:c r="A19" s="10" t="str">
        <x:v>IMPACT_FIXTURE_DSN</x:v>
      </x:c>
      <x:c r="B19" s="10" t="str">
        <x:v>Disposable fixture database connection</x:v>
      </x:c>
      <x:c r="C19" s="10" t="str">
        <x:v>QA lead</x:v>
      </x:c>
      <x:c r="D19" s="12" t="str">
        <x:v>Not supplied</x:v>
      </x:c>
      <x:c r="E19" s="12" t="str"/>
    </x:row>
    <x:row r="20" ht="38" customHeight="1">
      <x:c r="A20" s="10" t="str">
        <x:v>IMPACT_TEST_DSN</x:v>
      </x:c>
      <x:c r="B20" s="10" t="str">
        <x:v>Disposable runtime-role qualification connection</x:v>
      </x:c>
      <x:c r="C20" s="10" t="str">
        <x:v>QA lead</x:v>
      </x:c>
      <x:c r="D20" s="12" t="str">
        <x:v>Not supplied</x:v>
      </x:c>
      <x:c r="E20" s="12" t="str"/>
    </x:row>
    <x:row r="21" ht="38" customHeight="1">
      <x:c r="A21" s="10" t="str">
        <x:v>IMPACT_BASE_URL</x:v>
      </x:c>
      <x:c r="B21" s="10" t="str">
        <x:v>Running application API origin</x:v>
      </x:c>
      <x:c r="C21" s="10" t="str">
        <x:v>QA lead</x:v>
      </x:c>
      <x:c r="D21" s="12" t="str">
        <x:v>Not supplied</x:v>
      </x:c>
      <x:c r="E21" s="12" t="str"/>
    </x:row>
    <x:row r="22" ht="38" customHeight="1">
      <x:c r="A22" s="10" t="str">
        <x:v>IMPACT_FIXTURE_FILE</x:v>
      </x:c>
      <x:c r="B22" s="10" t="str">
        <x:v>Provisioned manifest path</x:v>
      </x:c>
      <x:c r="C22" s="10" t="str">
        <x:v>QA lead</x:v>
      </x:c>
      <x:c r="D22" s="12" t="str">
        <x:v>Not supplied</x:v>
      </x:c>
      <x:c r="E22" s="12" t="str"/>
    </x:row>
    <x:row r="23" ht="38" customHeight="1">
      <x:c r="A23" s="10" t="str">
        <x:v>IMPACT_MODEL_DESTINATIONS</x:v>
      </x:c>
      <x:c r="B23" s="10" t="str">
        <x:v>Qualified provider models, regions, retention and egress</x:v>
      </x:c>
      <x:c r="C23" s="10" t="str">
        <x:v>AI and privacy leads</x:v>
      </x:c>
      <x:c r="D23" s="12" t="str">
        <x:v>Not supplied</x:v>
      </x:c>
      <x:c r="E23" s="12" t="str"/>
    </x:row>
  </x:sheetData>
  <x:dataValidations count="1">
    <x:dataValidation type="list" sqref="D7:D23">
      <x:formula1>"Not supplied,Configured,Verified"</x:formula1>
    </x:dataValidation>
  </x:dataValidations>
  <x:pageMargins left="0.7" right="0.7" top="0.75" bottom="0.75" header="0.3" footer="0.3"/>
  <x:tableParts count="1">
    <x:tablePart xmlns:r="http://schemas.openxmlformats.org/officeDocument/2006/relationships" r:id="R76027702fa0a4702"/>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2" hidden="0" customWidth="1"/>
    <x:col min="2" max="2" width="78" hidden="0" customWidth="1"/>
    <x:col min="3" max="3" width="55" hidden="0" customWidth="1"/>
    <x:col min="4" max="4" width="15" hidden="0" customWidth="1"/>
    <x:col min="5" max="5" width="40" hidden="0" customWidth="1"/>
  </x:cols>
  <x:sheetData>
    <x:row r="1">
      <x:c r="A1" s="20"/>
      <x:c r="B1" s="20"/>
      <x:c r="C1" s="20"/>
      <x:c r="D1" s="20"/>
      <x:c r="E1" s="20"/>
    </x:row>
    <x:row r="2">
      <x:c r="A2" s="27" t="str">
        <x:v>Implemented API operations for build 0.12.0</x:v>
      </x:c>
      <x:c r="B2" s="20"/>
      <x:c r="C2" s="20"/>
      <x:c r="D2" s="20"/>
      <x:c r="E2" s="20"/>
    </x:row>
    <x:row r="3">
      <x:c r="A3" s="20"/>
      <x:c r="B3" s="20"/>
      <x:c r="C3" s="20"/>
      <x:c r="D3" s="20"/>
      <x:c r="E3" s="20"/>
    </x:row>
    <x:row r="4">
      <x:c r="A4" s="20"/>
      <x:c r="B4" s="20"/>
      <x:c r="C4" s="20"/>
      <x:c r="D4" s="20"/>
      <x:c r="E4" s="20"/>
    </x:row>
    <x:row r="5">
      <x:c r="A5" s="20"/>
      <x:c r="B5" s="20"/>
      <x:c r="C5" s="20"/>
      <x:c r="D5" s="20"/>
      <x:c r="E5" s="20"/>
    </x:row>
    <x:row r="6" ht="34" customHeight="1">
      <x:c r="A6" s="24" t="str">
        <x:v>Method</x:v>
      </x:c>
      <x:c r="B6" s="24" t="str">
        <x:v>Path</x:v>
      </x:c>
      <x:c r="C6" s="24" t="str">
        <x:v>Operation</x:v>
      </x:c>
      <x:c r="D6" s="24" t="str">
        <x:v>API version</x:v>
      </x:c>
      <x:c r="E6" s="24" t="str">
        <x:v>Contract file</x:v>
      </x:c>
    </x:row>
    <x:row r="7" ht="76" customHeight="1">
      <x:c r="A7" s="25" t="str">
        <x:v>GET</x:v>
      </x:c>
      <x:c r="B7" s="25" t="str">
        <x:v>/v1/tenants/{tenant_id}/memberships</x:v>
      </x:c>
      <x:c r="C7" s="25" t="str">
        <x:v>list_memberships</x:v>
      </x:c>
      <x:c r="D7" s="25" t="str">
        <x:v>1.10.0</x:v>
      </x:c>
      <x:c r="E7" s="25" t="str">
        <x:v>openapi-implemented.json</x:v>
      </x:c>
    </x:row>
    <x:row r="8" ht="76" customHeight="1">
      <x:c r="A8" s="25" t="str">
        <x:v>GET</x:v>
      </x:c>
      <x:c r="B8" s="25" t="str">
        <x:v>/v1/tenants/{tenant_id}/memberships/{object_id}</x:v>
      </x:c>
      <x:c r="C8" s="25" t="str">
        <x:v>get_memberships</x:v>
      </x:c>
      <x:c r="D8" s="25" t="str">
        <x:v>1.10.0</x:v>
      </x:c>
      <x:c r="E8" s="25" t="str">
        <x:v>openapi-implemented.json</x:v>
      </x:c>
    </x:row>
    <x:row r="9" ht="76" customHeight="1">
      <x:c r="A9" s="25" t="str">
        <x:v>GET</x:v>
      </x:c>
      <x:c r="B9" s="25" t="str">
        <x:v>/v1/tenants/{tenant_id}/grants</x:v>
      </x:c>
      <x:c r="C9" s="25" t="str">
        <x:v>list_grants</x:v>
      </x:c>
      <x:c r="D9" s="25" t="str">
        <x:v>1.10.0</x:v>
      </x:c>
      <x:c r="E9" s="25" t="str">
        <x:v>openapi-implemented.json</x:v>
      </x:c>
    </x:row>
    <x:row r="10" ht="76" customHeight="1">
      <x:c r="A10" s="25" t="str">
        <x:v>GET</x:v>
      </x:c>
      <x:c r="B10" s="25" t="str">
        <x:v>/v1/tenants/{tenant_id}/grants/{object_id}</x:v>
      </x:c>
      <x:c r="C10" s="25" t="str">
        <x:v>get_grants</x:v>
      </x:c>
      <x:c r="D10" s="25" t="str">
        <x:v>1.10.0</x:v>
      </x:c>
      <x:c r="E10" s="25" t="str">
        <x:v>openapi-implemented.json</x:v>
      </x:c>
    </x:row>
    <x:row r="11" ht="76" customHeight="1">
      <x:c r="A11" s="25" t="str">
        <x:v>GET</x:v>
      </x:c>
      <x:c r="B11" s="25" t="str">
        <x:v>/v1/tenants/{tenant_id}/organisation-units</x:v>
      </x:c>
      <x:c r="C11" s="25" t="str">
        <x:v>list_organisation_units</x:v>
      </x:c>
      <x:c r="D11" s="25" t="str">
        <x:v>1.10.0</x:v>
      </x:c>
      <x:c r="E11" s="25" t="str">
        <x:v>openapi-implemented.json</x:v>
      </x:c>
    </x:row>
    <x:row r="12" ht="76" customHeight="1">
      <x:c r="A12" s="25" t="str">
        <x:v>POST</x:v>
      </x:c>
      <x:c r="B12" s="25" t="str">
        <x:v>/v1/tenants/{tenant_id}/organisation-units</x:v>
      </x:c>
      <x:c r="C12" s="25" t="str">
        <x:v>create_organisation_unit</x:v>
      </x:c>
      <x:c r="D12" s="25" t="str">
        <x:v>1.10.0</x:v>
      </x:c>
      <x:c r="E12" s="25" t="str">
        <x:v>openapi-implemented.json</x:v>
      </x:c>
    </x:row>
    <x:row r="13" ht="76" customHeight="1">
      <x:c r="A13" s="25" t="str">
        <x:v>GET</x:v>
      </x:c>
      <x:c r="B13" s="25" t="str">
        <x:v>/v1/tenants/{tenant_id}/programmes</x:v>
      </x:c>
      <x:c r="C13" s="25" t="str">
        <x:v>list_programmes</x:v>
      </x:c>
      <x:c r="D13" s="25" t="str">
        <x:v>1.10.0</x:v>
      </x:c>
      <x:c r="E13" s="25" t="str">
        <x:v>openapi-implemented.json</x:v>
      </x:c>
    </x:row>
    <x:row r="14" ht="76" customHeight="1">
      <x:c r="A14" s="25" t="str">
        <x:v>POST</x:v>
      </x:c>
      <x:c r="B14" s="25" t="str">
        <x:v>/v1/tenants/{tenant_id}/programmes</x:v>
      </x:c>
      <x:c r="C14" s="25" t="str">
        <x:v>create_programmes</x:v>
      </x:c>
      <x:c r="D14" s="25" t="str">
        <x:v>1.10.0</x:v>
      </x:c>
      <x:c r="E14" s="25" t="str">
        <x:v>openapi-implemented.json</x:v>
      </x:c>
    </x:row>
    <x:row r="15" ht="76" customHeight="1">
      <x:c r="A15" s="25" t="str">
        <x:v>GET</x:v>
      </x:c>
      <x:c r="B15" s="25" t="str">
        <x:v>/v1/tenants/{tenant_id}/programmes/{object_id}</x:v>
      </x:c>
      <x:c r="C15" s="25" t="str">
        <x:v>get_programmes</x:v>
      </x:c>
      <x:c r="D15" s="25" t="str">
        <x:v>1.10.0</x:v>
      </x:c>
      <x:c r="E15" s="25" t="str">
        <x:v>openapi-implemented.json</x:v>
      </x:c>
    </x:row>
    <x:row r="16" ht="76" customHeight="1">
      <x:c r="A16" s="25" t="str">
        <x:v>PATCH</x:v>
      </x:c>
      <x:c r="B16" s="25" t="str">
        <x:v>/v1/tenants/{tenant_id}/programmes/{object_id}</x:v>
      </x:c>
      <x:c r="C16" s="25" t="str">
        <x:v>patch_programmes</x:v>
      </x:c>
      <x:c r="D16" s="25" t="str">
        <x:v>1.10.0</x:v>
      </x:c>
      <x:c r="E16" s="25" t="str">
        <x:v>openapi-implemented.json</x:v>
      </x:c>
    </x:row>
    <x:row r="17" ht="76" customHeight="1">
      <x:c r="A17" s="25" t="str">
        <x:v>GET</x:v>
      </x:c>
      <x:c r="B17" s="25" t="str">
        <x:v>/v1/tenants/{tenant_id}/indicator-definitions</x:v>
      </x:c>
      <x:c r="C17" s="25" t="str">
        <x:v>list_indicator_definitions</x:v>
      </x:c>
      <x:c r="D17" s="25" t="str">
        <x:v>1.10.0</x:v>
      </x:c>
      <x:c r="E17" s="25" t="str">
        <x:v>openapi-implemented.json</x:v>
      </x:c>
    </x:row>
    <x:row r="18" ht="76" customHeight="1">
      <x:c r="A18" s="25" t="str">
        <x:v>POST</x:v>
      </x:c>
      <x:c r="B18" s="25" t="str">
        <x:v>/v1/tenants/{tenant_id}/indicator-definitions</x:v>
      </x:c>
      <x:c r="C18" s="25" t="str">
        <x:v>create_indicator_definitions</x:v>
      </x:c>
      <x:c r="D18" s="25" t="str">
        <x:v>1.10.0</x:v>
      </x:c>
      <x:c r="E18" s="25" t="str">
        <x:v>openapi-implemented.json</x:v>
      </x:c>
    </x:row>
    <x:row r="19" ht="76" customHeight="1">
      <x:c r="A19" s="25" t="str">
        <x:v>GET</x:v>
      </x:c>
      <x:c r="B19" s="25" t="str">
        <x:v>/v1/tenants/{tenant_id}/indicator-definitions/{object_id}</x:v>
      </x:c>
      <x:c r="C19" s="25" t="str">
        <x:v>get_indicator_definitions</x:v>
      </x:c>
      <x:c r="D19" s="25" t="str">
        <x:v>1.10.0</x:v>
      </x:c>
      <x:c r="E19" s="25" t="str">
        <x:v>openapi-implemented.json</x:v>
      </x:c>
    </x:row>
    <x:row r="20" ht="76" customHeight="1">
      <x:c r="A20" s="25" t="str">
        <x:v>PATCH</x:v>
      </x:c>
      <x:c r="B20" s="25" t="str">
        <x:v>/v1/tenants/{tenant_id}/indicator-definitions/{object_id}</x:v>
      </x:c>
      <x:c r="C20" s="25" t="str">
        <x:v>patch_indicator_definitions</x:v>
      </x:c>
      <x:c r="D20" s="25" t="str">
        <x:v>1.10.0</x:v>
      </x:c>
      <x:c r="E20" s="25" t="str">
        <x:v>openapi-implemented.json</x:v>
      </x:c>
    </x:row>
    <x:row r="21" ht="76" customHeight="1">
      <x:c r="A21" s="25" t="str">
        <x:v>GET</x:v>
      </x:c>
      <x:c r="B21" s="25" t="str">
        <x:v>/v1/tenants/{tenant_id}/indicator-instances</x:v>
      </x:c>
      <x:c r="C21" s="25" t="str">
        <x:v>list_indicator_instances</x:v>
      </x:c>
      <x:c r="D21" s="25" t="str">
        <x:v>1.10.0</x:v>
      </x:c>
      <x:c r="E21" s="25" t="str">
        <x:v>openapi-implemented.json</x:v>
      </x:c>
    </x:row>
    <x:row r="22" ht="76" customHeight="1">
      <x:c r="A22" s="25" t="str">
        <x:v>POST</x:v>
      </x:c>
      <x:c r="B22" s="25" t="str">
        <x:v>/v1/tenants/{tenant_id}/indicator-instances</x:v>
      </x:c>
      <x:c r="C22" s="25" t="str">
        <x:v>create_indicator_instances</x:v>
      </x:c>
      <x:c r="D22" s="25" t="str">
        <x:v>1.10.0</x:v>
      </x:c>
      <x:c r="E22" s="25" t="str">
        <x:v>openapi-implemented.json</x:v>
      </x:c>
    </x:row>
    <x:row r="23" ht="76" customHeight="1">
      <x:c r="A23" s="25" t="str">
        <x:v>GET</x:v>
      </x:c>
      <x:c r="B23" s="25" t="str">
        <x:v>/v1/tenants/{tenant_id}/indicator-instances/{object_id}</x:v>
      </x:c>
      <x:c r="C23" s="25" t="str">
        <x:v>get_indicator_instances</x:v>
      </x:c>
      <x:c r="D23" s="25" t="str">
        <x:v>1.10.0</x:v>
      </x:c>
      <x:c r="E23" s="25" t="str">
        <x:v>openapi-implemented.json</x:v>
      </x:c>
    </x:row>
    <x:row r="24" ht="76" customHeight="1">
      <x:c r="A24" s="25" t="str">
        <x:v>PATCH</x:v>
      </x:c>
      <x:c r="B24" s="25" t="str">
        <x:v>/v1/tenants/{tenant_id}/indicator-instances/{object_id}</x:v>
      </x:c>
      <x:c r="C24" s="25" t="str">
        <x:v>patch_indicator_instances</x:v>
      </x:c>
      <x:c r="D24" s="25" t="str">
        <x:v>1.10.0</x:v>
      </x:c>
      <x:c r="E24" s="25" t="str">
        <x:v>openapi-implemented.json</x:v>
      </x:c>
    </x:row>
    <x:row r="25" ht="76" customHeight="1">
      <x:c r="A25" s="25" t="str">
        <x:v>GET</x:v>
      </x:c>
      <x:c r="B25" s="25" t="str">
        <x:v>/v1/tenants/{tenant_id}/periods</x:v>
      </x:c>
      <x:c r="C25" s="25" t="str">
        <x:v>list_periods</x:v>
      </x:c>
      <x:c r="D25" s="25" t="str">
        <x:v>1.10.0</x:v>
      </x:c>
      <x:c r="E25" s="25" t="str">
        <x:v>openapi-implemented.json</x:v>
      </x:c>
    </x:row>
    <x:row r="26" ht="76" customHeight="1">
      <x:c r="A26" s="25" t="str">
        <x:v>GET</x:v>
      </x:c>
      <x:c r="B26" s="25" t="str">
        <x:v>/v1/tenants/{tenant_id}/periods/{object_id}</x:v>
      </x:c>
      <x:c r="C26" s="25" t="str">
        <x:v>get_periods</x:v>
      </x:c>
      <x:c r="D26" s="25" t="str">
        <x:v>1.10.0</x:v>
      </x:c>
      <x:c r="E26" s="25" t="str">
        <x:v>openapi-implemented.json</x:v>
      </x:c>
    </x:row>
    <x:row r="27" ht="76" customHeight="1">
      <x:c r="A27" s="25" t="str">
        <x:v>GET</x:v>
      </x:c>
      <x:c r="B27" s="25" t="str">
        <x:v>/v1/tenants/{tenant_id}/observations</x:v>
      </x:c>
      <x:c r="C27" s="25" t="str">
        <x:v>list_observations</x:v>
      </x:c>
      <x:c r="D27" s="25" t="str">
        <x:v>1.10.0</x:v>
      </x:c>
      <x:c r="E27" s="25" t="str">
        <x:v>openapi-implemented.json</x:v>
      </x:c>
    </x:row>
    <x:row r="28" ht="76" customHeight="1">
      <x:c r="A28" s="25" t="str">
        <x:v>POST</x:v>
      </x:c>
      <x:c r="B28" s="25" t="str">
        <x:v>/v1/tenants/{tenant_id}/observations</x:v>
      </x:c>
      <x:c r="C28" s="25" t="str">
        <x:v>create_observations</x:v>
      </x:c>
      <x:c r="D28" s="25" t="str">
        <x:v>1.10.0</x:v>
      </x:c>
      <x:c r="E28" s="25" t="str">
        <x:v>openapi-implemented.json</x:v>
      </x:c>
    </x:row>
    <x:row r="29" ht="76" customHeight="1">
      <x:c r="A29" s="25" t="str">
        <x:v>GET</x:v>
      </x:c>
      <x:c r="B29" s="25" t="str">
        <x:v>/v1/tenants/{tenant_id}/observations/{object_id}</x:v>
      </x:c>
      <x:c r="C29" s="25" t="str">
        <x:v>get_observations</x:v>
      </x:c>
      <x:c r="D29" s="25" t="str">
        <x:v>1.10.0</x:v>
      </x:c>
      <x:c r="E29" s="25" t="str">
        <x:v>openapi-implemented.json</x:v>
      </x:c>
    </x:row>
    <x:row r="30" ht="76" customHeight="1">
      <x:c r="A30" s="25" t="str">
        <x:v>PATCH</x:v>
      </x:c>
      <x:c r="B30" s="25" t="str">
        <x:v>/v1/tenants/{tenant_id}/observations/{object_id}</x:v>
      </x:c>
      <x:c r="C30" s="25" t="str">
        <x:v>patch_observations</x:v>
      </x:c>
      <x:c r="D30" s="25" t="str">
        <x:v>1.10.0</x:v>
      </x:c>
      <x:c r="E30" s="25" t="str">
        <x:v>openapi-implemented.json</x:v>
      </x:c>
    </x:row>
    <x:row r="31" ht="76" customHeight="1">
      <x:c r="A31" s="25" t="str">
        <x:v>GET</x:v>
      </x:c>
      <x:c r="B31" s="25" t="str">
        <x:v>/v1/tenants/{tenant_id}/calculated-results</x:v>
      </x:c>
      <x:c r="C31" s="25" t="str">
        <x:v>list_calculated_results</x:v>
      </x:c>
      <x:c r="D31" s="25" t="str">
        <x:v>1.10.0</x:v>
      </x:c>
      <x:c r="E31" s="25" t="str">
        <x:v>openapi-implemented.json</x:v>
      </x:c>
    </x:row>
    <x:row r="32" ht="76" customHeight="1">
      <x:c r="A32" s="25" t="str">
        <x:v>GET</x:v>
      </x:c>
      <x:c r="B32" s="25" t="str">
        <x:v>/v1/tenants/{tenant_id}/calculated-results/{object_id}</x:v>
      </x:c>
      <x:c r="C32" s="25" t="str">
        <x:v>get_calculated_results</x:v>
      </x:c>
      <x:c r="D32" s="25" t="str">
        <x:v>1.10.0</x:v>
      </x:c>
      <x:c r="E32" s="25" t="str">
        <x:v>openapi-implemented.json</x:v>
      </x:c>
    </x:row>
    <x:row r="33" ht="76" customHeight="1">
      <x:c r="A33" s="25" t="str">
        <x:v>GET</x:v>
      </x:c>
      <x:c r="B33" s="25" t="str">
        <x:v>/v1/tenants/{tenant_id}/forms</x:v>
      </x:c>
      <x:c r="C33" s="25" t="str">
        <x:v>list_forms</x:v>
      </x:c>
      <x:c r="D33" s="25" t="str">
        <x:v>1.10.0</x:v>
      </x:c>
      <x:c r="E33" s="25" t="str">
        <x:v>openapi-implemented.json</x:v>
      </x:c>
    </x:row>
    <x:row r="34" ht="76" customHeight="1">
      <x:c r="A34" s="25" t="str">
        <x:v>GET</x:v>
      </x:c>
      <x:c r="B34" s="25" t="str">
        <x:v>/v1/tenants/{tenant_id}/forms/{object_id}</x:v>
      </x:c>
      <x:c r="C34" s="25" t="str">
        <x:v>get_forms</x:v>
      </x:c>
      <x:c r="D34" s="25" t="str">
        <x:v>1.10.0</x:v>
      </x:c>
      <x:c r="E34" s="25" t="str">
        <x:v>openapi-implemented.json</x:v>
      </x:c>
    </x:row>
    <x:row r="35" ht="76" customHeight="1">
      <x:c r="A35" s="25" t="str">
        <x:v>GET</x:v>
      </x:c>
      <x:c r="B35" s="25" t="str">
        <x:v>/v1/tenants/{tenant_id}/evidence</x:v>
      </x:c>
      <x:c r="C35" s="25" t="str">
        <x:v>list_evidence</x:v>
      </x:c>
      <x:c r="D35" s="25" t="str">
        <x:v>1.10.0</x:v>
      </x:c>
      <x:c r="E35" s="25" t="str">
        <x:v>openapi-implemented.json</x:v>
      </x:c>
    </x:row>
    <x:row r="36" ht="76" customHeight="1">
      <x:c r="A36" s="25" t="str">
        <x:v>GET</x:v>
      </x:c>
      <x:c r="B36" s="25" t="str">
        <x:v>/v1/tenants/{tenant_id}/evidence/{object_id}</x:v>
      </x:c>
      <x:c r="C36" s="25" t="str">
        <x:v>get_evidence</x:v>
      </x:c>
      <x:c r="D36" s="25" t="str">
        <x:v>1.10.0</x:v>
      </x:c>
      <x:c r="E36" s="25" t="str">
        <x:v>openapi-implemented.json</x:v>
      </x:c>
    </x:row>
    <x:row r="37" ht="76" customHeight="1">
      <x:c r="A37" s="25" t="str">
        <x:v>GET</x:v>
      </x:c>
      <x:c r="B37" s="25" t="str">
        <x:v>/v1/tenants/{tenant_id}/workflows</x:v>
      </x:c>
      <x:c r="C37" s="25" t="str">
        <x:v>list_workflows</x:v>
      </x:c>
      <x:c r="D37" s="25" t="str">
        <x:v>1.10.0</x:v>
      </x:c>
      <x:c r="E37" s="25" t="str">
        <x:v>openapi-implemented.json</x:v>
      </x:c>
    </x:row>
    <x:row r="38" ht="76" customHeight="1">
      <x:c r="A38" s="25" t="str">
        <x:v>GET</x:v>
      </x:c>
      <x:c r="B38" s="25" t="str">
        <x:v>/v1/tenants/{tenant_id}/workflows/{object_id}</x:v>
      </x:c>
      <x:c r="C38" s="25" t="str">
        <x:v>get_workflows</x:v>
      </x:c>
      <x:c r="D38" s="25" t="str">
        <x:v>1.10.0</x:v>
      </x:c>
      <x:c r="E38" s="25" t="str">
        <x:v>openapi-implemented.json</x:v>
      </x:c>
    </x:row>
    <x:row r="39" ht="76" customHeight="1">
      <x:c r="A39" s="25" t="str">
        <x:v>GET</x:v>
      </x:c>
      <x:c r="B39" s="25" t="str">
        <x:v>/v1/tenants/{tenant_id}/decisions</x:v>
      </x:c>
      <x:c r="C39" s="25" t="str">
        <x:v>list_decisions</x:v>
      </x:c>
      <x:c r="D39" s="25" t="str">
        <x:v>1.10.0</x:v>
      </x:c>
      <x:c r="E39" s="25" t="str">
        <x:v>openapi-implemented.json</x:v>
      </x:c>
    </x:row>
    <x:row r="40" ht="76" customHeight="1">
      <x:c r="A40" s="25" t="str">
        <x:v>GET</x:v>
      </x:c>
      <x:c r="B40" s="25" t="str">
        <x:v>/v1/tenants/{tenant_id}/decisions/{object_id}</x:v>
      </x:c>
      <x:c r="C40" s="25" t="str">
        <x:v>get_decisions</x:v>
      </x:c>
      <x:c r="D40" s="25" t="str">
        <x:v>1.10.0</x:v>
      </x:c>
      <x:c r="E40" s="25" t="str">
        <x:v>openapi-implemented.json</x:v>
      </x:c>
    </x:row>
    <x:row r="41" ht="76" customHeight="1">
      <x:c r="A41" s="25" t="str">
        <x:v>GET</x:v>
      </x:c>
      <x:c r="B41" s="25" t="str">
        <x:v>/v1/tenants/{tenant_id}/snapshots</x:v>
      </x:c>
      <x:c r="C41" s="25" t="str">
        <x:v>list_snapshots</x:v>
      </x:c>
      <x:c r="D41" s="25" t="str">
        <x:v>1.10.0</x:v>
      </x:c>
      <x:c r="E41" s="25" t="str">
        <x:v>openapi-implemented.json</x:v>
      </x:c>
    </x:row>
    <x:row r="42" ht="76" customHeight="1">
      <x:c r="A42" s="25" t="str">
        <x:v>GET</x:v>
      </x:c>
      <x:c r="B42" s="25" t="str">
        <x:v>/v1/tenants/{tenant_id}/snapshots/{object_id}</x:v>
      </x:c>
      <x:c r="C42" s="25" t="str">
        <x:v>get_snapshots</x:v>
      </x:c>
      <x:c r="D42" s="25" t="str">
        <x:v>1.10.0</x:v>
      </x:c>
      <x:c r="E42" s="25" t="str">
        <x:v>openapi-implemented.json</x:v>
      </x:c>
    </x:row>
    <x:row r="43" ht="76" customHeight="1">
      <x:c r="A43" s="25" t="str">
        <x:v>GET</x:v>
      </x:c>
      <x:c r="B43" s="25" t="str">
        <x:v>/v1/tenants/{tenant_id}/reports</x:v>
      </x:c>
      <x:c r="C43" s="25" t="str">
        <x:v>list_reports</x:v>
      </x:c>
      <x:c r="D43" s="25" t="str">
        <x:v>1.10.0</x:v>
      </x:c>
      <x:c r="E43" s="25" t="str">
        <x:v>openapi-implemented.json</x:v>
      </x:c>
    </x:row>
    <x:row r="44" ht="76" customHeight="1">
      <x:c r="A44" s="25" t="str">
        <x:v>POST</x:v>
      </x:c>
      <x:c r="B44" s="25" t="str">
        <x:v>/v1/tenants/{tenant_id}/reports</x:v>
      </x:c>
      <x:c r="C44" s="25" t="str">
        <x:v>create_reports</x:v>
      </x:c>
      <x:c r="D44" s="25" t="str">
        <x:v>1.10.0</x:v>
      </x:c>
      <x:c r="E44" s="25" t="str">
        <x:v>openapi-implemented.json</x:v>
      </x:c>
    </x:row>
    <x:row r="45" ht="76" customHeight="1">
      <x:c r="A45" s="25" t="str">
        <x:v>GET</x:v>
      </x:c>
      <x:c r="B45" s="25" t="str">
        <x:v>/v1/tenants/{tenant_id}/reports/{object_id}</x:v>
      </x:c>
      <x:c r="C45" s="25" t="str">
        <x:v>get_reports</x:v>
      </x:c>
      <x:c r="D45" s="25" t="str">
        <x:v>1.10.0</x:v>
      </x:c>
      <x:c r="E45" s="25" t="str">
        <x:v>openapi-implemented.json</x:v>
      </x:c>
    </x:row>
    <x:row r="46" ht="76" customHeight="1">
      <x:c r="A46" s="25" t="str">
        <x:v>PATCH</x:v>
      </x:c>
      <x:c r="B46" s="25" t="str">
        <x:v>/v1/tenants/{tenant_id}/reports/{object_id}</x:v>
      </x:c>
      <x:c r="C46" s="25" t="str">
        <x:v>patch_reports</x:v>
      </x:c>
      <x:c r="D46" s="25" t="str">
        <x:v>1.10.0</x:v>
      </x:c>
      <x:c r="E46" s="25" t="str">
        <x:v>openapi-implemented.json</x:v>
      </x:c>
    </x:row>
    <x:row r="47" ht="76" customHeight="1">
      <x:c r="A47" s="25" t="str">
        <x:v>GET</x:v>
      </x:c>
      <x:c r="B47" s="25" t="str">
        <x:v>/v1/tenants/{tenant_id}/disclosures</x:v>
      </x:c>
      <x:c r="C47" s="25" t="str">
        <x:v>list_disclosures</x:v>
      </x:c>
      <x:c r="D47" s="25" t="str">
        <x:v>1.10.0</x:v>
      </x:c>
      <x:c r="E47" s="25" t="str">
        <x:v>openapi-implemented.json</x:v>
      </x:c>
    </x:row>
    <x:row r="48" ht="76" customHeight="1">
      <x:c r="A48" s="25" t="str">
        <x:v>GET</x:v>
      </x:c>
      <x:c r="B48" s="25" t="str">
        <x:v>/v1/tenants/{tenant_id}/disclosures/{object_id}</x:v>
      </x:c>
      <x:c r="C48" s="25" t="str">
        <x:v>get_disclosures</x:v>
      </x:c>
      <x:c r="D48" s="25" t="str">
        <x:v>1.10.0</x:v>
      </x:c>
      <x:c r="E48" s="25" t="str">
        <x:v>openapi-implemented.json</x:v>
      </x:c>
    </x:row>
    <x:row r="49" ht="76" customHeight="1">
      <x:c r="A49" s="25" t="str">
        <x:v>GET</x:v>
      </x:c>
      <x:c r="B49" s="25" t="str">
        <x:v>/v1/tenants/{tenant_id}/connections</x:v>
      </x:c>
      <x:c r="C49" s="25" t="str">
        <x:v>list_connections</x:v>
      </x:c>
      <x:c r="D49" s="25" t="str">
        <x:v>1.10.0</x:v>
      </x:c>
      <x:c r="E49" s="25" t="str">
        <x:v>openapi-implemented.json</x:v>
      </x:c>
    </x:row>
    <x:row r="50" ht="76" customHeight="1">
      <x:c r="A50" s="25" t="str">
        <x:v>GET</x:v>
      </x:c>
      <x:c r="B50" s="25" t="str">
        <x:v>/v1/tenants/{tenant_id}/connections/{object_id}</x:v>
      </x:c>
      <x:c r="C50" s="25" t="str">
        <x:v>get_connections</x:v>
      </x:c>
      <x:c r="D50" s="25" t="str">
        <x:v>1.10.0</x:v>
      </x:c>
      <x:c r="E50" s="25" t="str">
        <x:v>openapi-implemented.json</x:v>
      </x:c>
    </x:row>
    <x:row r="51" ht="76" customHeight="1">
      <x:c r="A51" s="25" t="str">
        <x:v>GET</x:v>
      </x:c>
      <x:c r="B51" s="25" t="str">
        <x:v>/v1/tenants/{tenant_id}/audit-events</x:v>
      </x:c>
      <x:c r="C51" s="25" t="str">
        <x:v>list_audit_events</x:v>
      </x:c>
      <x:c r="D51" s="25" t="str">
        <x:v>1.10.0</x:v>
      </x:c>
      <x:c r="E51" s="25" t="str">
        <x:v>openapi-implemented.json</x:v>
      </x:c>
    </x:row>
    <x:row r="52" ht="76" customHeight="1">
      <x:c r="A52" s="25" t="str">
        <x:v>GET</x:v>
      </x:c>
      <x:c r="B52" s="25" t="str">
        <x:v>/v1/tenants/{tenant_id}/audit-events/{object_id}</x:v>
      </x:c>
      <x:c r="C52" s="25" t="str">
        <x:v>get_audit_events</x:v>
      </x:c>
      <x:c r="D52" s="25" t="str">
        <x:v>1.10.0</x:v>
      </x:c>
      <x:c r="E52" s="25" t="str">
        <x:v>openapi-implemented.json</x:v>
      </x:c>
    </x:row>
    <x:row r="53" ht="76" customHeight="1">
      <x:c r="A53" s="25" t="str">
        <x:v>GET</x:v>
      </x:c>
      <x:c r="B53" s="25" t="str">
        <x:v>/v1/tenants/{tenant_id}/work-items</x:v>
      </x:c>
      <x:c r="C53" s="25" t="str">
        <x:v>list_work_items</x:v>
      </x:c>
      <x:c r="D53" s="25" t="str">
        <x:v>1.10.0</x:v>
      </x:c>
      <x:c r="E53" s="25" t="str">
        <x:v>openapi-implemented.json</x:v>
      </x:c>
    </x:row>
    <x:row r="54" ht="76" customHeight="1">
      <x:c r="A54" s="25" t="str">
        <x:v>GET</x:v>
      </x:c>
      <x:c r="B54" s="25" t="str">
        <x:v>/v1/tenants/{tenant_id}/work-items/{object_id}</x:v>
      </x:c>
      <x:c r="C54" s="25" t="str">
        <x:v>get_work_items</x:v>
      </x:c>
      <x:c r="D54" s="25" t="str">
        <x:v>1.10.0</x:v>
      </x:c>
      <x:c r="E54" s="25" t="str">
        <x:v>openapi-implemented.json</x:v>
      </x:c>
    </x:row>
    <x:row r="55" ht="76" customHeight="1">
      <x:c r="A55" s="25" t="str">
        <x:v>GET</x:v>
      </x:c>
      <x:c r="B55" s="25" t="str">
        <x:v>/v1/tenants/{tenant_id}/report-templates</x:v>
      </x:c>
      <x:c r="C55" s="25" t="str">
        <x:v>list_report_templates</x:v>
      </x:c>
      <x:c r="D55" s="25" t="str">
        <x:v>1.10.0</x:v>
      </x:c>
      <x:c r="E55" s="25" t="str">
        <x:v>openapi-implemented.json</x:v>
      </x:c>
    </x:row>
    <x:row r="56" ht="76" customHeight="1">
      <x:c r="A56" s="25" t="str">
        <x:v>GET</x:v>
      </x:c>
      <x:c r="B56" s="25" t="str">
        <x:v>/v1/tenants/{tenant_id}/report-templates/{object_id}</x:v>
      </x:c>
      <x:c r="C56" s="25" t="str">
        <x:v>get_report_templates</x:v>
      </x:c>
      <x:c r="D56" s="25" t="str">
        <x:v>1.10.0</x:v>
      </x:c>
      <x:c r="E56" s="25" t="str">
        <x:v>openapi-implemented.json</x:v>
      </x:c>
    </x:row>
    <x:row r="57" ht="76" customHeight="1">
      <x:c r="A57" s="25" t="str">
        <x:v>GET</x:v>
      </x:c>
      <x:c r="B57" s="25" t="str">
        <x:v>/v1/tenants/{tenant_id}/notifications</x:v>
      </x:c>
      <x:c r="C57" s="25" t="str">
        <x:v>list_notifications</x:v>
      </x:c>
      <x:c r="D57" s="25" t="str">
        <x:v>1.10.0</x:v>
      </x:c>
      <x:c r="E57" s="25" t="str">
        <x:v>openapi-implemented.json</x:v>
      </x:c>
    </x:row>
    <x:row r="58" ht="76" customHeight="1">
      <x:c r="A58" s="25" t="str">
        <x:v>GET</x:v>
      </x:c>
      <x:c r="B58" s="25" t="str">
        <x:v>/v1/tenants/{tenant_id}/notifications/{object_id}</x:v>
      </x:c>
      <x:c r="C58" s="25" t="str">
        <x:v>get_notifications</x:v>
      </x:c>
      <x:c r="D58" s="25" t="str">
        <x:v>1.10.0</x:v>
      </x:c>
      <x:c r="E58" s="25" t="str">
        <x:v>openapi-implemented.json</x:v>
      </x:c>
    </x:row>
    <x:row r="59" ht="76" customHeight="1">
      <x:c r="A59" s="25" t="str">
        <x:v>POST</x:v>
      </x:c>
      <x:c r="B59" s="25" t="str">
        <x:v>/v1/tenants/{tenant_id}/programmes/{object_id}/actions/activate</x:v>
      </x:c>
      <x:c r="C59" s="25" t="str">
        <x:v>action_programmes_activate</x:v>
      </x:c>
      <x:c r="D59" s="25" t="str">
        <x:v>1.10.0</x:v>
      </x:c>
      <x:c r="E59" s="25" t="str">
        <x:v>openapi-implemented.json</x:v>
      </x:c>
    </x:row>
    <x:row r="60" ht="76" customHeight="1">
      <x:c r="A60" s="25" t="str">
        <x:v>POST</x:v>
      </x:c>
      <x:c r="B60" s="25" t="str">
        <x:v>/v1/tenants/{tenant_id}/indicator-definitions/{object_id}/actions/submit</x:v>
      </x:c>
      <x:c r="C60" s="25" t="str">
        <x:v>action_indicator_definitions_submit</x:v>
      </x:c>
      <x:c r="D60" s="25" t="str">
        <x:v>1.10.0</x:v>
      </x:c>
      <x:c r="E60" s="25" t="str">
        <x:v>openapi-implemented.json</x:v>
      </x:c>
    </x:row>
    <x:row r="61" ht="76" customHeight="1">
      <x:c r="A61" s="25" t="str">
        <x:v>POST</x:v>
      </x:c>
      <x:c r="B61" s="25" t="str">
        <x:v>/v1/tenants/{tenant_id}/workflows/{object_id}/actions/approve</x:v>
      </x:c>
      <x:c r="C61" s="25" t="str">
        <x:v>action_workflows_approve</x:v>
      </x:c>
      <x:c r="D61" s="25" t="str">
        <x:v>1.10.0</x:v>
      </x:c>
      <x:c r="E61" s="25" t="str">
        <x:v>openapi-implemented.json</x:v>
      </x:c>
    </x:row>
    <x:row r="62" ht="76" customHeight="1">
      <x:c r="A62" s="25" t="str">
        <x:v>POST</x:v>
      </x:c>
      <x:c r="B62" s="25" t="str">
        <x:v>/v1/tenants/{tenant_id}/workflows/{object_id}/actions/return</x:v>
      </x:c>
      <x:c r="C62" s="25" t="str">
        <x:v>action_workflows_return</x:v>
      </x:c>
      <x:c r="D62" s="25" t="str">
        <x:v>1.10.0</x:v>
      </x:c>
      <x:c r="E62" s="25" t="str">
        <x:v>openapi-implemented.json</x:v>
      </x:c>
    </x:row>
    <x:row r="63" ht="76" customHeight="1">
      <x:c r="A63" s="25" t="str">
        <x:v>POST</x:v>
      </x:c>
      <x:c r="B63" s="25" t="str">
        <x:v>/v1/tenants/{tenant_id}/workflows/{object_id}/actions/reject</x:v>
      </x:c>
      <x:c r="C63" s="25" t="str">
        <x:v>action_workflows_reject</x:v>
      </x:c>
      <x:c r="D63" s="25" t="str">
        <x:v>1.10.0</x:v>
      </x:c>
      <x:c r="E63" s="25" t="str">
        <x:v>openapi-implemented.json</x:v>
      </x:c>
    </x:row>
    <x:row r="64" ht="76" customHeight="1">
      <x:c r="A64" s="25" t="str">
        <x:v>POST</x:v>
      </x:c>
      <x:c r="B64" s="25" t="str">
        <x:v>/v1/tenants/{tenant_id}/periods/{object_id}/actions/close</x:v>
      </x:c>
      <x:c r="C64" s="25" t="str">
        <x:v>action_periods_close</x:v>
      </x:c>
      <x:c r="D64" s="25" t="str">
        <x:v>1.10.0</x:v>
      </x:c>
      <x:c r="E64" s="25" t="str">
        <x:v>openapi-implemented.json</x:v>
      </x:c>
    </x:row>
    <x:row r="65" ht="76" customHeight="1">
      <x:c r="A65" s="25" t="str">
        <x:v>POST</x:v>
      </x:c>
      <x:c r="B65" s="25" t="str">
        <x:v>/v1/tenants/{tenant_id}/periods/{object_id}/actions/restate</x:v>
      </x:c>
      <x:c r="C65" s="25" t="str">
        <x:v>action_periods_restate</x:v>
      </x:c>
      <x:c r="D65" s="25" t="str">
        <x:v>1.10.0</x:v>
      </x:c>
      <x:c r="E65" s="25" t="str">
        <x:v>openapi-implemented.json</x:v>
      </x:c>
    </x:row>
    <x:row r="66" ht="76" customHeight="1">
      <x:c r="A66" s="25" t="str">
        <x:v>POST</x:v>
      </x:c>
      <x:c r="B66" s="25" t="str">
        <x:v>/v1/tenants/{tenant_id}/reports/{object_id}/actions/submit</x:v>
      </x:c>
      <x:c r="C66" s="25" t="str">
        <x:v>action_reports_submit</x:v>
      </x:c>
      <x:c r="D66" s="25" t="str">
        <x:v>1.10.0</x:v>
      </x:c>
      <x:c r="E66" s="25" t="str">
        <x:v>openapi-implemented.json</x:v>
      </x:c>
    </x:row>
    <x:row r="67" ht="76" customHeight="1">
      <x:c r="A67" s="25" t="str">
        <x:v>POST</x:v>
      </x:c>
      <x:c r="B67" s="25" t="str">
        <x:v>/v1/tenants/{tenant_id}/reports/{object_id}/actions/publish</x:v>
      </x:c>
      <x:c r="C67" s="25" t="str">
        <x:v>action_reports_publish</x:v>
      </x:c>
      <x:c r="D67" s="25" t="str">
        <x:v>1.10.0</x:v>
      </x:c>
      <x:c r="E67" s="25" t="str">
        <x:v>openapi-implemented.json</x:v>
      </x:c>
    </x:row>
    <x:row r="68" ht="76" customHeight="1">
      <x:c r="A68" s="25" t="str">
        <x:v>POST</x:v>
      </x:c>
      <x:c r="B68" s="25" t="str">
        <x:v>/v1/tenants/{tenant_id}/reports/{object_id}/actions/withdraw</x:v>
      </x:c>
      <x:c r="C68" s="25" t="str">
        <x:v>action_reports_withdraw</x:v>
      </x:c>
      <x:c r="D68" s="25" t="str">
        <x:v>1.10.0</x:v>
      </x:c>
      <x:c r="E68" s="25" t="str">
        <x:v>openapi-implemented.json</x:v>
      </x:c>
    </x:row>
    <x:row r="69" ht="76" customHeight="1">
      <x:c r="A69" s="25" t="str">
        <x:v>POST</x:v>
      </x:c>
      <x:c r="B69" s="25" t="str">
        <x:v>/v1/tenants/{tenant_id}/memberships/{object_id}/actions/suspend</x:v>
      </x:c>
      <x:c r="C69" s="25" t="str">
        <x:v>action_memberships_suspend</x:v>
      </x:c>
      <x:c r="D69" s="25" t="str">
        <x:v>1.10.0</x:v>
      </x:c>
      <x:c r="E69" s="25" t="str">
        <x:v>openapi-implemented.json</x:v>
      </x:c>
    </x:row>
    <x:row r="70" ht="76" customHeight="1">
      <x:c r="A70" s="25" t="str">
        <x:v>POST</x:v>
      </x:c>
      <x:c r="B70" s="25" t="str">
        <x:v>/v1/tenants/{tenant_id}/memberships/{object_id}/actions/revoke</x:v>
      </x:c>
      <x:c r="C70" s="25" t="str">
        <x:v>action_memberships_revoke</x:v>
      </x:c>
      <x:c r="D70" s="25" t="str">
        <x:v>1.10.0</x:v>
      </x:c>
      <x:c r="E70" s="25" t="str">
        <x:v>openapi-implemented.json</x:v>
      </x:c>
    </x:row>
    <x:row r="71" ht="76" customHeight="1">
      <x:c r="A71" s="25" t="str">
        <x:v>POST</x:v>
      </x:c>
      <x:c r="B71" s="25" t="str">
        <x:v>/v1/tenants/{tenant_id}/grants/{object_id}/actions/revoke</x:v>
      </x:c>
      <x:c r="C71" s="25" t="str">
        <x:v>action_grants_revoke</x:v>
      </x:c>
      <x:c r="D71" s="25" t="str">
        <x:v>1.10.0</x:v>
      </x:c>
      <x:c r="E71" s="25" t="str">
        <x:v>openapi-implemented.json</x:v>
      </x:c>
    </x:row>
    <x:row r="72" ht="76" customHeight="1">
      <x:c r="A72" s="25" t="str">
        <x:v>POST</x:v>
      </x:c>
      <x:c r="B72" s="25" t="str">
        <x:v>/v1/tenants/{tenant_id}/member-invitations</x:v>
      </x:c>
      <x:c r="C72" s="25" t="str">
        <x:v>invite_member</x:v>
      </x:c>
      <x:c r="D72" s="25" t="str">
        <x:v>1.10.0</x:v>
      </x:c>
      <x:c r="E72" s="25" t="str">
        <x:v>openapi-implemented.json</x:v>
      </x:c>
    </x:row>
    <x:row r="73" ht="76" customHeight="1">
      <x:c r="A73" s="25" t="str">
        <x:v>GET</x:v>
      </x:c>
      <x:c r="B73" s="25" t="str">
        <x:v>/v1/tenants/{tenant_id}/member-invitations</x:v>
      </x:c>
      <x:c r="C73" s="25" t="str">
        <x:v>list_member_invitations</x:v>
      </x:c>
      <x:c r="D73" s="25" t="str">
        <x:v>1.10.0</x:v>
      </x:c>
      <x:c r="E73" s="25" t="str">
        <x:v>openapi-implemented.json</x:v>
      </x:c>
    </x:row>
    <x:row r="74" ht="76" customHeight="1">
      <x:c r="A74" s="25" t="str">
        <x:v>POST</x:v>
      </x:c>
      <x:c r="B74" s="25" t="str">
        <x:v>/v1/tenants/{tenant_id}/invitation-acceptances</x:v>
      </x:c>
      <x:c r="C74" s="25" t="str">
        <x:v>accept_invitation</x:v>
      </x:c>
      <x:c r="D74" s="25" t="str">
        <x:v>1.10.0</x:v>
      </x:c>
      <x:c r="E74" s="25" t="str">
        <x:v>openapi-implemented.json</x:v>
      </x:c>
    </x:row>
    <x:row r="75" ht="76" customHeight="1">
      <x:c r="A75" s="25" t="str">
        <x:v>POST</x:v>
      </x:c>
      <x:c r="B75" s="25" t="str">
        <x:v>/v1/tenants/{tenant_id}/disclosure-requests</x:v>
      </x:c>
      <x:c r="C75" s="25" t="str">
        <x:v>request_disclosure</x:v>
      </x:c>
      <x:c r="D75" s="25" t="str">
        <x:v>1.10.0</x:v>
      </x:c>
      <x:c r="E75" s="25" t="str">
        <x:v>openapi-implemented.json</x:v>
      </x:c>
    </x:row>
    <x:row r="76" ht="76" customHeight="1">
      <x:c r="A76" s="25" t="str">
        <x:v>POST</x:v>
      </x:c>
      <x:c r="B76" s="25" t="str">
        <x:v>/v1/tenants/{tenant_id}/observations/{object_id}/actions/submit</x:v>
      </x:c>
      <x:c r="C76" s="25" t="str">
        <x:v>action_observations_submit</x:v>
      </x:c>
      <x:c r="D76" s="25" t="str">
        <x:v>1.10.0</x:v>
      </x:c>
      <x:c r="E76" s="25" t="str">
        <x:v>openapi-implemented.json</x:v>
      </x:c>
    </x:row>
    <x:row r="77" ht="76" customHeight="1">
      <x:c r="A77" s="25" t="str">
        <x:v>POST</x:v>
      </x:c>
      <x:c r="B77" s="25" t="str">
        <x:v>/v1/tenants/{tenant_id}/indicator-instances/{object_id}/actions/calculate</x:v>
      </x:c>
      <x:c r="C77" s="25" t="str">
        <x:v>action_indicator_instances_calculate</x:v>
      </x:c>
      <x:c r="D77" s="25" t="str">
        <x:v>1.10.0</x:v>
      </x:c>
      <x:c r="E77" s="25" t="str">
        <x:v>openapi-implemented.json</x:v>
      </x:c>
    </x:row>
    <x:row r="78" ht="76" customHeight="1">
      <x:c r="A78" s="25" t="str">
        <x:v>GET</x:v>
      </x:c>
      <x:c r="B78" s="25" t="str">
        <x:v>/v1/tenants/{tenant_id}/workflow-templates</x:v>
      </x:c>
      <x:c r="C78" s="25" t="str">
        <x:v>list_workflow_templates</x:v>
      </x:c>
      <x:c r="D78" s="25" t="str">
        <x:v>1.10.0</x:v>
      </x:c>
      <x:c r="E78" s="25" t="str">
        <x:v>openapi-implemented.json</x:v>
      </x:c>
    </x:row>
    <x:row r="79" ht="76" customHeight="1">
      <x:c r="A79" s="25" t="str">
        <x:v>GET</x:v>
      </x:c>
      <x:c r="B79" s="25" t="str">
        <x:v>/v1/tenants/{tenant_id}/workflow-templates/{object_id}</x:v>
      </x:c>
      <x:c r="C79" s="25" t="str">
        <x:v>get_workflow_templates</x:v>
      </x:c>
      <x:c r="D79" s="25" t="str">
        <x:v>1.10.0</x:v>
      </x:c>
      <x:c r="E79" s="25" t="str">
        <x:v>openapi-implemented.json</x:v>
      </x:c>
    </x:row>
    <x:row r="80" ht="76" customHeight="1">
      <x:c r="A80" s="25" t="str">
        <x:v>GET</x:v>
      </x:c>
      <x:c r="B80" s="25" t="str">
        <x:v>/v1/tenants/{tenant_id}/lineage-manifests</x:v>
      </x:c>
      <x:c r="C80" s="25" t="str">
        <x:v>list_lineage_manifests</x:v>
      </x:c>
      <x:c r="D80" s="25" t="str">
        <x:v>1.10.0</x:v>
      </x:c>
      <x:c r="E80" s="25" t="str">
        <x:v>openapi-implemented.json</x:v>
      </x:c>
    </x:row>
    <x:row r="81" ht="76" customHeight="1">
      <x:c r="A81" s="25" t="str">
        <x:v>GET</x:v>
      </x:c>
      <x:c r="B81" s="25" t="str">
        <x:v>/v1/tenants/{tenant_id}/lineage-manifests/{object_id}</x:v>
      </x:c>
      <x:c r="C81" s="25" t="str">
        <x:v>get_lineage_manifests</x:v>
      </x:c>
      <x:c r="D81" s="25" t="str">
        <x:v>1.10.0</x:v>
      </x:c>
      <x:c r="E81" s="25" t="str">
        <x:v>openapi-implemented.json</x:v>
      </x:c>
    </x:row>
    <x:row r="82" ht="76" customHeight="1">
      <x:c r="A82" s="25" t="str">
        <x:v>POST</x:v>
      </x:c>
      <x:c r="B82" s="25" t="str">
        <x:v>/v1/tenants/{tenant_id}/member-invitations/{object_id}/actions/resend</x:v>
      </x:c>
      <x:c r="C82" s="25" t="str">
        <x:v>resend_invitation</x:v>
      </x:c>
      <x:c r="D82" s="25" t="str">
        <x:v>1.10.0</x:v>
      </x:c>
      <x:c r="E82" s="25" t="str">
        <x:v>openapi-implemented.json</x:v>
      </x:c>
    </x:row>
    <x:row r="83" ht="76" customHeight="1">
      <x:c r="A83" s="25" t="str">
        <x:v>POST</x:v>
      </x:c>
      <x:c r="B83" s="25" t="str">
        <x:v>/v1/tenants/{tenant_id}/member-invitations/{object_id}/actions/revoke</x:v>
      </x:c>
      <x:c r="C83" s="25" t="str">
        <x:v>revoke_invitation</x:v>
      </x:c>
      <x:c r="D83" s="25" t="str">
        <x:v>1.10.0</x:v>
      </x:c>
      <x:c r="E83" s="25" t="str">
        <x:v>openapi-implemented.json</x:v>
      </x:c>
    </x:row>
    <x:row r="84" ht="76" customHeight="1">
      <x:c r="A84" s="25" t="str">
        <x:v>POST</x:v>
      </x:c>
      <x:c r="B84" s="25" t="str">
        <x:v>/v1/tenants/{tenant_id}/memberships/{object_id}/actions/reactivate</x:v>
      </x:c>
      <x:c r="C84" s="25" t="str">
        <x:v>reactivate_membership</x:v>
      </x:c>
      <x:c r="D84" s="25" t="str">
        <x:v>1.10.0</x:v>
      </x:c>
      <x:c r="E84" s="25" t="str">
        <x:v>openapi-implemented.json</x:v>
      </x:c>
    </x:row>
    <x:row r="85" ht="76" customHeight="1">
      <x:c r="A85" s="25" t="str">
        <x:v>POST</x:v>
      </x:c>
      <x:c r="B85" s="25" t="str">
        <x:v>/v1/tenants/{tenant_id}/access-scopes</x:v>
      </x:c>
      <x:c r="C85" s="25" t="str">
        <x:v>create_access_scope</x:v>
      </x:c>
      <x:c r="D85" s="25" t="str">
        <x:v>1.10.0</x:v>
      </x:c>
      <x:c r="E85" s="25" t="str">
        <x:v>openapi-implemented.json</x:v>
      </x:c>
    </x:row>
    <x:row r="86" ht="76" customHeight="1">
      <x:c r="A86" s="25" t="str">
        <x:v>GET</x:v>
      </x:c>
      <x:c r="B86" s="25" t="str">
        <x:v>/v1/tenants/{tenant_id}/access-scopes</x:v>
      </x:c>
      <x:c r="C86" s="25" t="str">
        <x:v>list_access_scopes</x:v>
      </x:c>
      <x:c r="D86" s="25" t="str">
        <x:v>1.10.0</x:v>
      </x:c>
      <x:c r="E86" s="25" t="str">
        <x:v>openapi-implemented.json</x:v>
      </x:c>
    </x:row>
    <x:row r="87" ht="76" customHeight="1">
      <x:c r="A87" s="25" t="str">
        <x:v>POST</x:v>
      </x:c>
      <x:c r="B87" s="25" t="str">
        <x:v>/v1/tenants/{tenant_id}/access-requests</x:v>
      </x:c>
      <x:c r="C87" s="25" t="str">
        <x:v>request_access_change</x:v>
      </x:c>
      <x:c r="D87" s="25" t="str">
        <x:v>1.10.0</x:v>
      </x:c>
      <x:c r="E87" s="25" t="str">
        <x:v>openapi-implemented.json</x:v>
      </x:c>
    </x:row>
    <x:row r="88" ht="76" customHeight="1">
      <x:c r="A88" s="25" t="str">
        <x:v>GET</x:v>
      </x:c>
      <x:c r="B88" s="25" t="str">
        <x:v>/v1/tenants/{tenant_id}/access-requests</x:v>
      </x:c>
      <x:c r="C88" s="25" t="str">
        <x:v>list_access_requests</x:v>
      </x:c>
      <x:c r="D88" s="25" t="str">
        <x:v>1.10.0</x:v>
      </x:c>
      <x:c r="E88" s="25" t="str">
        <x:v>openapi-implemented.json</x:v>
      </x:c>
    </x:row>
    <x:row r="89" ht="76" customHeight="1">
      <x:c r="A89" s="25" t="str">
        <x:v>POST</x:v>
      </x:c>
      <x:c r="B89" s="25" t="str">
        <x:v>/v1/tenants/{tenant_id}/access-requests/{object_id}/actions/approve</x:v>
      </x:c>
      <x:c r="C89" s="25" t="str">
        <x:v>approve_access_change</x:v>
      </x:c>
      <x:c r="D89" s="25" t="str">
        <x:v>1.10.0</x:v>
      </x:c>
      <x:c r="E89" s="25" t="str">
        <x:v>openapi-implemented.json</x:v>
      </x:c>
    </x:row>
    <x:row r="90" ht="76" customHeight="1">
      <x:c r="A90" s="25" t="str">
        <x:v>POST</x:v>
      </x:c>
      <x:c r="B90" s="25" t="str">
        <x:v>/v1/tenants/{tenant_id}/access-requests/{object_id}/actions/reject</x:v>
      </x:c>
      <x:c r="C90" s="25" t="str">
        <x:v>reject_access_change</x:v>
      </x:c>
      <x:c r="D90" s="25" t="str">
        <x:v>1.10.0</x:v>
      </x:c>
      <x:c r="E90" s="25" t="str">
        <x:v>openapi-implemented.json</x:v>
      </x:c>
    </x:row>
    <x:row r="91" ht="76" customHeight="1">
      <x:c r="A91" s="25" t="str">
        <x:v>POST</x:v>
      </x:c>
      <x:c r="B91" s="25" t="str">
        <x:v>/v1/tenants/{tenant_id}/role-templates</x:v>
      </x:c>
      <x:c r="C91" s="25" t="str">
        <x:v>create_role_template</x:v>
      </x:c>
      <x:c r="D91" s="25" t="str">
        <x:v>1.10.0</x:v>
      </x:c>
      <x:c r="E91" s="25" t="str">
        <x:v>openapi-implemented.json</x:v>
      </x:c>
    </x:row>
    <x:row r="92" ht="76" customHeight="1">
      <x:c r="A92" s="25" t="str">
        <x:v>GET</x:v>
      </x:c>
      <x:c r="B92" s="25" t="str">
        <x:v>/v1/tenants/{tenant_id}/role-templates</x:v>
      </x:c>
      <x:c r="C92" s="25" t="str">
        <x:v>list_role_templates</x:v>
      </x:c>
      <x:c r="D92" s="25" t="str">
        <x:v>1.10.0</x:v>
      </x:c>
      <x:c r="E92" s="25" t="str">
        <x:v>openapi-implemented.json</x:v>
      </x:c>
    </x:row>
    <x:row r="93" ht="76" customHeight="1">
      <x:c r="A93" s="25" t="str">
        <x:v>POST</x:v>
      </x:c>
      <x:c r="B93" s="25" t="str">
        <x:v>/v1/tenants/{tenant_id}/role-templates/{object_id}/actions/revise</x:v>
      </x:c>
      <x:c r="C93" s="25" t="str">
        <x:v>revise_role_template</x:v>
      </x:c>
      <x:c r="D93" s="25" t="str">
        <x:v>1.10.0</x:v>
      </x:c>
      <x:c r="E93" s="25" t="str">
        <x:v>openapi-implemented.json</x:v>
      </x:c>
    </x:row>
    <x:row r="94" ht="76" customHeight="1">
      <x:c r="A94" s="25" t="str">
        <x:v>POST</x:v>
      </x:c>
      <x:c r="B94" s="25" t="str">
        <x:v>/v1/tenants/{tenant_id}/role-templates/{object_id}/actions/retire</x:v>
      </x:c>
      <x:c r="C94" s="25" t="str">
        <x:v>retire_role_template</x:v>
      </x:c>
      <x:c r="D94" s="25" t="str">
        <x:v>1.10.0</x:v>
      </x:c>
      <x:c r="E94" s="25" t="str">
        <x:v>openapi-implemented.json</x:v>
      </x:c>
    </x:row>
    <x:row r="95" ht="76" customHeight="1">
      <x:c r="A95" s="25" t="str">
        <x:v>POST</x:v>
      </x:c>
      <x:c r="B95" s="25" t="str">
        <x:v>/v1/tenants/{tenant_id}/access-groups</x:v>
      </x:c>
      <x:c r="C95" s="25" t="str">
        <x:v>create_access_group</x:v>
      </x:c>
      <x:c r="D95" s="25" t="str">
        <x:v>1.10.0</x:v>
      </x:c>
      <x:c r="E95" s="25" t="str">
        <x:v>openapi-implemented.json</x:v>
      </x:c>
    </x:row>
    <x:row r="96" ht="76" customHeight="1">
      <x:c r="A96" s="25" t="str">
        <x:v>GET</x:v>
      </x:c>
      <x:c r="B96" s="25" t="str">
        <x:v>/v1/tenants/{tenant_id}/access-groups</x:v>
      </x:c>
      <x:c r="C96" s="25" t="str">
        <x:v>list_access_groups</x:v>
      </x:c>
      <x:c r="D96" s="25" t="str">
        <x:v>1.10.0</x:v>
      </x:c>
      <x:c r="E96" s="25" t="str">
        <x:v>openapi-implemented.json</x:v>
      </x:c>
    </x:row>
    <x:row r="97" ht="76" customHeight="1">
      <x:c r="A97" s="25" t="str">
        <x:v>POST</x:v>
      </x:c>
      <x:c r="B97" s="25" t="str">
        <x:v>/v1/tenants/{tenant_id}/access-groups/{object_id}/actions/remove-member</x:v>
      </x:c>
      <x:c r="C97" s="25" t="str">
        <x:v>remove_group_member</x:v>
      </x:c>
      <x:c r="D97" s="25" t="str">
        <x:v>1.10.0</x:v>
      </x:c>
      <x:c r="E97" s="25" t="str">
        <x:v>openapi-implemented.json</x:v>
      </x:c>
    </x:row>
    <x:row r="98" ht="76" customHeight="1">
      <x:c r="A98" s="25" t="str">
        <x:v>POST</x:v>
      </x:c>
      <x:c r="B98" s="25" t="str">
        <x:v>/v1/tenants/{tenant_id}/access-groups/{object_id}/actions/retire</x:v>
      </x:c>
      <x:c r="C98" s="25" t="str">
        <x:v>retire_access_group</x:v>
      </x:c>
      <x:c r="D98" s="25" t="str">
        <x:v>1.10.0</x:v>
      </x:c>
      <x:c r="E98" s="25" t="str">
        <x:v>openapi-implemented.json</x:v>
      </x:c>
    </x:row>
    <x:row r="99" ht="76" customHeight="1">
      <x:c r="A99" s="25" t="str">
        <x:v>POST</x:v>
      </x:c>
      <x:c r="B99" s="25" t="str">
        <x:v>/v1/tenants/{tenant_id}/group-change-requests</x:v>
      </x:c>
      <x:c r="C99" s="25" t="str">
        <x:v>request_group_change</x:v>
      </x:c>
      <x:c r="D99" s="25" t="str">
        <x:v>1.10.0</x:v>
      </x:c>
      <x:c r="E99" s="25" t="str">
        <x:v>openapi-implemented.json</x:v>
      </x:c>
    </x:row>
    <x:row r="100" ht="76" customHeight="1">
      <x:c r="A100" s="25" t="str">
        <x:v>GET</x:v>
      </x:c>
      <x:c r="B100" s="25" t="str">
        <x:v>/v1/tenants/{tenant_id}/group-change-requests</x:v>
      </x:c>
      <x:c r="C100" s="25" t="str">
        <x:v>list_group_change_requests</x:v>
      </x:c>
      <x:c r="D100" s="25" t="str">
        <x:v>1.10.0</x:v>
      </x:c>
      <x:c r="E100" s="25" t="str">
        <x:v>openapi-implemented.json</x:v>
      </x:c>
    </x:row>
    <x:row r="101" ht="76" customHeight="1">
      <x:c r="A101" s="25" t="str">
        <x:v>POST</x:v>
      </x:c>
      <x:c r="B101" s="25" t="str">
        <x:v>/v1/tenants/{tenant_id}/organisation-units/{object_id}/actions/reparent</x:v>
      </x:c>
      <x:c r="C101" s="25" t="str">
        <x:v>reparent_organisation_unit</x:v>
      </x:c>
      <x:c r="D101" s="25" t="str">
        <x:v>1.10.0</x:v>
      </x:c>
      <x:c r="E101" s="25" t="str">
        <x:v>openapi-implemented.json</x:v>
      </x:c>
    </x:row>
    <x:row r="102" ht="76" customHeight="1">
      <x:c r="A102" s="25" t="str">
        <x:v>POST</x:v>
      </x:c>
      <x:c r="B102" s="25" t="str">
        <x:v>/v1/tenants/{tenant_id}/organisation-units/{object_id}/actions/rename</x:v>
      </x:c>
      <x:c r="C102" s="25" t="str">
        <x:v>rename_organisation_unit</x:v>
      </x:c>
      <x:c r="D102" s="25" t="str">
        <x:v>1.10.0</x:v>
      </x:c>
      <x:c r="E102" s="25" t="str">
        <x:v>openapi-implemented.json</x:v>
      </x:c>
    </x:row>
    <x:row r="103" ht="76" customHeight="1">
      <x:c r="A103" s="25" t="str">
        <x:v>POST</x:v>
      </x:c>
      <x:c r="B103" s="25" t="str">
        <x:v>/v1/tenants/{tenant_id}/renewal-requests</x:v>
      </x:c>
      <x:c r="C103" s="25" t="str">
        <x:v>request_membership_renewal</x:v>
      </x:c>
      <x:c r="D103" s="25" t="str">
        <x:v>1.10.0</x:v>
      </x:c>
      <x:c r="E103" s="25" t="str">
        <x:v>openapi-implemented.json</x:v>
      </x:c>
    </x:row>
    <x:row r="104" ht="76" customHeight="1">
      <x:c r="A104" s="25" t="str">
        <x:v>GET</x:v>
      </x:c>
      <x:c r="B104" s="25" t="str">
        <x:v>/v1/tenants/{tenant_id}/renewal-requests</x:v>
      </x:c>
      <x:c r="C104" s="25" t="str">
        <x:v>list_renewal_requests</x:v>
      </x:c>
      <x:c r="D104" s="25" t="str">
        <x:v>1.10.0</x:v>
      </x:c>
      <x:c r="E104" s="25" t="str">
        <x:v>openapi-implemented.json</x:v>
      </x:c>
    </x:row>
    <x:row r="105" ht="76" customHeight="1">
      <x:c r="A105" s="25" t="str">
        <x:v>POST</x:v>
      </x:c>
      <x:c r="B105" s="25" t="str">
        <x:v>/v1/tenants/{tenant_id}/ownership-transfers</x:v>
      </x:c>
      <x:c r="C105" s="25" t="str">
        <x:v>nominate_owner</x:v>
      </x:c>
      <x:c r="D105" s="25" t="str">
        <x:v>1.10.0</x:v>
      </x:c>
      <x:c r="E105" s="25" t="str">
        <x:v>openapi-implemented.json</x:v>
      </x:c>
    </x:row>
    <x:row r="106" ht="76" customHeight="1">
      <x:c r="A106" s="25" t="str">
        <x:v>GET</x:v>
      </x:c>
      <x:c r="B106" s="25" t="str">
        <x:v>/v1/tenants/{tenant_id}/ownership-transfers</x:v>
      </x:c>
      <x:c r="C106" s="25" t="str">
        <x:v>list_ownership_transfers</x:v>
      </x:c>
      <x:c r="D106" s="25" t="str">
        <x:v>1.10.0</x:v>
      </x:c>
      <x:c r="E106" s="25" t="str">
        <x:v>openapi-implemented.json</x:v>
      </x:c>
    </x:row>
    <x:row r="107" ht="76" customHeight="1">
      <x:c r="A107" s="25" t="str">
        <x:v>POST</x:v>
      </x:c>
      <x:c r="B107" s="25" t="str">
        <x:v>/v1/tenants/{tenant_id}/ownership-transfers/{object_id}/actions/accept</x:v>
      </x:c>
      <x:c r="C107" s="25" t="str">
        <x:v>accept_ownership</x:v>
      </x:c>
      <x:c r="D107" s="25" t="str">
        <x:v>1.10.0</x:v>
      </x:c>
      <x:c r="E107" s="25" t="str">
        <x:v>openapi-implemented.json</x:v>
      </x:c>
    </x:row>
    <x:row r="108" ht="76" customHeight="1">
      <x:c r="A108" s="25" t="str">
        <x:v>POST</x:v>
      </x:c>
      <x:c r="B108" s="25" t="str">
        <x:v>/v1/tenants/{tenant_id}/ownership-transfers/{object_id}/actions/cancel</x:v>
      </x:c>
      <x:c r="C108" s="25" t="str">
        <x:v>cancel_ownership</x:v>
      </x:c>
      <x:c r="D108" s="25" t="str">
        <x:v>1.10.0</x:v>
      </x:c>
      <x:c r="E108" s="25" t="str">
        <x:v>openapi-implemented.json</x:v>
      </x:c>
    </x:row>
    <x:row r="109" ht="76" customHeight="1">
      <x:c r="A109" s="25" t="str">
        <x:v>POST</x:v>
      </x:c>
      <x:c r="B109" s="25" t="str">
        <x:v>/v1/tenants/{tenant_id}/group-change-requests/{object_id}/actions/approve</x:v>
      </x:c>
      <x:c r="C109" s="25" t="str">
        <x:v>approve_group_change_requests</x:v>
      </x:c>
      <x:c r="D109" s="25" t="str">
        <x:v>1.10.0</x:v>
      </x:c>
      <x:c r="E109" s="25" t="str">
        <x:v>openapi-implemented.json</x:v>
      </x:c>
    </x:row>
    <x:row r="110" ht="76" customHeight="1">
      <x:c r="A110" s="25" t="str">
        <x:v>POST</x:v>
      </x:c>
      <x:c r="B110" s="25" t="str">
        <x:v>/v1/tenants/{tenant_id}/group-change-requests/{object_id}/actions/reject</x:v>
      </x:c>
      <x:c r="C110" s="25" t="str">
        <x:v>reject_group_change_requests</x:v>
      </x:c>
      <x:c r="D110" s="25" t="str">
        <x:v>1.10.0</x:v>
      </x:c>
      <x:c r="E110" s="25" t="str">
        <x:v>openapi-implemented.json</x:v>
      </x:c>
    </x:row>
    <x:row r="111" ht="76" customHeight="1">
      <x:c r="A111" s="25" t="str">
        <x:v>POST</x:v>
      </x:c>
      <x:c r="B111" s="25" t="str">
        <x:v>/v1/tenants/{tenant_id}/renewal-requests/{object_id}/actions/approve</x:v>
      </x:c>
      <x:c r="C111" s="25" t="str">
        <x:v>approve_renewal_requests</x:v>
      </x:c>
      <x:c r="D111" s="25" t="str">
        <x:v>1.10.0</x:v>
      </x:c>
      <x:c r="E111" s="25" t="str">
        <x:v>openapi-implemented.json</x:v>
      </x:c>
    </x:row>
    <x:row r="112" ht="76" customHeight="1">
      <x:c r="A112" s="25" t="str">
        <x:v>POST</x:v>
      </x:c>
      <x:c r="B112" s="25" t="str">
        <x:v>/v1/tenants/{tenant_id}/renewal-requests/{object_id}/actions/reject</x:v>
      </x:c>
      <x:c r="C112" s="25" t="str">
        <x:v>reject_renewal_requests</x:v>
      </x:c>
      <x:c r="D112" s="25" t="str">
        <x:v>1.10.0</x:v>
      </x:c>
      <x:c r="E112" s="25" t="str">
        <x:v>openapi-implemented.json</x:v>
      </x:c>
    </x:row>
    <x:row r="113" ht="76" customHeight="1">
      <x:c r="A113" s="25" t="str">
        <x:v>GET</x:v>
      </x:c>
      <x:c r="B113" s="25" t="str">
        <x:v>/v1/tenants/{tenant_id}/membership-directory</x:v>
      </x:c>
      <x:c r="C113" s="25" t="str">
        <x:v>list_membership_directory</x:v>
      </x:c>
      <x:c r="D113" s="25" t="str">
        <x:v>1.10.0</x:v>
      </x:c>
      <x:c r="E113" s="25" t="str">
        <x:v>openapi-implemented.json</x:v>
      </x:c>
    </x:row>
    <x:row r="114" ht="76" customHeight="1">
      <x:c r="A114" s="25" t="str">
        <x:v>GET</x:v>
      </x:c>
      <x:c r="B114" s="25" t="str">
        <x:v>/v1/tenants/{tenant_id}/collection-plans</x:v>
      </x:c>
      <x:c r="C114" s="25" t="str">
        <x:v>list_collection_plans</x:v>
      </x:c>
      <x:c r="D114" s="25" t="str">
        <x:v>1.10.0</x:v>
      </x:c>
      <x:c r="E114" s="25" t="str">
        <x:v>openapi-implemented.json</x:v>
      </x:c>
    </x:row>
    <x:row r="115" ht="76" customHeight="1">
      <x:c r="A115" s="25" t="str">
        <x:v>POST</x:v>
      </x:c>
      <x:c r="B115" s="25" t="str">
        <x:v>/v1/tenants/{tenant_id}/collection-plans</x:v>
      </x:c>
      <x:c r="C115" s="25" t="str">
        <x:v>create_collection_plans</x:v>
      </x:c>
      <x:c r="D115" s="25" t="str">
        <x:v>1.10.0</x:v>
      </x:c>
      <x:c r="E115" s="25" t="str">
        <x:v>openapi-implemented.json</x:v>
      </x:c>
    </x:row>
    <x:row r="116" ht="76" customHeight="1">
      <x:c r="A116" s="25" t="str">
        <x:v>GET</x:v>
      </x:c>
      <x:c r="B116" s="25" t="str">
        <x:v>/v1/tenants/{tenant_id}/collection-plans/{object_id}</x:v>
      </x:c>
      <x:c r="C116" s="25" t="str">
        <x:v>get_collection_plans</x:v>
      </x:c>
      <x:c r="D116" s="25" t="str">
        <x:v>1.10.0</x:v>
      </x:c>
      <x:c r="E116" s="25" t="str">
        <x:v>openapi-implemented.json</x:v>
      </x:c>
    </x:row>
    <x:row r="117" ht="76" customHeight="1">
      <x:c r="A117" s="25" t="str">
        <x:v>PATCH</x:v>
      </x:c>
      <x:c r="B117" s="25" t="str">
        <x:v>/v1/tenants/{tenant_id}/collection-plans/{object_id}</x:v>
      </x:c>
      <x:c r="C117" s="25" t="str">
        <x:v>patch_collection_plans</x:v>
      </x:c>
      <x:c r="D117" s="25" t="str">
        <x:v>1.10.0</x:v>
      </x:c>
      <x:c r="E117" s="25" t="str">
        <x:v>openapi-implemented.json</x:v>
      </x:c>
    </x:row>
    <x:row r="118" ht="76" customHeight="1">
      <x:c r="A118" s="25" t="str">
        <x:v>GET</x:v>
      </x:c>
      <x:c r="B118" s="25" t="str">
        <x:v>/v1/tenants/{tenant_id}/reporting-calendars</x:v>
      </x:c>
      <x:c r="C118" s="25" t="str">
        <x:v>list_reporting_calendars</x:v>
      </x:c>
      <x:c r="D118" s="25" t="str">
        <x:v>1.10.0</x:v>
      </x:c>
      <x:c r="E118" s="25" t="str">
        <x:v>openapi-implemented.json</x:v>
      </x:c>
    </x:row>
    <x:row r="119" ht="76" customHeight="1">
      <x:c r="A119" s="25" t="str">
        <x:v>GET</x:v>
      </x:c>
      <x:c r="B119" s="25" t="str">
        <x:v>/v1/tenants/{tenant_id}/reporting-calendars/{object_id}</x:v>
      </x:c>
      <x:c r="C119" s="25" t="str">
        <x:v>get_reporting_calendars</x:v>
      </x:c>
      <x:c r="D119" s="25" t="str">
        <x:v>1.10.0</x:v>
      </x:c>
      <x:c r="E119" s="25" t="str">
        <x:v>openapi-implemented.json</x:v>
      </x:c>
    </x:row>
    <x:row r="120" ht="76" customHeight="1">
      <x:c r="A120" s="25" t="str">
        <x:v>GET</x:v>
      </x:c>
      <x:c r="B120" s="25" t="str">
        <x:v>/v1/tenants/{tenant_id}/geographies</x:v>
      </x:c>
      <x:c r="C120" s="25" t="str">
        <x:v>list_geographies</x:v>
      </x:c>
      <x:c r="D120" s="25" t="str">
        <x:v>1.10.0</x:v>
      </x:c>
      <x:c r="E120" s="25" t="str">
        <x:v>openapi-implemented.json</x:v>
      </x:c>
    </x:row>
    <x:row r="121" ht="76" customHeight="1">
      <x:c r="A121" s="25" t="str">
        <x:v>GET</x:v>
      </x:c>
      <x:c r="B121" s="25" t="str">
        <x:v>/v1/tenants/{tenant_id}/geographies/{object_id}</x:v>
      </x:c>
      <x:c r="C121" s="25" t="str">
        <x:v>get_geographies</x:v>
      </x:c>
      <x:c r="D121" s="25" t="str">
        <x:v>1.10.0</x:v>
      </x:c>
      <x:c r="E121" s="25" t="str">
        <x:v>openapi-implemented.json</x:v>
      </x:c>
    </x:row>
    <x:row r="122" ht="76" customHeight="1">
      <x:c r="A122" s="25" t="str">
        <x:v>POST</x:v>
      </x:c>
      <x:c r="B122" s="25" t="str">
        <x:v>/v1/tenants/{tenant_id}/collection-plans/{object_id}/actions/submit</x:v>
      </x:c>
      <x:c r="C122" s="25" t="str">
        <x:v>action_collection_plans_submit</x:v>
      </x:c>
      <x:c r="D122" s="25" t="str">
        <x:v>1.10.0</x:v>
      </x:c>
      <x:c r="E122" s="25" t="str">
        <x:v>openapi-implemented.json</x:v>
      </x:c>
    </x:row>
    <x:row r="123" ht="76" customHeight="1">
      <x:c r="A123" s="25" t="str">
        <x:v>POST</x:v>
      </x:c>
      <x:c r="B123" s="25" t="str">
        <x:v>/v1/tenants/{tenant_id}/indicator-instances/{object_id}/actions/activate</x:v>
      </x:c>
      <x:c r="C123" s="25" t="str">
        <x:v>action_indicator_instances_activate</x:v>
      </x:c>
      <x:c r="D123" s="25" t="str">
        <x:v>1.10.0</x:v>
      </x:c>
      <x:c r="E123" s="25" t="str">
        <x:v>openapi-implemented.json</x:v>
      </x:c>
    </x:row>
    <x:row r="124" ht="76" customHeight="1">
      <x:c r="A124" s="25" t="str">
        <x:v>POST</x:v>
      </x:c>
      <x:c r="B124" s="25" t="str">
        <x:v>/v1/tenants/{tenant_id}/programmes/{object_id}/actions/ready</x:v>
      </x:c>
      <x:c r="C124" s="25" t="str">
        <x:v>action_programmes_ready</x:v>
      </x:c>
      <x:c r="D124" s="25" t="str">
        <x:v>1.10.0</x:v>
      </x:c>
      <x:c r="E124" s="25" t="str">
        <x:v>openapi-implemented.json</x:v>
      </x:c>
    </x:row>
    <x:row r="125" ht="76" customHeight="1">
      <x:c r="A125" s="25" t="str">
        <x:v>POST</x:v>
      </x:c>
      <x:c r="B125" s="25" t="str">
        <x:v>/v1/tenants/{tenant_id}/programmes/{object_id}/actions/revise</x:v>
      </x:c>
      <x:c r="C125" s="25" t="str">
        <x:v>action_programmes_revise</x:v>
      </x:c>
      <x:c r="D125" s="25" t="str">
        <x:v>1.10.0</x:v>
      </x:c>
      <x:c r="E125" s="25" t="str">
        <x:v>openapi-implemented.json</x:v>
      </x:c>
    </x:row>
    <x:row r="126" ht="76" customHeight="1">
      <x:c r="A126" s="25" t="str">
        <x:v>GET</x:v>
      </x:c>
      <x:c r="B126" s="25" t="str">
        <x:v>/v1/tenants/{tenant_id}/programmes/{object_id}/readiness</x:v>
      </x:c>
      <x:c r="C126" s="25" t="str">
        <x:v>programme_readiness</x:v>
      </x:c>
      <x:c r="D126" s="25" t="str">
        <x:v>1.10.0</x:v>
      </x:c>
      <x:c r="E126" s="25" t="str">
        <x:v>openapi-implemented.json</x:v>
      </x:c>
    </x:row>
    <x:row r="127" ht="76" customHeight="1">
      <x:c r="A127" s="25" t="str">
        <x:v>GET</x:v>
      </x:c>
      <x:c r="B127" s="25" t="str">
        <x:v>/v1/tenants/{tenant_id}/workflows/{object_id}/candidate</x:v>
      </x:c>
      <x:c r="C127" s="25" t="str">
        <x:v>workflow_candidate</x:v>
      </x:c>
      <x:c r="D127" s="25" t="str">
        <x:v>1.10.0</x:v>
      </x:c>
      <x:c r="E127" s="25" t="str">
        <x:v>openapi-implemented.json</x:v>
      </x:c>
    </x:row>
    <x:row r="128" ht="76" customHeight="1">
      <x:c r="A128" s="25" t="str">
        <x:v>GET</x:v>
      </x:c>
      <x:c r="B128" s="25" t="str">
        <x:v>/v1/tenants/{tenant_id}/measurement-members</x:v>
      </x:c>
      <x:c r="C128" s="25" t="str">
        <x:v>measurement_members</x:v>
      </x:c>
      <x:c r="D128" s="25" t="str">
        <x:v>1.10.0</x:v>
      </x:c>
      <x:c r="E128" s="25" t="str">
        <x:v>openapi-implemented.json</x:v>
      </x:c>
    </x:row>
    <x:row r="129" ht="76" customHeight="1">
      <x:c r="A129" s="25" t="str">
        <x:v>GET</x:v>
      </x:c>
      <x:c r="B129" s="25" t="str">
        <x:v>/v1/tenants/{tenant_id}/measurement-changes</x:v>
      </x:c>
      <x:c r="C129" s="25" t="str">
        <x:v>list_measurement_changes</x:v>
      </x:c>
      <x:c r="D129" s="25" t="str">
        <x:v>1.10.0</x:v>
      </x:c>
      <x:c r="E129" s="25" t="str">
        <x:v>openapi-implemented.json</x:v>
      </x:c>
    </x:row>
    <x:row r="130" ht="76" customHeight="1">
      <x:c r="A130" s="25" t="str">
        <x:v>POST</x:v>
      </x:c>
      <x:c r="B130" s="25" t="str">
        <x:v>/v1/tenants/{tenant_id}/measurement-changes</x:v>
      </x:c>
      <x:c r="C130" s="25" t="str">
        <x:v>create_measurement_changes</x:v>
      </x:c>
      <x:c r="D130" s="25" t="str">
        <x:v>1.10.0</x:v>
      </x:c>
      <x:c r="E130" s="25" t="str">
        <x:v>openapi-implemented.json</x:v>
      </x:c>
    </x:row>
    <x:row r="131" ht="76" customHeight="1">
      <x:c r="A131" s="25" t="str">
        <x:v>GET</x:v>
      </x:c>
      <x:c r="B131" s="25" t="str">
        <x:v>/v1/tenants/{tenant_id}/measurement-changes/{object_id}</x:v>
      </x:c>
      <x:c r="C131" s="25" t="str">
        <x:v>get_measurement_changes</x:v>
      </x:c>
      <x:c r="D131" s="25" t="str">
        <x:v>1.10.0</x:v>
      </x:c>
      <x:c r="E131" s="25" t="str">
        <x:v>openapi-implemented.json</x:v>
      </x:c>
    </x:row>
    <x:row r="132" ht="76" customHeight="1">
      <x:c r="A132" s="25" t="str">
        <x:v>PATCH</x:v>
      </x:c>
      <x:c r="B132" s="25" t="str">
        <x:v>/v1/tenants/{tenant_id}/measurement-changes/{object_id}</x:v>
      </x:c>
      <x:c r="C132" s="25" t="str">
        <x:v>patch_measurement_changes</x:v>
      </x:c>
      <x:c r="D132" s="25" t="str">
        <x:v>1.10.0</x:v>
      </x:c>
      <x:c r="E132" s="25" t="str">
        <x:v>openapi-implemented.json</x:v>
      </x:c>
    </x:row>
    <x:row r="133" ht="76" customHeight="1">
      <x:c r="A133" s="25" t="str">
        <x:v>POST</x:v>
      </x:c>
      <x:c r="B133" s="25" t="str">
        <x:v>/v1/tenants/{tenant_id}/measurement-changes/{object_id}/actions/submit</x:v>
      </x:c>
      <x:c r="C133" s="25" t="str">
        <x:v>action_measurement_changes_submit</x:v>
      </x:c>
      <x:c r="D133" s="25" t="str">
        <x:v>1.10.0</x:v>
      </x:c>
      <x:c r="E133" s="25" t="str">
        <x:v>openapi-implemented.json</x:v>
      </x:c>
    </x:row>
    <x:row r="134" ht="76" customHeight="1">
      <x:c r="A134" s="25" t="str">
        <x:v>GET</x:v>
      </x:c>
      <x:c r="B134" s="25" t="str">
        <x:v>/v1/tenants/{tenant_id}/period-closes</x:v>
      </x:c>
      <x:c r="C134" s="25" t="str">
        <x:v>list_period_closes</x:v>
      </x:c>
      <x:c r="D134" s="25" t="str">
        <x:v>1.10.0</x:v>
      </x:c>
      <x:c r="E134" s="25" t="str">
        <x:v>openapi-implemented.json</x:v>
      </x:c>
    </x:row>
    <x:row r="135" ht="76" customHeight="1">
      <x:c r="A135" s="25" t="str">
        <x:v>GET</x:v>
      </x:c>
      <x:c r="B135" s="25" t="str">
        <x:v>/v1/tenants/{tenant_id}/period-closes/{object_id}</x:v>
      </x:c>
      <x:c r="C135" s="25" t="str">
        <x:v>get_period_closes</x:v>
      </x:c>
      <x:c r="D135" s="25" t="str">
        <x:v>1.10.0</x:v>
      </x:c>
      <x:c r="E135" s="25" t="str">
        <x:v>openapi-implemented.json</x:v>
      </x:c>
    </x:row>
    <x:row r="136" ht="76" customHeight="1">
      <x:c r="A136" s="25" t="str">
        <x:v>GET</x:v>
      </x:c>
      <x:c r="B136" s="25" t="str">
        <x:v>/v1/tenants/{tenant_id}/restatement-requests</x:v>
      </x:c>
      <x:c r="C136" s="25" t="str">
        <x:v>list_restatement_requests</x:v>
      </x:c>
      <x:c r="D136" s="25" t="str">
        <x:v>1.10.0</x:v>
      </x:c>
      <x:c r="E136" s="25" t="str">
        <x:v>openapi-implemented.json</x:v>
      </x:c>
    </x:row>
    <x:row r="137" ht="76" customHeight="1">
      <x:c r="A137" s="25" t="str">
        <x:v>GET</x:v>
      </x:c>
      <x:c r="B137" s="25" t="str">
        <x:v>/v1/tenants/{tenant_id}/restatement-requests/{object_id}</x:v>
      </x:c>
      <x:c r="C137" s="25" t="str">
        <x:v>get_restatement_requests</x:v>
      </x:c>
      <x:c r="D137" s="25" t="str">
        <x:v>1.10.0</x:v>
      </x:c>
      <x:c r="E137" s="25" t="str">
        <x:v>openapi-implemented.json</x:v>
      </x:c>
    </x:row>
    <x:row r="138" ht="76" customHeight="1">
      <x:c r="A138" s="25" t="str">
        <x:v>GET</x:v>
      </x:c>
      <x:c r="B138" s="25" t="str">
        <x:v>/v1/tenants/{tenant_id}/reports/{object_id}/export</x:v>
      </x:c>
      <x:c r="C138" s="25" t="str">
        <x:v>export_report_package</x:v>
      </x:c>
      <x:c r="D138" s="25" t="str">
        <x:v>1.10.0</x:v>
      </x:c>
      <x:c r="E138" s="25" t="str">
        <x:v>openapi-implemented.json</x:v>
      </x:c>
    </x:row>
    <x:row r="139" ht="76" customHeight="1">
      <x:c r="A139" s="25" t="str">
        <x:v>POST</x:v>
      </x:c>
      <x:c r="B139" s="25" t="str">
        <x:v>/v1/tenants/{tenant_id}/notifications/{object_id}/actions/acknowledge</x:v>
      </x:c>
      <x:c r="C139" s="25" t="str">
        <x:v>action_notifications_acknowledge</x:v>
      </x:c>
      <x:c r="D139" s="25" t="str">
        <x:v>1.10.0</x:v>
      </x:c>
      <x:c r="E139" s="25" t="str">
        <x:v>openapi-implemented.json</x:v>
      </x:c>
    </x:row>
    <x:row r="140" ht="76" customHeight="1">
      <x:c r="A140" s="25" t="str">
        <x:v>POST</x:v>
      </x:c>
      <x:c r="B140" s="25" t="str">
        <x:v>/v1/tenants/{tenant_id}/work-items/{object_id}/actions/recalculate</x:v>
      </x:c>
      <x:c r="C140" s="25" t="str">
        <x:v>action_work_items_recalculate</x:v>
      </x:c>
      <x:c r="D140" s="25" t="str">
        <x:v>1.10.0</x:v>
      </x:c>
      <x:c r="E140" s="25" t="str">
        <x:v>openapi-implemented.json</x:v>
      </x:c>
    </x:row>
    <x:row r="141" ht="76" customHeight="1">
      <x:c r="A141" s="25" t="str">
        <x:v>GET</x:v>
      </x:c>
      <x:c r="B141" s="25" t="str">
        <x:v>/v1/tenants/{tenant_id}/reports/{object_id}/export.csv</x:v>
      </x:c>
      <x:c r="C141" s="25" t="str">
        <x:v>export_report_package_csv</x:v>
      </x:c>
      <x:c r="D141" s="25" t="str">
        <x:v>1.10.0</x:v>
      </x:c>
      <x:c r="E141" s="25" t="str">
        <x:v>openapi-implemented.json</x:v>
      </x:c>
    </x:row>
    <x:row r="142" ht="76" customHeight="1">
      <x:c r="A142" s="25" t="str">
        <x:v>GET</x:v>
      </x:c>
      <x:c r="B142" s="25" t="str">
        <x:v>/v1/tenants/{tenant_id}/publications/{object_id}/view</x:v>
      </x:c>
      <x:c r="C142" s="25" t="str">
        <x:v>view_controlled_publication</x:v>
      </x:c>
      <x:c r="D142" s="25" t="str">
        <x:v>1.10.0</x:v>
      </x:c>
      <x:c r="E142" s="25" t="str">
        <x:v>openapi-implemented.json</x:v>
      </x:c>
    </x:row>
    <x:row r="143" ht="76" customHeight="1">
      <x:c r="A143" s="25" t="str">
        <x:v>GET</x:v>
      </x:c>
      <x:c r="B143" s="25" t="str">
        <x:v>/v1/tenants/{tenant_id}/publications/{object_id}/download.csv</x:v>
      </x:c>
      <x:c r="C143" s="25" t="str">
        <x:v>download_controlled_publication_csv</x:v>
      </x:c>
      <x:c r="D143" s="25" t="str">
        <x:v>1.10.0</x:v>
      </x:c>
      <x:c r="E143" s="25" t="str">
        <x:v>openapi-implemented.json</x:v>
      </x:c>
    </x:row>
    <x:row r="144" ht="76" customHeight="1">
      <x:c r="A144" s="25" t="str">
        <x:v>GET</x:v>
      </x:c>
      <x:c r="B144" s="25" t="str">
        <x:v>/v1/tenants/{tenant_id}/publication-recipients</x:v>
      </x:c>
      <x:c r="C144" s="25" t="str">
        <x:v>list_publication_recipients</x:v>
      </x:c>
      <x:c r="D144" s="25" t="str">
        <x:v>1.10.0</x:v>
      </x:c>
      <x:c r="E144" s="25" t="str">
        <x:v>openapi-implemented.json</x:v>
      </x:c>
    </x:row>
    <x:row r="145" ht="76" customHeight="1">
      <x:c r="A145" s="25" t="str">
        <x:v>GET</x:v>
      </x:c>
      <x:c r="B145" s="25" t="str">
        <x:v>/v1/platform/tenants</x:v>
      </x:c>
      <x:c r="C145" s="25" t="str">
        <x:v>list_tenant_lifecycle</x:v>
      </x:c>
      <x:c r="D145" s="25" t="str">
        <x:v>1.2.0</x:v>
      </x:c>
      <x:c r="E145" s="25" t="str">
        <x:v>openapi-platform.json</x:v>
      </x:c>
    </x:row>
    <x:row r="146" ht="76" customHeight="1">
      <x:c r="A146" s="25" t="str">
        <x:v>POST</x:v>
      </x:c>
      <x:c r="B146" s="25" t="str">
        <x:v>/v1/platform/tenants</x:v>
      </x:c>
      <x:c r="C146" s="25" t="str">
        <x:v>request_tenant</x:v>
      </x:c>
      <x:c r="D146" s="25" t="str">
        <x:v>1.2.0</x:v>
      </x:c>
      <x:c r="E146" s="25" t="str">
        <x:v>openapi-platform.json</x:v>
      </x:c>
    </x:row>
    <x:row r="147" ht="76" customHeight="1">
      <x:c r="A147" s="25" t="str">
        <x:v>POST</x:v>
      </x:c>
      <x:c r="B147" s="25" t="str">
        <x:v>/v1/platform/tenants/{tenant_id}/actions/accept-owner</x:v>
      </x:c>
      <x:c r="C147" s="25" t="str">
        <x:v>tenant_accept_owner</x:v>
      </x:c>
      <x:c r="D147" s="25" t="str">
        <x:v>1.2.0</x:v>
      </x:c>
      <x:c r="E147" s="25" t="str">
        <x:v>openapi-platform.json</x:v>
      </x:c>
    </x:row>
    <x:row r="148" ht="76" customHeight="1">
      <x:c r="A148" s="25" t="str">
        <x:v>POST</x:v>
      </x:c>
      <x:c r="B148" s="25" t="str">
        <x:v>/v1/platform/tenants/{tenant_id}/actions/activate</x:v>
      </x:c>
      <x:c r="C148" s="25" t="str">
        <x:v>tenant_activate</x:v>
      </x:c>
      <x:c r="D148" s="25" t="str">
        <x:v>1.2.0</x:v>
      </x:c>
      <x:c r="E148" s="25" t="str">
        <x:v>openapi-platform.json</x:v>
      </x:c>
    </x:row>
    <x:row r="149" ht="76" customHeight="1">
      <x:c r="A149" s="25" t="str">
        <x:v>POST</x:v>
      </x:c>
      <x:c r="B149" s="25" t="str">
        <x:v>/v1/platform/tenants/{tenant_id}/actions/begin-closure</x:v>
      </x:c>
      <x:c r="C149" s="25" t="str">
        <x:v>tenant_begin_closure</x:v>
      </x:c>
      <x:c r="D149" s="25" t="str">
        <x:v>1.2.0</x:v>
      </x:c>
      <x:c r="E149" s="25" t="str">
        <x:v>openapi-platform.json</x:v>
      </x:c>
    </x:row>
    <x:row r="150" ht="76" customHeight="1">
      <x:c r="A150" s="25" t="str">
        <x:v>POST</x:v>
      </x:c>
      <x:c r="B150" s="25" t="str">
        <x:v>/v1/platform/tenants/{tenant_id}/actions/reactivate</x:v>
      </x:c>
      <x:c r="C150" s="25" t="str">
        <x:v>tenant_reactivate</x:v>
      </x:c>
      <x:c r="D150" s="25" t="str">
        <x:v>1.2.0</x:v>
      </x:c>
      <x:c r="E150" s="25" t="str">
        <x:v>openapi-platform.json</x:v>
      </x:c>
    </x:row>
    <x:row r="151" ht="76" customHeight="1">
      <x:c r="A151" s="25" t="str">
        <x:v>POST</x:v>
      </x:c>
      <x:c r="B151" s="25" t="str">
        <x:v>/v1/platform/tenants/{tenant_id}/actions/suspend</x:v>
      </x:c>
      <x:c r="C151" s="25" t="str">
        <x:v>tenant_suspend</x:v>
      </x:c>
      <x:c r="D151" s="25" t="str">
        <x:v>1.2.0</x:v>
      </x:c>
      <x:c r="E151" s="25" t="str">
        <x:v>openapi-platform.json</x:v>
      </x:c>
    </x:row>
    <x:row r="152" ht="76" customHeight="1">
      <x:c r="A152" s="25" t="str">
        <x:v>GET</x:v>
      </x:c>
      <x:c r="B152" s="25" t="str">
        <x:v>/v1/platform/access-bootstraps</x:v>
      </x:c>
      <x:c r="C152" s="25" t="str">
        <x:v>list_initial_access</x:v>
      </x:c>
      <x:c r="D152" s="25" t="str">
        <x:v>1.2.0</x:v>
      </x:c>
      <x:c r="E152" s="25" t="str">
        <x:v>openapi-platform.json</x:v>
      </x:c>
    </x:row>
    <x:row r="153" ht="76" customHeight="1">
      <x:c r="A153" s="25" t="str">
        <x:v>POST</x:v>
      </x:c>
      <x:c r="B153" s="25" t="str">
        <x:v>/v1/platform/tenants/{tenant_id}/access-bootstrap</x:v>
      </x:c>
      <x:c r="C153" s="25" t="str">
        <x:v>request_initial_access</x:v>
      </x:c>
      <x:c r="D153" s="25" t="str">
        <x:v>1.2.0</x:v>
      </x:c>
      <x:c r="E153" s="25" t="str">
        <x:v>openapi-platform.json</x:v>
      </x:c>
    </x:row>
    <x:row r="154" ht="76" customHeight="1">
      <x:c r="A154" s="25" t="str">
        <x:v>POST</x:v>
      </x:c>
      <x:c r="B154" s="25" t="str">
        <x:v>/v1/platform/access-bootstraps/{request_id}/actions/accept</x:v>
      </x:c>
      <x:c r="C154" s="25" t="str">
        <x:v>initial_access_accept</x:v>
      </x:c>
      <x:c r="D154" s="25" t="str">
        <x:v>1.2.0</x:v>
      </x:c>
      <x:c r="E154" s="25" t="str">
        <x:v>openapi-platform.json</x:v>
      </x:c>
    </x:row>
    <x:row r="155" ht="76" customHeight="1">
      <x:c r="A155" s="25" t="str">
        <x:v>POST</x:v>
      </x:c>
      <x:c r="B155" s="25" t="str">
        <x:v>/v1/platform/access-bootstraps/{request_id}/actions/approve</x:v>
      </x:c>
      <x:c r="C155" s="25" t="str">
        <x:v>initial_access_approve</x:v>
      </x:c>
      <x:c r="D155" s="25" t="str">
        <x:v>1.2.0</x:v>
      </x:c>
      <x:c r="E155" s="25" t="str">
        <x:v>openapi-platform.json</x:v>
      </x:c>
    </x:row>
    <x:row r="156" ht="76" customHeight="1">
      <x:c r="A156" s="25" t="str">
        <x:v>POST</x:v>
      </x:c>
      <x:c r="B156" s="25" t="str">
        <x:v>/v1/platform/access-bootstraps/{request_id}/actions/cancel</x:v>
      </x:c>
      <x:c r="C156" s="25" t="str">
        <x:v>initial_access_cancel</x:v>
      </x:c>
      <x:c r="D156" s="25" t="str">
        <x:v>1.2.0</x:v>
      </x:c>
      <x:c r="E156" s="25" t="str">
        <x:v>openapi-platform.json</x:v>
      </x:c>
    </x:row>
    <x:row r="157" ht="76" customHeight="1">
      <x:c r="A157" s="25" t="str">
        <x:v>POST</x:v>
      </x:c>
      <x:c r="B157" s="25" t="str">
        <x:v>/v1/platform/access-bootstraps/{request_id}/actions/reject</x:v>
      </x:c>
      <x:c r="C157" s="25" t="str">
        <x:v>initial_access_reject</x:v>
      </x:c>
      <x:c r="D157" s="25" t="str">
        <x:v>1.2.0</x:v>
      </x:c>
      <x:c r="E157" s="25" t="str">
        <x:v>openapi-platform.json</x:v>
      </x:c>
    </x:row>
    <x:row r="158" ht="76" customHeight="1">
      <x:c r="A158" s="25" t="str">
        <x:v>GET</x:v>
      </x:c>
      <x:c r="B158" s="25" t="str">
        <x:v>/v1/platform/recovery-contacts</x:v>
      </x:c>
      <x:c r="C158" s="25" t="str">
        <x:v>list_recovery_contacts</x:v>
      </x:c>
      <x:c r="D158" s="25" t="str">
        <x:v>1.2.0</x:v>
      </x:c>
      <x:c r="E158" s="25" t="str">
        <x:v>openapi-platform.json</x:v>
      </x:c>
    </x:row>
    <x:row r="159" ht="76" customHeight="1">
      <x:c r="A159" s="25" t="str">
        <x:v>POST</x:v>
      </x:c>
      <x:c r="B159" s="25" t="str">
        <x:v>/v1/platform/tenants/{tenant_id}/recovery-contacts</x:v>
      </x:c>
      <x:c r="C159" s="25" t="str">
        <x:v>nominate_recovery_contact</x:v>
      </x:c>
      <x:c r="D159" s="25" t="str">
        <x:v>1.2.0</x:v>
      </x:c>
      <x:c r="E159" s="25" t="str">
        <x:v>openapi-platform.json</x:v>
      </x:c>
    </x:row>
    <x:row r="160" ht="76" customHeight="1">
      <x:c r="A160" s="25" t="str">
        <x:v>POST</x:v>
      </x:c>
      <x:c r="B160" s="25" t="str">
        <x:v>/v1/platform/recovery-contacts/{contact_id}/actions/approve</x:v>
      </x:c>
      <x:c r="C160" s="25" t="str">
        <x:v>recovery_contact_approve</x:v>
      </x:c>
      <x:c r="D160" s="25" t="str">
        <x:v>1.2.0</x:v>
      </x:c>
      <x:c r="E160" s="25" t="str">
        <x:v>openapi-platform.json</x:v>
      </x:c>
    </x:row>
    <x:row r="161" ht="76" customHeight="1">
      <x:c r="A161" s="25" t="str">
        <x:v>POST</x:v>
      </x:c>
      <x:c r="B161" s="25" t="str">
        <x:v>/v1/platform/recovery-contacts/{contact_id}/actions/cancel</x:v>
      </x:c>
      <x:c r="C161" s="25" t="str">
        <x:v>recovery_contact_cancel</x:v>
      </x:c>
      <x:c r="D161" s="25" t="str">
        <x:v>1.2.0</x:v>
      </x:c>
      <x:c r="E161" s="25" t="str">
        <x:v>openapi-platform.json</x:v>
      </x:c>
    </x:row>
    <x:row r="162" ht="76" customHeight="1">
      <x:c r="A162" s="25" t="str">
        <x:v>POST</x:v>
      </x:c>
      <x:c r="B162" s="25" t="str">
        <x:v>/v1/platform/recovery-contacts/{contact_id}/actions/decline</x:v>
      </x:c>
      <x:c r="C162" s="25" t="str">
        <x:v>recovery_contact_decline</x:v>
      </x:c>
      <x:c r="D162" s="25" t="str">
        <x:v>1.2.0</x:v>
      </x:c>
      <x:c r="E162" s="25" t="str">
        <x:v>openapi-platform.json</x:v>
      </x:c>
    </x:row>
    <x:row r="163" ht="76" customHeight="1">
      <x:c r="A163" s="25" t="str">
        <x:v>POST</x:v>
      </x:c>
      <x:c r="B163" s="25" t="str">
        <x:v>/v1/platform/recovery-contacts/{contact_id}/actions/reject</x:v>
      </x:c>
      <x:c r="C163" s="25" t="str">
        <x:v>recovery_contact_reject</x:v>
      </x:c>
      <x:c r="D163" s="25" t="str">
        <x:v>1.2.0</x:v>
      </x:c>
      <x:c r="E163" s="25" t="str">
        <x:v>openapi-platform.json</x:v>
      </x:c>
    </x:row>
    <x:row r="164" ht="76" customHeight="1">
      <x:c r="A164" s="25" t="str">
        <x:v>POST</x:v>
      </x:c>
      <x:c r="B164" s="25" t="str">
        <x:v>/v1/platform/recovery-contacts/{contact_id}/actions/revoke</x:v>
      </x:c>
      <x:c r="C164" s="25" t="str">
        <x:v>recovery_contact_revoke</x:v>
      </x:c>
      <x:c r="D164" s="25" t="str">
        <x:v>1.2.0</x:v>
      </x:c>
      <x:c r="E164" s="25" t="str">
        <x:v>openapi-platform.json</x:v>
      </x:c>
    </x:row>
    <x:row r="165" ht="76" customHeight="1">
      <x:c r="A165" s="25" t="str">
        <x:v>POST</x:v>
      </x:c>
      <x:c r="B165" s="25" t="str">
        <x:v>/v1/platform/recovery-contacts/{contact_id}/actions/verify</x:v>
      </x:c>
      <x:c r="C165" s="25" t="str">
        <x:v>recovery_contact_verify</x:v>
      </x:c>
      <x:c r="D165" s="25" t="str">
        <x:v>1.2.0</x:v>
      </x:c>
      <x:c r="E165" s="25" t="str">
        <x:v>openapi-platform.json</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5" hidden="0" customWidth="1"/>
    <x:col min="2" max="2" width="16" hidden="0" customWidth="1"/>
    <x:col min="3" max="3" width="78" hidden="0" customWidth="1"/>
    <x:col min="4" max="4" width="13" hidden="0" customWidth="1"/>
    <x:col min="5" max="5" width="52" hidden="0" customWidth="1"/>
    <x:col min="6" max="6" width="55" hidden="0" customWidth="1"/>
    <x:col min="7" max="7" width="60" hidden="0" customWidth="1"/>
    <x:col min="8" max="8" width="28" hidden="0" customWidth="1"/>
  </x:cols>
  <x:sheetData>
    <x:row r="1">
      <x:c r="A1" s="20"/>
      <x:c r="B1" s="20"/>
      <x:c r="C1" s="20"/>
      <x:c r="D1" s="20"/>
      <x:c r="E1" s="20"/>
      <x:c r="F1" s="20"/>
      <x:c r="G1" s="20"/>
      <x:c r="H1" s="20"/>
    </x:row>
    <x:row r="2">
      <x:c r="A2" s="27" t="str">
        <x:v>Recorded development qualification for build 0.12.0</x:v>
      </x:c>
      <x:c r="B2" s="20"/>
      <x:c r="C2" s="20"/>
      <x:c r="D2" s="20"/>
      <x:c r="E2" s="20"/>
      <x:c r="F2" s="20"/>
      <x:c r="G2" s="20"/>
      <x:c r="H2" s="20"/>
    </x:row>
    <x:row r="3">
      <x:c r="A3" s="20"/>
      <x:c r="B3" s="20"/>
      <x:c r="C3" s="20"/>
      <x:c r="D3" s="20"/>
      <x:c r="E3" s="20"/>
      <x:c r="F3" s="20"/>
      <x:c r="G3" s="20"/>
      <x:c r="H3" s="20"/>
    </x:row>
    <x:row r="4">
      <x:c r="A4" s="20" t="str">
        <x:v>Exact automated identities; one reference-run row represents 143 design assertions.</x:v>
      </x:c>
      <x:c r="B4" s="20"/>
      <x:c r="C4" s="20"/>
      <x:c r="D4" s="20"/>
      <x:c r="E4" s="20"/>
      <x:c r="F4" s="20"/>
      <x:c r="G4" s="20"/>
      <x:c r="H4" s="20"/>
    </x:row>
    <x:row r="5">
      <x:c r="A5" s="20"/>
      <x:c r="B5" s="20"/>
      <x:c r="C5" s="20"/>
      <x:c r="D5" s="20"/>
      <x:c r="E5" s="20"/>
      <x:c r="F5" s="20"/>
      <x:c r="G5" s="20"/>
      <x:c r="H5" s="20"/>
    </x:row>
    <x:row r="6" ht="34" customHeight="1">
      <x:c r="A6" s="24" t="str">
        <x:v>Run ID</x:v>
      </x:c>
      <x:c r="B6" s="24" t="str">
        <x:v>Suite</x:v>
      </x:c>
      <x:c r="C6" s="24" t="str">
        <x:v>Test or workflow</x:v>
      </x:c>
      <x:c r="D6" s="24" t="str">
        <x:v>Result</x:v>
      </x:c>
      <x:c r="E6" s="24" t="str">
        <x:v>Evidence file</x:v>
      </x:c>
      <x:c r="F6" s="24" t="str">
        <x:v>Assessed requirement links</x:v>
      </x:c>
      <x:c r="G6" s="24" t="str">
        <x:v>Scope limit</x:v>
      </x:c>
      <x:c r="H6" s="24" t="str">
        <x:v>Recorded run date</x:v>
      </x:c>
    </x:row>
    <x:row r="7" ht="76" customHeight="1">
      <x:c r="A7" s="25" t="str">
        <x:v>APP-001</x:v>
      </x:c>
      <x:c r="B7" s="25" t="str">
        <x:v>Application</x:v>
      </x:c>
      <x:c r="C7" s="25" t="str">
        <x:v>qualification.test_access_bootstrap::test_onboarding_to_first_programme_requires_two_reviews</x:v>
      </x:c>
      <x:c r="D7" s="25" t="str">
        <x:v>Pass</x:v>
      </x:c>
      <x:c r="E7" s="25" t="str">
        <x:v>docs/evidence/application-tests.xml</x:v>
      </x:c>
      <x:c r="F7" s="25" t="str">
        <x:v>FR-TEN-001</x:v>
      </x:c>
      <x:c r="G7" s="25" t="str">
        <x:v>Automated assertion only; requirement-level mapping is partial</x:v>
      </x:c>
      <x:c r="H7" s="25" t="n">
        <x:v>46292.90018603009</x:v>
      </x:c>
    </x:row>
    <x:row r="8" ht="76" customHeight="1">
      <x:c r="A8" s="25" t="str">
        <x:v>APP-002</x:v>
      </x:c>
      <x:c r="B8" s="25" t="str">
        <x:v>Application</x:v>
      </x:c>
      <x:c r="C8" s="25" t="str">
        <x:v>qualification.test_access_bootstrap::test_request_is_owner_only_and_unknown_fields_are_closed</x:v>
      </x:c>
      <x:c r="D8" s="25" t="str">
        <x:v>Pass</x:v>
      </x:c>
      <x:c r="E8" s="25" t="str">
        <x:v>docs/evidence/application-tests.xml</x:v>
      </x:c>
      <x:c r="F8" s="25" t="str">
        <x:v>FR-TEN-001</x:v>
      </x:c>
      <x:c r="G8" s="25" t="str">
        <x:v>Automated assertion only; requirement-level mapping is partial</x:v>
      </x:c>
      <x:c r="H8" s="25" t="n">
        <x:v>46292.90018603009</x:v>
      </x:c>
    </x:row>
    <x:row r="9" ht="76" customHeight="1">
      <x:c r="A9" s="25" t="str">
        <x:v>APP-003</x:v>
      </x:c>
      <x:c r="B9" s="25" t="str">
        <x:v>Application</x:v>
      </x:c>
      <x:c r="C9" s="25" t="str">
        <x:v>qualification.test_access_bootstrap::test_invalid_initial_authority_packages[changes0-422]</x:v>
      </x:c>
      <x:c r="D9" s="25" t="str">
        <x:v>Pass</x:v>
      </x:c>
      <x:c r="E9" s="25" t="str">
        <x:v>docs/evidence/application-tests.xml</x:v>
      </x:c>
      <x:c r="F9" s="25" t="str">
        <x:v>FR-TEN-001</x:v>
      </x:c>
      <x:c r="G9" s="25" t="str">
        <x:v>Automated assertion only; requirement-level mapping is partial</x:v>
      </x:c>
      <x:c r="H9" s="25" t="n">
        <x:v>46292.90018603009</x:v>
      </x:c>
    </x:row>
    <x:row r="10" ht="76" customHeight="1">
      <x:c r="A10" s="25" t="str">
        <x:v>APP-004</x:v>
      </x:c>
      <x:c r="B10" s="25" t="str">
        <x:v>Application</x:v>
      </x:c>
      <x:c r="C10" s="25" t="str">
        <x:v>qualification.test_access_bootstrap::test_invalid_initial_authority_packages[changes1-422]</x:v>
      </x:c>
      <x:c r="D10" s="25" t="str">
        <x:v>Pass</x:v>
      </x:c>
      <x:c r="E10" s="25" t="str">
        <x:v>docs/evidence/application-tests.xml</x:v>
      </x:c>
      <x:c r="F10" s="25" t="str">
        <x:v>FR-TEN-001</x:v>
      </x:c>
      <x:c r="G10" s="25" t="str">
        <x:v>Automated assertion only; requirement-level mapping is partial</x:v>
      </x:c>
      <x:c r="H10" s="25" t="n">
        <x:v>46292.90018603009</x:v>
      </x:c>
    </x:row>
    <x:row r="11" ht="76" customHeight="1">
      <x:c r="A11" s="25" t="str">
        <x:v>APP-005</x:v>
      </x:c>
      <x:c r="B11" s="25" t="str">
        <x:v>Application</x:v>
      </x:c>
      <x:c r="C11" s="25" t="str">
        <x:v>qualification.test_access_bootstrap::test_invalid_initial_authority_packages[changes2-422]</x:v>
      </x:c>
      <x:c r="D11" s="25" t="str">
        <x:v>Pass</x:v>
      </x:c>
      <x:c r="E11" s="25" t="str">
        <x:v>docs/evidence/application-tests.xml</x:v>
      </x:c>
      <x:c r="F11" s="25" t="str">
        <x:v>FR-TEN-001</x:v>
      </x:c>
      <x:c r="G11" s="25" t="str">
        <x:v>Automated assertion only; requirement-level mapping is partial</x:v>
      </x:c>
      <x:c r="H11" s="25" t="n">
        <x:v>46292.90018603009</x:v>
      </x:c>
    </x:row>
    <x:row r="12" ht="76" customHeight="1">
      <x:c r="A12" s="25" t="str">
        <x:v>APP-006</x:v>
      </x:c>
      <x:c r="B12" s="25" t="str">
        <x:v>Application</x:v>
      </x:c>
      <x:c r="C12" s="25" t="str">
        <x:v>qualification.test_access_bootstrap::test_invalid_initial_authority_packages[changes3-422]</x:v>
      </x:c>
      <x:c r="D12" s="25" t="str">
        <x:v>Pass</x:v>
      </x:c>
      <x:c r="E12" s="25" t="str">
        <x:v>docs/evidence/application-tests.xml</x:v>
      </x:c>
      <x:c r="F12" s="25" t="str">
        <x:v>FR-TEN-001</x:v>
      </x:c>
      <x:c r="G12" s="25" t="str">
        <x:v>Automated assertion only; requirement-level mapping is partial</x:v>
      </x:c>
      <x:c r="H12" s="25" t="n">
        <x:v>46292.90018603009</x:v>
      </x:c>
    </x:row>
    <x:row r="13" ht="76" customHeight="1">
      <x:c r="A13" s="25" t="str">
        <x:v>APP-007</x:v>
      </x:c>
      <x:c r="B13" s="25" t="str">
        <x:v>Application</x:v>
      </x:c>
      <x:c r="C13" s="25" t="str">
        <x:v>qualification.test_access_bootstrap::test_invalid_initial_authority_packages[changes4-422]</x:v>
      </x:c>
      <x:c r="D13" s="25" t="str">
        <x:v>Pass</x:v>
      </x:c>
      <x:c r="E13" s="25" t="str">
        <x:v>docs/evidence/application-tests.xml</x:v>
      </x:c>
      <x:c r="F13" s="25" t="str">
        <x:v>FR-TEN-001</x:v>
      </x:c>
      <x:c r="G13" s="25" t="str">
        <x:v>Automated assertion only; requirement-level mapping is partial</x:v>
      </x:c>
      <x:c r="H13" s="25" t="n">
        <x:v>46292.90018603009</x:v>
      </x:c>
    </x:row>
    <x:row r="14" ht="76" customHeight="1">
      <x:c r="A14" s="25" t="str">
        <x:v>APP-008</x:v>
      </x:c>
      <x:c r="B14" s="25" t="str">
        <x:v>Application</x:v>
      </x:c>
      <x:c r="C14" s="25" t="str">
        <x:v>qualification.test_access_bootstrap::test_invalid_initial_authority_packages[changes5-409]</x:v>
      </x:c>
      <x:c r="D14" s="25" t="str">
        <x:v>Pass</x:v>
      </x:c>
      <x:c r="E14" s="25" t="str">
        <x:v>docs/evidence/application-tests.xml</x:v>
      </x:c>
      <x:c r="F14" s="25" t="str">
        <x:v>FR-TEN-001</x:v>
      </x:c>
      <x:c r="G14" s="25" t="str">
        <x:v>Automated assertion only; requirement-level mapping is partial</x:v>
      </x:c>
      <x:c r="H14" s="25" t="n">
        <x:v>46292.90018603009</x:v>
      </x:c>
    </x:row>
    <x:row r="15" ht="76" customHeight="1">
      <x:c r="A15" s="25" t="str">
        <x:v>APP-009</x:v>
      </x:c>
      <x:c r="B15" s="25" t="str">
        <x:v>Application</x:v>
      </x:c>
      <x:c r="C15" s="25" t="str">
        <x:v>qualification.test_access_bootstrap::test_invalid_initial_authority_packages[changes6-404]</x:v>
      </x:c>
      <x:c r="D15" s="25" t="str">
        <x:v>Pass</x:v>
      </x:c>
      <x:c r="E15" s="25" t="str">
        <x:v>docs/evidence/application-tests.xml</x:v>
      </x:c>
      <x:c r="F15" s="25" t="str">
        <x:v>FR-TEN-001</x:v>
      </x:c>
      <x:c r="G15" s="25" t="str">
        <x:v>Automated assertion only; requirement-level mapping is partial</x:v>
      </x:c>
      <x:c r="H15" s="25" t="n">
        <x:v>46292.90018603009</x:v>
      </x:c>
    </x:row>
    <x:row r="16" ht="76" customHeight="1">
      <x:c r="A16" s="25" t="str">
        <x:v>APP-010</x:v>
      </x:c>
      <x:c r="B16" s="25" t="str">
        <x:v>Application</x:v>
      </x:c>
      <x:c r="C16" s="25" t="str">
        <x:v>qualification.test_access_bootstrap::test_same_natural_person_cannot_be_second_admin</x:v>
      </x:c>
      <x:c r="D16" s="25" t="str">
        <x:v>Pass</x:v>
      </x:c>
      <x:c r="E16" s="25" t="str">
        <x:v>docs/evidence/application-tests.xml</x:v>
      </x:c>
      <x:c r="F16" s="25" t="str">
        <x:v>FR-TEN-001</x:v>
      </x:c>
      <x:c r="G16" s="25" t="str">
        <x:v>Automated assertion only; requirement-level mapping is partial</x:v>
      </x:c>
      <x:c r="H16" s="25" t="n">
        <x:v>46292.90018603009</x:v>
      </x:c>
    </x:row>
    <x:row r="17" ht="76" customHeight="1">
      <x:c r="A17" s="25" t="str">
        <x:v>APP-011</x:v>
      </x:c>
      <x:c r="B17" s="25" t="str">
        <x:v>Application</x:v>
      </x:c>
      <x:c r="C17" s="25" t="str">
        <x:v>qualification.test_access_bootstrap::test_approval_independence_applies_across_identity_aliases</x:v>
      </x:c>
      <x:c r="D17" s="25" t="str">
        <x:v>Pass</x:v>
      </x:c>
      <x:c r="E17" s="25" t="str">
        <x:v>docs/evidence/application-tests.xml</x:v>
      </x:c>
      <x:c r="F17" s="25" t="str">
        <x:v>FR-TEN-001</x:v>
      </x:c>
      <x:c r="G17" s="25" t="str">
        <x:v>Automated assertion only; requirement-level mapping is partial</x:v>
      </x:c>
      <x:c r="H17" s="25" t="n">
        <x:v>46292.90018603009</x:v>
      </x:c>
    </x:row>
    <x:row r="18" ht="76" customHeight="1">
      <x:c r="A18" s="25" t="str">
        <x:v>APP-012</x:v>
      </x:c>
      <x:c r="B18" s="25" t="str">
        <x:v>Application</x:v>
      </x:c>
      <x:c r="C18" s="25" t="str">
        <x:v>qualification.test_access_bootstrap::test_private_inbox_nominee_binding_and_fresh_assurance</x:v>
      </x:c>
      <x:c r="D18" s="25" t="str">
        <x:v>Pass</x:v>
      </x:c>
      <x:c r="E18" s="25" t="str">
        <x:v>docs/evidence/application-tests.xml</x:v>
      </x:c>
      <x:c r="F18" s="25" t="str">
        <x:v>FR-TEN-001</x:v>
      </x:c>
      <x:c r="G18" s="25" t="str">
        <x:v>Automated assertion only; requirement-level mapping is partial</x:v>
      </x:c>
      <x:c r="H18" s="25" t="n">
        <x:v>46292.90018603009</x:v>
      </x:c>
    </x:row>
    <x:row r="19" ht="76" customHeight="1">
      <x:c r="A19" s="25" t="str">
        <x:v>APP-013</x:v>
      </x:c>
      <x:c r="B19" s="25" t="str">
        <x:v>Application</x:v>
      </x:c>
      <x:c r="C19" s="25" t="str">
        <x:v>qualification.test_access_bootstrap::test_idempotent_once_only_and_replay_cannot_restore_revoked_grants</x:v>
      </x:c>
      <x:c r="D19" s="25" t="str">
        <x:v>Pass</x:v>
      </x:c>
      <x:c r="E19" s="25" t="str">
        <x:v>docs/evidence/application-tests.xml</x:v>
      </x:c>
      <x:c r="F19" s="25" t="str">
        <x:v>FR-TEN-001</x:v>
      </x:c>
      <x:c r="G19" s="25" t="str">
        <x:v>Automated assertion only; requirement-level mapping is partial</x:v>
      </x:c>
      <x:c r="H19" s="25" t="n">
        <x:v>46292.90018603009</x:v>
      </x:c>
    </x:row>
    <x:row r="20" ht="76" customHeight="1">
      <x:c r="A20" s="25" t="str">
        <x:v>APP-014</x:v>
      </x:c>
      <x:c r="B20" s="25" t="str">
        <x:v>Application</x:v>
      </x:c>
      <x:c r="C20" s="25" t="str">
        <x:v>qualification.test_access_bootstrap::test_approval_rechecks_pinned_context_and_consent[tenant-409]</x:v>
      </x:c>
      <x:c r="D20" s="25" t="str">
        <x:v>Pass</x:v>
      </x:c>
      <x:c r="E20" s="25" t="str">
        <x:v>docs/evidence/application-tests.xml</x:v>
      </x:c>
      <x:c r="F20" s="25" t="str">
        <x:v>FR-TEN-001</x:v>
      </x:c>
      <x:c r="G20" s="25" t="str">
        <x:v>Automated assertion only; requirement-level mapping is partial</x:v>
      </x:c>
      <x:c r="H20" s="25" t="n">
        <x:v>46292.90018603009</x:v>
      </x:c>
    </x:row>
    <x:row r="21" ht="76" customHeight="1">
      <x:c r="A21" s="25" t="str">
        <x:v>APP-015</x:v>
      </x:c>
      <x:c r="B21" s="25" t="str">
        <x:v>Application</x:v>
      </x:c>
      <x:c r="C21" s="25" t="str">
        <x:v>qualification.test_access_bootstrap::test_approval_rechecks_pinned_context_and_consent[owner-409]</x:v>
      </x:c>
      <x:c r="D21" s="25" t="str">
        <x:v>Pass</x:v>
      </x:c>
      <x:c r="E21" s="25" t="str">
        <x:v>docs/evidence/application-tests.xml</x:v>
      </x:c>
      <x:c r="F21" s="25" t="str">
        <x:v>FR-TEN-001</x:v>
      </x:c>
      <x:c r="G21" s="25" t="str">
        <x:v>Automated assertion only; requirement-level mapping is partial</x:v>
      </x:c>
      <x:c r="H21" s="25" t="n">
        <x:v>46292.90018603009</x:v>
      </x:c>
    </x:row>
    <x:row r="22" ht="76" customHeight="1">
      <x:c r="A22" s="25" t="str">
        <x:v>APP-016</x:v>
      </x:c>
      <x:c r="B22" s="25" t="str">
        <x:v>Application</x:v>
      </x:c>
      <x:c r="C22" s="25" t="str">
        <x:v>qualification.test_access_bootstrap::test_approval_rechecks_pinned_context_and_consent[expired-403]</x:v>
      </x:c>
      <x:c r="D22" s="25" t="str">
        <x:v>Pass</x:v>
      </x:c>
      <x:c r="E22" s="25" t="str">
        <x:v>docs/evidence/application-tests.xml</x:v>
      </x:c>
      <x:c r="F22" s="25" t="str">
        <x:v>FR-TEN-001</x:v>
      </x:c>
      <x:c r="G22" s="25" t="str">
        <x:v>Automated assertion only; requirement-level mapping is partial</x:v>
      </x:c>
      <x:c r="H22" s="25" t="n">
        <x:v>46292.90018603009</x:v>
      </x:c>
    </x:row>
    <x:row r="23" ht="76" customHeight="1">
      <x:c r="A23" s="25" t="str">
        <x:v>APP-017</x:v>
      </x:c>
      <x:c r="B23" s="25" t="str">
        <x:v>Application</x:v>
      </x:c>
      <x:c r="C23" s="25" t="str">
        <x:v>qualification.test_access_bootstrap::test_approval_rechecks_pinned_context_and_consent[profile-409]</x:v>
      </x:c>
      <x:c r="D23" s="25" t="str">
        <x:v>Pass</x:v>
      </x:c>
      <x:c r="E23" s="25" t="str">
        <x:v>docs/evidence/application-tests.xml</x:v>
      </x:c>
      <x:c r="F23" s="25" t="str">
        <x:v>FR-TEN-001</x:v>
      </x:c>
      <x:c r="G23" s="25" t="str">
        <x:v>Automated assertion only; requirement-level mapping is partial</x:v>
      </x:c>
      <x:c r="H23" s="25" t="n">
        <x:v>46292.90018603009</x:v>
      </x:c>
    </x:row>
    <x:row r="24" ht="76" customHeight="1">
      <x:c r="A24" s="25" t="str">
        <x:v>APP-018</x:v>
      </x:c>
      <x:c r="B24" s="25" t="str">
        <x:v>Application</x:v>
      </x:c>
      <x:c r="C24" s="25" t="str">
        <x:v>qualification.test_access_bootstrap::test_approval_rechecks_pinned_context_and_consent[qualification-403]</x:v>
      </x:c>
      <x:c r="D24" s="25" t="str">
        <x:v>Pass</x:v>
      </x:c>
      <x:c r="E24" s="25" t="str">
        <x:v>docs/evidence/application-tests.xml</x:v>
      </x:c>
      <x:c r="F24" s="25" t="str">
        <x:v>FR-TEN-001</x:v>
      </x:c>
      <x:c r="G24" s="25" t="str">
        <x:v>Automated assertion only; requirement-level mapping is partial</x:v>
      </x:c>
      <x:c r="H24" s="25" t="n">
        <x:v>46292.90018603009</x:v>
      </x:c>
    </x:row>
    <x:row r="25" ht="76" customHeight="1">
      <x:c r="A25" s="25" t="str">
        <x:v>APP-019</x:v>
      </x:c>
      <x:c r="B25" s="25" t="str">
        <x:v>Application</x:v>
      </x:c>
      <x:c r="C25" s="25" t="str">
        <x:v>qualification.test_access_bootstrap::test_approval_rechecks_pinned_context_and_consent[owner_cutoff-403]</x:v>
      </x:c>
      <x:c r="D25" s="25" t="str">
        <x:v>Pass</x:v>
      </x:c>
      <x:c r="E25" s="25" t="str">
        <x:v>docs/evidence/application-tests.xml</x:v>
      </x:c>
      <x:c r="F25" s="25" t="str">
        <x:v>FR-TEN-001</x:v>
      </x:c>
      <x:c r="G25" s="25" t="str">
        <x:v>Automated assertion only; requirement-level mapping is partial</x:v>
      </x:c>
      <x:c r="H25" s="25" t="n">
        <x:v>46292.90018603009</x:v>
      </x:c>
    </x:row>
    <x:row r="26" ht="76" customHeight="1">
      <x:c r="A26" s="25" t="str">
        <x:v>APP-020</x:v>
      </x:c>
      <x:c r="B26" s="25" t="str">
        <x:v>Application</x:v>
      </x:c>
      <x:c r="C26" s="25" t="str">
        <x:v>qualification.test_access_bootstrap::test_approval_rechecks_pinned_context_and_consent[second_cutoff-403]</x:v>
      </x:c>
      <x:c r="D26" s="25" t="str">
        <x:v>Pass</x:v>
      </x:c>
      <x:c r="E26" s="25" t="str">
        <x:v>docs/evidence/application-tests.xml</x:v>
      </x:c>
      <x:c r="F26" s="25" t="str">
        <x:v>FR-TEN-001</x:v>
      </x:c>
      <x:c r="G26" s="25" t="str">
        <x:v>Automated assertion only; requirement-level mapping is partial</x:v>
      </x:c>
      <x:c r="H26" s="25" t="n">
        <x:v>46292.90018603009</x:v>
      </x:c>
    </x:row>
    <x:row r="27" ht="76" customHeight="1">
      <x:c r="A27" s="25" t="str">
        <x:v>APP-021</x:v>
      </x:c>
      <x:c r="B27" s="25" t="str">
        <x:v>Application</x:v>
      </x:c>
      <x:c r="C27" s="25" t="str">
        <x:v>qualification.test_access_bootstrap::test_suspension_blocks_acceptance_and_cancellation_allows_fresh_proposal</x:v>
      </x:c>
      <x:c r="D27" s="25" t="str">
        <x:v>Pass</x:v>
      </x:c>
      <x:c r="E27" s="25" t="str">
        <x:v>docs/evidence/application-tests.xml</x:v>
      </x:c>
      <x:c r="F27" s="25" t="str">
        <x:v>FR-TEN-001</x:v>
      </x:c>
      <x:c r="G27" s="25" t="str">
        <x:v>Automated assertion only; requirement-level mapping is partial</x:v>
      </x:c>
      <x:c r="H27" s="25" t="n">
        <x:v>46292.90018603009</x:v>
      </x:c>
    </x:row>
    <x:row r="28" ht="76" customHeight="1">
      <x:c r="A28" s="25" t="str">
        <x:v>APP-022</x:v>
      </x:c>
      <x:c r="B28" s="25" t="str">
        <x:v>Application</x:v>
      </x:c>
      <x:c r="C28" s="25" t="str">
        <x:v>qualification.test_access_bootstrap::test_revoked_operator_cannot_replay_approval</x:v>
      </x:c>
      <x:c r="D28" s="25" t="str">
        <x:v>Pass</x:v>
      </x:c>
      <x:c r="E28" s="25" t="str">
        <x:v>docs/evidence/application-tests.xml</x:v>
      </x:c>
      <x:c r="F28" s="25" t="str">
        <x:v>FR-TEN-001</x:v>
      </x:c>
      <x:c r="G28" s="25" t="str">
        <x:v>Automated assertion only; requirement-level mapping is partial</x:v>
      </x:c>
      <x:c r="H28" s="25" t="n">
        <x:v>46292.90018603009</x:v>
      </x:c>
    </x:row>
    <x:row r="29" ht="76" customHeight="1">
      <x:c r="A29" s="25" t="str">
        <x:v>APP-023</x:v>
      </x:c>
      <x:c r="B29" s="25" t="str">
        <x:v>Application</x:v>
      </x:c>
      <x:c r="C29" s="25" t="str">
        <x:v>qualification.test_access_bootstrap::test_runtime_cannot_manufacture_delegation_or_reset_marker</x:v>
      </x:c>
      <x:c r="D29" s="25" t="str">
        <x:v>Pass</x:v>
      </x:c>
      <x:c r="E29" s="25" t="str">
        <x:v>docs/evidence/application-tests.xml</x:v>
      </x:c>
      <x:c r="F29" s="25" t="str">
        <x:v>FR-TEN-001</x:v>
      </x:c>
      <x:c r="G29" s="25" t="str">
        <x:v>Automated assertion only; requirement-level mapping is partial</x:v>
      </x:c>
      <x:c r="H29" s="25" t="n">
        <x:v>46292.90018603009</x:v>
      </x:c>
    </x:row>
    <x:row r="30" ht="76" customHeight="1">
      <x:c r="A30" s="25" t="str">
        <x:v>APP-024</x:v>
      </x:c>
      <x:c r="B30" s="25" t="str">
        <x:v>Application</x:v>
      </x:c>
      <x:c r="C30" s="25" t="str">
        <x:v>qualification.test_access_bootstrap::test_unselected_capabilities_and_longer_grants_exceed_delegation_ceiling</x:v>
      </x:c>
      <x:c r="D30" s="25" t="str">
        <x:v>Pass</x:v>
      </x:c>
      <x:c r="E30" s="25" t="str">
        <x:v>docs/evidence/application-tests.xml</x:v>
      </x:c>
      <x:c r="F30" s="25" t="str">
        <x:v>FR-TEN-001</x:v>
      </x:c>
      <x:c r="G30" s="25" t="str">
        <x:v>Automated assertion only; requirement-level mapping is partial</x:v>
      </x:c>
      <x:c r="H30" s="25" t="n">
        <x:v>46292.90018603009</x:v>
      </x:c>
    </x:row>
    <x:row r="31" ht="76" customHeight="1">
      <x:c r="A31" s="25" t="str">
        <x:v>APP-025</x:v>
      </x:c>
      <x:c r="B31" s="25" t="str">
        <x:v>Application</x:v>
      </x:c>
      <x:c r="C31" s="25" t="str">
        <x:v>qualification.test_access_bootstrap::test_failure_after_provisioning_rolls_back_all_access_and_receipt</x:v>
      </x:c>
      <x:c r="D31" s="25" t="str">
        <x:v>Pass</x:v>
      </x:c>
      <x:c r="E31" s="25" t="str">
        <x:v>docs/evidence/application-tests.xml</x:v>
      </x:c>
      <x:c r="F31" s="25" t="str">
        <x:v>FR-TEN-001</x:v>
      </x:c>
      <x:c r="G31" s="25" t="str">
        <x:v>Automated assertion only; requirement-level mapping is partial</x:v>
      </x:c>
      <x:c r="H31" s="25" t="n">
        <x:v>46292.90018603009</x:v>
      </x:c>
    </x:row>
    <x:row r="32" ht="76" customHeight="1">
      <x:c r="A32" s="25" t="str">
        <x:v>APP-026</x:v>
      </x:c>
      <x:c r="B32" s="25" t="str">
        <x:v>Application</x:v>
      </x:c>
      <x:c r="C32" s="25" t="str">
        <x:v>qualification.test_administration::test_administration_closed_list_contracts[membership-directory-MemberDirectoryList]</x:v>
      </x:c>
      <x:c r="D32" s="25" t="str">
        <x:v>Pass</x:v>
      </x:c>
      <x:c r="E32" s="25" t="str">
        <x:v>docs/evidence/application-tests.xml</x:v>
      </x:c>
      <x:c r="F32" s="25" t="str">
        <x:v>FR-TEN-003; FR-IAM-001; FR-IAM-002; FR-IAM-009; FR-IAM-014; FR-ACC-003; FR-ACC-006; FR-ACC-012</x:v>
      </x:c>
      <x:c r="G32" s="25" t="str">
        <x:v>Automated assertion only; requirement-level mapping is partial</x:v>
      </x:c>
      <x:c r="H32" s="25" t="n">
        <x:v>46292.90018603009</x:v>
      </x:c>
    </x:row>
    <x:row r="33" ht="76" customHeight="1">
      <x:c r="A33" s="25" t="str">
        <x:v>APP-027</x:v>
      </x:c>
      <x:c r="B33" s="25" t="str">
        <x:v>Application</x:v>
      </x:c>
      <x:c r="C33" s="25" t="str">
        <x:v>qualification.test_administration::test_administration_closed_list_contracts[member-invitations-MemberInvitationList]</x:v>
      </x:c>
      <x:c r="D33" s="25" t="str">
        <x:v>Pass</x:v>
      </x:c>
      <x:c r="E33" s="25" t="str">
        <x:v>docs/evidence/application-tests.xml</x:v>
      </x:c>
      <x:c r="F33" s="25" t="str">
        <x:v>FR-TEN-003; FR-IAM-001; FR-IAM-002; FR-IAM-009; FR-IAM-014; FR-ACC-003; FR-ACC-006; FR-ACC-012</x:v>
      </x:c>
      <x:c r="G33" s="25" t="str">
        <x:v>Automated assertion only; requirement-level mapping is partial</x:v>
      </x:c>
      <x:c r="H33" s="25" t="n">
        <x:v>46292.90018603009</x:v>
      </x:c>
    </x:row>
    <x:row r="34" ht="76" customHeight="1">
      <x:c r="A34" s="25" t="str">
        <x:v>APP-028</x:v>
      </x:c>
      <x:c r="B34" s="25" t="str">
        <x:v>Application</x:v>
      </x:c>
      <x:c r="C34" s="25" t="str">
        <x:v>qualification.test_administration::test_administration_closed_list_contracts[role-templates-RoleTemplateList]</x:v>
      </x:c>
      <x:c r="D34" s="25" t="str">
        <x:v>Pass</x:v>
      </x:c>
      <x:c r="E34" s="25" t="str">
        <x:v>docs/evidence/application-tests.xml</x:v>
      </x:c>
      <x:c r="F34" s="25" t="str">
        <x:v>FR-TEN-003; FR-IAM-001; FR-IAM-002; FR-IAM-009; FR-IAM-014; FR-ACC-003; FR-ACC-006; FR-ACC-012</x:v>
      </x:c>
      <x:c r="G34" s="25" t="str">
        <x:v>Automated assertion only; requirement-level mapping is partial</x:v>
      </x:c>
      <x:c r="H34" s="25" t="n">
        <x:v>46292.90018603009</x:v>
      </x:c>
    </x:row>
    <x:row r="35" ht="76" customHeight="1">
      <x:c r="A35" s="25" t="str">
        <x:v>APP-029</x:v>
      </x:c>
      <x:c r="B35" s="25" t="str">
        <x:v>Application</x:v>
      </x:c>
      <x:c r="C35" s="25" t="str">
        <x:v>qualification.test_administration::test_administration_closed_list_contracts[access-scopes-AccessScopeList]</x:v>
      </x:c>
      <x:c r="D35" s="25" t="str">
        <x:v>Pass</x:v>
      </x:c>
      <x:c r="E35" s="25" t="str">
        <x:v>docs/evidence/application-tests.xml</x:v>
      </x:c>
      <x:c r="F35" s="25" t="str">
        <x:v>FR-TEN-003; FR-IAM-001; FR-IAM-002; FR-IAM-009; FR-IAM-014; FR-ACC-003; FR-ACC-006; FR-ACC-012</x:v>
      </x:c>
      <x:c r="G35" s="25" t="str">
        <x:v>Automated assertion only; requirement-level mapping is partial</x:v>
      </x:c>
      <x:c r="H35" s="25" t="n">
        <x:v>46292.90018603009</x:v>
      </x:c>
    </x:row>
    <x:row r="36" ht="76" customHeight="1">
      <x:c r="A36" s="25" t="str">
        <x:v>APP-030</x:v>
      </x:c>
      <x:c r="B36" s="25" t="str">
        <x:v>Application</x:v>
      </x:c>
      <x:c r="C36" s="25" t="str">
        <x:v>qualification.test_administration::test_administration_closed_list_contracts[access-requests-AccessRequestList]</x:v>
      </x:c>
      <x:c r="D36" s="25" t="str">
        <x:v>Pass</x:v>
      </x:c>
      <x:c r="E36" s="25" t="str">
        <x:v>docs/evidence/application-tests.xml</x:v>
      </x:c>
      <x:c r="F36" s="25" t="str">
        <x:v>FR-TEN-003; FR-IAM-001; FR-IAM-002; FR-IAM-009; FR-IAM-014; FR-ACC-003; FR-ACC-006; FR-ACC-012</x:v>
      </x:c>
      <x:c r="G36" s="25" t="str">
        <x:v>Automated assertion only; requirement-level mapping is partial</x:v>
      </x:c>
      <x:c r="H36" s="25" t="n">
        <x:v>46292.90018603009</x:v>
      </x:c>
    </x:row>
    <x:row r="37" ht="76" customHeight="1">
      <x:c r="A37" s="25" t="str">
        <x:v>APP-031</x:v>
      </x:c>
      <x:c r="B37" s="25" t="str">
        <x:v>Application</x:v>
      </x:c>
      <x:c r="C37" s="25" t="str">
        <x:v>qualification.test_administration::test_invitation_identity_single_use_exact_retry_and_no_token_storage</x:v>
      </x:c>
      <x:c r="D37" s="25" t="str">
        <x:v>Pass</x:v>
      </x:c>
      <x:c r="E37" s="25" t="str">
        <x:v>docs/evidence/application-tests.xml</x:v>
      </x:c>
      <x:c r="F37" s="25" t="str">
        <x:v>FR-TEN-003; FR-IAM-001; FR-IAM-002; FR-IAM-009; FR-IAM-014; FR-ACC-003; FR-ACC-006; FR-ACC-012</x:v>
      </x:c>
      <x:c r="G37" s="25" t="str">
        <x:v>Automated assertion only; requirement-level mapping is partial</x:v>
      </x:c>
      <x:c r="H37" s="25" t="n">
        <x:v>46292.90018603009</x:v>
      </x:c>
    </x:row>
    <x:row r="38" ht="76" customHeight="1">
      <x:c r="A38" s="25" t="str">
        <x:v>APP-032</x:v>
      </x:c>
      <x:c r="B38" s="25" t="str">
        <x:v>Application</x:v>
      </x:c>
      <x:c r="C38" s="25" t="str">
        <x:v>qualification.test_administration::test_reissue_invalidates_old_link_and_revoke_disables_new_link</x:v>
      </x:c>
      <x:c r="D38" s="25" t="str">
        <x:v>Pass</x:v>
      </x:c>
      <x:c r="E38" s="25" t="str">
        <x:v>docs/evidence/application-tests.xml</x:v>
      </x:c>
      <x:c r="F38" s="25" t="str">
        <x:v>FR-TEN-003; FR-IAM-001; FR-IAM-002; FR-IAM-009; FR-IAM-014; FR-ACC-003; FR-ACC-006; FR-ACC-012</x:v>
      </x:c>
      <x:c r="G38" s="25" t="str">
        <x:v>Automated assertion only; requirement-level mapping is partial</x:v>
      </x:c>
      <x:c r="H38" s="25" t="n">
        <x:v>46292.90018603009</x:v>
      </x:c>
    </x:row>
    <x:row r="39" ht="76" customHeight="1">
      <x:c r="A39" s="25" t="str">
        <x:v>APP-033</x:v>
      </x:c>
      <x:c r="B39" s="25" t="str">
        <x:v>Application</x:v>
      </x:c>
      <x:c r="C39" s="25" t="str">
        <x:v>qualification.test_administration::test_expired_invitation_and_wrong_tenant_are_denied</x:v>
      </x:c>
      <x:c r="D39" s="25" t="str">
        <x:v>Pass</x:v>
      </x:c>
      <x:c r="E39" s="25" t="str">
        <x:v>docs/evidence/application-tests.xml</x:v>
      </x:c>
      <x:c r="F39" s="25" t="str">
        <x:v>FR-TEN-003; FR-IAM-001; FR-IAM-002; FR-IAM-009; FR-IAM-014; FR-ACC-003; FR-ACC-006; FR-ACC-012</x:v>
      </x:c>
      <x:c r="G39" s="25" t="str">
        <x:v>Automated assertion only; requirement-level mapping is partial</x:v>
      </x:c>
      <x:c r="H39" s="25" t="n">
        <x:v>46292.90018603009</x:v>
      </x:c>
    </x:row>
    <x:row r="40" ht="76" customHeight="1">
      <x:c r="A40" s="25" t="str">
        <x:v>APP-034</x:v>
      </x:c>
      <x:c r="B40" s="25" t="str">
        <x:v>Application</x:v>
      </x:c>
      <x:c r="C40" s="25" t="str">
        <x:v>qualification.test_administration::test_invitation_checks_current_inviter_authority</x:v>
      </x:c>
      <x:c r="D40" s="25" t="str">
        <x:v>Pass</x:v>
      </x:c>
      <x:c r="E40" s="25" t="str">
        <x:v>docs/evidence/application-tests.xml</x:v>
      </x:c>
      <x:c r="F40" s="25" t="str">
        <x:v>FR-TEN-003; FR-IAM-001; FR-IAM-002; FR-IAM-009; FR-IAM-014; FR-ACC-003; FR-ACC-006; FR-ACC-012</x:v>
      </x:c>
      <x:c r="G40" s="25" t="str">
        <x:v>Automated assertion only; requirement-level mapping is partial</x:v>
      </x:c>
      <x:c r="H40" s="25" t="n">
        <x:v>46292.90018603009</x:v>
      </x:c>
    </x:row>
    <x:row r="41" ht="76" customHeight="1">
      <x:c r="A41" s="25" t="str">
        <x:v>APP-035</x:v>
      </x:c>
      <x:c r="B41" s="25" t="str">
        <x:v>Application</x:v>
      </x:c>
      <x:c r="C41" s="25" t="str">
        <x:v>qualification.test_administration::test_owner_custody_cannot_be_removed[suspend]</x:v>
      </x:c>
      <x:c r="D41" s="25" t="str">
        <x:v>Pass</x:v>
      </x:c>
      <x:c r="E41" s="25" t="str">
        <x:v>docs/evidence/application-tests.xml</x:v>
      </x:c>
      <x:c r="F41" s="25" t="str">
        <x:v>FR-TEN-003; FR-IAM-001; FR-IAM-002; FR-IAM-009; FR-IAM-014; FR-ACC-003; FR-ACC-006; FR-ACC-012</x:v>
      </x:c>
      <x:c r="G41" s="25" t="str">
        <x:v>Automated assertion only; requirement-level mapping is partial</x:v>
      </x:c>
      <x:c r="H41" s="25" t="n">
        <x:v>46292.90018603009</x:v>
      </x:c>
    </x:row>
    <x:row r="42" ht="76" customHeight="1">
      <x:c r="A42" s="25" t="str">
        <x:v>APP-036</x:v>
      </x:c>
      <x:c r="B42" s="25" t="str">
        <x:v>Application</x:v>
      </x:c>
      <x:c r="C42" s="25" t="str">
        <x:v>qualification.test_administration::test_owner_custody_cannot_be_removed[revoke]</x:v>
      </x:c>
      <x:c r="D42" s="25" t="str">
        <x:v>Pass</x:v>
      </x:c>
      <x:c r="E42" s="25" t="str">
        <x:v>docs/evidence/application-tests.xml</x:v>
      </x:c>
      <x:c r="F42" s="25" t="str">
        <x:v>FR-TEN-003; FR-IAM-001; FR-IAM-002; FR-IAM-009; FR-IAM-014; FR-ACC-003; FR-ACC-006; FR-ACC-012</x:v>
      </x:c>
      <x:c r="G42" s="25" t="str">
        <x:v>Automated assertion only; requirement-level mapping is partial</x:v>
      </x:c>
      <x:c r="H42" s="25" t="n">
        <x:v>46292.90018603009</x:v>
      </x:c>
    </x:row>
    <x:row r="43" ht="76" customHeight="1">
      <x:c r="A43" s="25" t="str">
        <x:v>APP-037</x:v>
      </x:c>
      <x:c r="B43" s="25" t="str">
        <x:v>Application</x:v>
      </x:c>
      <x:c r="C43" s="25" t="str">
        <x:v>qualification.test_administration::test_owner_grants_cannot_be_removed</x:v>
      </x:c>
      <x:c r="D43" s="25" t="str">
        <x:v>Pass</x:v>
      </x:c>
      <x:c r="E43" s="25" t="str">
        <x:v>docs/evidence/application-tests.xml</x:v>
      </x:c>
      <x:c r="F43" s="25" t="str">
        <x:v>FR-TEN-003; FR-IAM-001; FR-IAM-002; FR-IAM-009; FR-IAM-014; FR-ACC-003; FR-ACC-006; FR-ACC-012</x:v>
      </x:c>
      <x:c r="G43" s="25" t="str">
        <x:v>Automated assertion only; requirement-level mapping is partial</x:v>
      </x:c>
      <x:c r="H43" s="25" t="n">
        <x:v>46292.90018603009</x:v>
      </x:c>
    </x:row>
    <x:row r="44" ht="76" customHeight="1">
      <x:c r="A44" s="25" t="str">
        <x:v>APP-038</x:v>
      </x:c>
      <x:c r="B44" s="25" t="str">
        <x:v>Application</x:v>
      </x:c>
      <x:c r="C44" s="25" t="str">
        <x:v>qualification.test_administration::test_suspension_reactivation_requires_new_authentication</x:v>
      </x:c>
      <x:c r="D44" s="25" t="str">
        <x:v>Pass</x:v>
      </x:c>
      <x:c r="E44" s="25" t="str">
        <x:v>docs/evidence/application-tests.xml</x:v>
      </x:c>
      <x:c r="F44" s="25" t="str">
        <x:v>FR-TEN-003; FR-IAM-001; FR-IAM-002; FR-IAM-009; FR-IAM-014; FR-ACC-003; FR-ACC-006; FR-ACC-012</x:v>
      </x:c>
      <x:c r="G44" s="25" t="str">
        <x:v>Automated assertion only; requirement-level mapping is partial</x:v>
      </x:c>
      <x:c r="H44" s="25" t="n">
        <x:v>46292.90018603009</x:v>
      </x:c>
    </x:row>
    <x:row r="45" ht="76" customHeight="1">
      <x:c r="A45" s="25" t="str">
        <x:v>APP-039</x:v>
      </x:c>
      <x:c r="B45" s="25" t="str">
        <x:v>Application</x:v>
      </x:c>
      <x:c r="C45" s="25" t="str">
        <x:v>qualification.test_administration::test_offboarding_revokes_grants_and_preserves_attribution</x:v>
      </x:c>
      <x:c r="D45" s="25" t="str">
        <x:v>Pass</x:v>
      </x:c>
      <x:c r="E45" s="25" t="str">
        <x:v>docs/evidence/application-tests.xml</x:v>
      </x:c>
      <x:c r="F45" s="25" t="str">
        <x:v>FR-TEN-003; FR-IAM-001; FR-IAM-002; FR-IAM-009; FR-IAM-014; FR-ACC-003; FR-ACC-006; FR-ACC-012</x:v>
      </x:c>
      <x:c r="G45" s="25" t="str">
        <x:v>Automated assertion only; requirement-level mapping is partial</x:v>
      </x:c>
      <x:c r="H45" s="25" t="n">
        <x:v>46292.90018603009</x:v>
      </x:c>
    </x:row>
    <x:row r="46" ht="76" customHeight="1">
      <x:c r="A46" s="25" t="str">
        <x:v>APP-040</x:v>
      </x:c>
      <x:c r="B46" s="25" t="str">
        <x:v>Application</x:v>
      </x:c>
      <x:c r="C46" s="25" t="str">
        <x:v>qualification.test_administration::test_role_change_requires_independent_approval_and_rechecks_revision</x:v>
      </x:c>
      <x:c r="D46" s="25" t="str">
        <x:v>Pass</x:v>
      </x:c>
      <x:c r="E46" s="25" t="str">
        <x:v>docs/evidence/application-tests.xml</x:v>
      </x:c>
      <x:c r="F46" s="25" t="str">
        <x:v>FR-TEN-003; FR-IAM-001; FR-IAM-002; FR-IAM-009; FR-IAM-014; FR-ACC-003; FR-ACC-006; FR-ACC-012</x:v>
      </x:c>
      <x:c r="G46" s="25" t="str">
        <x:v>Automated assertion only; requirement-level mapping is partial</x:v>
      </x:c>
      <x:c r="H46" s="25" t="n">
        <x:v>46292.90018603009</x:v>
      </x:c>
    </x:row>
    <x:row r="47" ht="76" customHeight="1">
      <x:c r="A47" s="25" t="str">
        <x:v>APP-041</x:v>
      </x:c>
      <x:c r="B47" s="25" t="str">
        <x:v>Application</x:v>
      </x:c>
      <x:c r="C47" s="25" t="str">
        <x:v>qualification.test_administration::test_target_cannot_approve_own_access</x:v>
      </x:c>
      <x:c r="D47" s="25" t="str">
        <x:v>Pass</x:v>
      </x:c>
      <x:c r="E47" s="25" t="str">
        <x:v>docs/evidence/application-tests.xml</x:v>
      </x:c>
      <x:c r="F47" s="25" t="str">
        <x:v>FR-TEN-003; FR-IAM-001; FR-IAM-002; FR-IAM-009; FR-IAM-014; FR-ACC-003; FR-ACC-006; FR-ACC-012</x:v>
      </x:c>
      <x:c r="G47" s="25" t="str">
        <x:v>Automated assertion only; requirement-level mapping is partial</x:v>
      </x:c>
      <x:c r="H47" s="25" t="n">
        <x:v>46292.90018603009</x:v>
      </x:c>
    </x:row>
    <x:row r="48" ht="76" customHeight="1">
      <x:c r="A48" s="25" t="str">
        <x:v>APP-042</x:v>
      </x:c>
      <x:c r="B48" s="25" t="str">
        <x:v>Application</x:v>
      </x:c>
      <x:c r="C48" s="25" t="str">
        <x:v>qualification.test_administration::test_second_login_same_natural_person_is_not_independent</x:v>
      </x:c>
      <x:c r="D48" s="25" t="str">
        <x:v>Pass</x:v>
      </x:c>
      <x:c r="E48" s="25" t="str">
        <x:v>docs/evidence/application-tests.xml</x:v>
      </x:c>
      <x:c r="F48" s="25" t="str">
        <x:v>FR-TEN-003; FR-IAM-001; FR-IAM-002; FR-IAM-009; FR-IAM-014; FR-ACC-003; FR-ACC-006; FR-ACC-012</x:v>
      </x:c>
      <x:c r="G48" s="25" t="str">
        <x:v>Automated assertion only; requirement-level mapping is partial</x:v>
      </x:c>
      <x:c r="H48" s="25" t="n">
        <x:v>46292.90018603009</x:v>
      </x:c>
    </x:row>
    <x:row r="49" ht="76" customHeight="1">
      <x:c r="A49" s="25" t="str">
        <x:v>APP-043</x:v>
      </x:c>
      <x:c r="B49" s="25" t="str">
        <x:v>Application</x:v>
      </x:c>
      <x:c r="C49" s="25" t="str">
        <x:v>qualification.test_administration::test_changed_membership_invalidates_pending_role_request</x:v>
      </x:c>
      <x:c r="D49" s="25" t="str">
        <x:v>Pass</x:v>
      </x:c>
      <x:c r="E49" s="25" t="str">
        <x:v>docs/evidence/application-tests.xml</x:v>
      </x:c>
      <x:c r="F49" s="25" t="str">
        <x:v>FR-TEN-003; FR-IAM-001; FR-IAM-002; FR-IAM-009; FR-IAM-014; FR-ACC-003; FR-ACC-006; FR-ACC-012</x:v>
      </x:c>
      <x:c r="G49" s="25" t="str">
        <x:v>Automated assertion only; requirement-level mapping is partial</x:v>
      </x:c>
      <x:c r="H49" s="25" t="n">
        <x:v>46292.90018603009</x:v>
      </x:c>
    </x:row>
    <x:row r="50" ht="76" customHeight="1">
      <x:c r="A50" s="25" t="str">
        <x:v>APP-044</x:v>
      </x:c>
      <x:c r="B50" s="25" t="str">
        <x:v>Application</x:v>
      </x:c>
      <x:c r="C50" s="25" t="str">
        <x:v>qualification.test_administration::test_object_scoped_invitation_cannot_read_other_objects</x:v>
      </x:c>
      <x:c r="D50" s="25" t="str">
        <x:v>Pass</x:v>
      </x:c>
      <x:c r="E50" s="25" t="str">
        <x:v>docs/evidence/application-tests.xml</x:v>
      </x:c>
      <x:c r="F50" s="25" t="str">
        <x:v>FR-TEN-003; FR-IAM-001; FR-IAM-002; FR-IAM-009; FR-IAM-014; FR-ACC-003; FR-ACC-006; FR-ACC-012</x:v>
      </x:c>
      <x:c r="G50" s="25" t="str">
        <x:v>Automated assertion only; requirement-level mapping is partial</x:v>
      </x:c>
      <x:c r="H50" s="25" t="n">
        <x:v>46292.90018603009</x:v>
      </x:c>
    </x:row>
    <x:row r="51" ht="76" customHeight="1">
      <x:c r="A51" s="25" t="str">
        <x:v>APP-045</x:v>
      </x:c>
      <x:c r="B51" s="25" t="str">
        <x:v>Application</x:v>
      </x:c>
      <x:c r="C51" s="25" t="str">
        <x:v>qualification.test_administration::test_cross_tenant_scope_creation_is_atomic</x:v>
      </x:c>
      <x:c r="D51" s="25" t="str">
        <x:v>Pass</x:v>
      </x:c>
      <x:c r="E51" s="25" t="str">
        <x:v>docs/evidence/application-tests.xml</x:v>
      </x:c>
      <x:c r="F51" s="25" t="str">
        <x:v>FR-TEN-003; FR-IAM-001; FR-IAM-002; FR-IAM-009; FR-IAM-014; FR-ACC-003; FR-ACC-006; FR-ACC-012</x:v>
      </x:c>
      <x:c r="G51" s="25" t="str">
        <x:v>Automated assertion only; requirement-level mapping is partial</x:v>
      </x:c>
      <x:c r="H51" s="25" t="n">
        <x:v>46292.90018603009</x:v>
      </x:c>
    </x:row>
    <x:row r="52" ht="76" customHeight="1">
      <x:c r="A52" s="25" t="str">
        <x:v>APP-046</x:v>
      </x:c>
      <x:c r="B52" s="25" t="str">
        <x:v>Application</x:v>
      </x:c>
      <x:c r="C52" s="25" t="str">
        <x:v>qualification.test_administration::test_delegation_expiry_cannot_be_exceeded</x:v>
      </x:c>
      <x:c r="D52" s="25" t="str">
        <x:v>Pass</x:v>
      </x:c>
      <x:c r="E52" s="25" t="str">
        <x:v>docs/evidence/application-tests.xml</x:v>
      </x:c>
      <x:c r="F52" s="25" t="str">
        <x:v>FR-TEN-003; FR-IAM-001; FR-IAM-002; FR-IAM-009; FR-IAM-014; FR-ACC-003; FR-ACC-006; FR-ACC-012</x:v>
      </x:c>
      <x:c r="G52" s="25" t="str">
        <x:v>Automated assertion only; requirement-level mapping is partial</x:v>
      </x:c>
      <x:c r="H52" s="25" t="n">
        <x:v>46292.90018603009</x:v>
      </x:c>
    </x:row>
    <x:row r="53" ht="76" customHeight="1">
      <x:c r="A53" s="25" t="str">
        <x:v>APP-047</x:v>
      </x:c>
      <x:c r="B53" s="25" t="str">
        <x:v>Application</x:v>
      </x:c>
      <x:c r="C53" s="25" t="str">
        <x:v>qualification.test_administration::test_privileged_action_requires_recent_authentication</x:v>
      </x:c>
      <x:c r="D53" s="25" t="str">
        <x:v>Pass</x:v>
      </x:c>
      <x:c r="E53" s="25" t="str">
        <x:v>docs/evidence/application-tests.xml</x:v>
      </x:c>
      <x:c r="F53" s="25" t="str">
        <x:v>FR-TEN-003; FR-IAM-001; FR-IAM-002; FR-IAM-009; FR-IAM-014; FR-ACC-003; FR-ACC-006; FR-ACC-012</x:v>
      </x:c>
      <x:c r="G53" s="25" t="str">
        <x:v>Automated assertion only; requirement-level mapping is partial</x:v>
      </x:c>
      <x:c r="H53" s="25" t="n">
        <x:v>46292.90018603009</x:v>
      </x:c>
    </x:row>
    <x:row r="54" ht="76" customHeight="1">
      <x:c r="A54" s="25" t="str">
        <x:v>APP-048</x:v>
      </x:c>
      <x:c r="B54" s="25" t="str">
        <x:v>Application</x:v>
      </x:c>
      <x:c r="C54" s="25" t="str">
        <x:v>qualification.test_administration::test_recent_token_without_authentication_time_cannot_authorize_admin_changes</x:v>
      </x:c>
      <x:c r="D54" s="25" t="str">
        <x:v>Pass</x:v>
      </x:c>
      <x:c r="E54" s="25" t="str">
        <x:v>docs/evidence/application-tests.xml</x:v>
      </x:c>
      <x:c r="F54" s="25" t="str">
        <x:v>FR-TEN-003; FR-IAM-001; FR-IAM-002; FR-IAM-009; FR-IAM-014; FR-ACC-003; FR-ACC-006; FR-ACC-012</x:v>
      </x:c>
      <x:c r="G54" s="25" t="str">
        <x:v>Automated assertion only; requirement-level mapping is partial</x:v>
      </x:c>
      <x:c r="H54" s="25" t="n">
        <x:v>46292.90018603009</x:v>
      </x:c>
    </x:row>
    <x:row r="55" ht="76" customHeight="1">
      <x:c r="A55" s="25" t="str">
        <x:v>APP-049</x:v>
      </x:c>
      <x:c r="B55" s="25" t="str">
        <x:v>Application</x:v>
      </x:c>
      <x:c r="C55" s="25" t="str">
        <x:v>qualification.test_administration::test_non_admin_cannot_issue_invites_or_mutate_memberships</x:v>
      </x:c>
      <x:c r="D55" s="25" t="str">
        <x:v>Pass</x:v>
      </x:c>
      <x:c r="E55" s="25" t="str">
        <x:v>docs/evidence/application-tests.xml</x:v>
      </x:c>
      <x:c r="F55" s="25" t="str">
        <x:v>FR-TEN-003; FR-IAM-001; FR-IAM-002; FR-IAM-009; FR-IAM-014; FR-ACC-003; FR-ACC-006; FR-ACC-012</x:v>
      </x:c>
      <x:c r="G55" s="25" t="str">
        <x:v>Automated assertion only; requirement-level mapping is partial</x:v>
      </x:c>
      <x:c r="H55" s="25" t="n">
        <x:v>46292.90018603009</x:v>
      </x:c>
    </x:row>
    <x:row r="56" ht="76" customHeight="1">
      <x:c r="A56" s="25" t="str">
        <x:v>APP-050</x:v>
      </x:c>
      <x:c r="B56" s="25" t="str">
        <x:v>Application</x:v>
      </x:c>
      <x:c r="C56" s="25" t="str">
        <x:v>qualification.test_administration::test_generic_membership_patch_cannot_bypass_governance</x:v>
      </x:c>
      <x:c r="D56" s="25" t="str">
        <x:v>Pass</x:v>
      </x:c>
      <x:c r="E56" s="25" t="str">
        <x:v>docs/evidence/application-tests.xml</x:v>
      </x:c>
      <x:c r="F56" s="25" t="str">
        <x:v>FR-TEN-003; FR-IAM-001; FR-IAM-002; FR-IAM-009; FR-IAM-014; FR-ACC-003; FR-ACC-006; FR-ACC-012</x:v>
      </x:c>
      <x:c r="G56" s="25" t="str">
        <x:v>Automated assertion only; requirement-level mapping is partial</x:v>
      </x:c>
      <x:c r="H56" s="25" t="n">
        <x:v>46292.90018603009</x:v>
      </x:c>
    </x:row>
    <x:row r="57" ht="76" customHeight="1">
      <x:c r="A57" s="25" t="str">
        <x:v>APP-051</x:v>
      </x:c>
      <x:c r="B57" s="25" t="str">
        <x:v>Application</x:v>
      </x:c>
      <x:c r="C57" s="25" t="str">
        <x:v>qualification.test_administration::test_administration_create_cannot_be_called_through_patch</x:v>
      </x:c>
      <x:c r="D57" s="25" t="str">
        <x:v>Pass</x:v>
      </x:c>
      <x:c r="E57" s="25" t="str">
        <x:v>docs/evidence/application-tests.xml</x:v>
      </x:c>
      <x:c r="F57" s="25" t="str">
        <x:v>FR-TEN-003; FR-IAM-001; FR-IAM-002; FR-IAM-009; FR-IAM-014; FR-ACC-003; FR-ACC-006; FR-ACC-012</x:v>
      </x:c>
      <x:c r="G57" s="25" t="str">
        <x:v>Automated assertion only; requirement-level mapping is partial</x:v>
      </x:c>
      <x:c r="H57" s="25" t="n">
        <x:v>46292.90018603009</x:v>
      </x:c>
    </x:row>
    <x:row r="58" ht="76" customHeight="1">
      <x:c r="A58" s="25" t="str">
        <x:v>APP-052</x:v>
      </x:c>
      <x:c r="B58" s="25" t="str">
        <x:v>Application</x:v>
      </x:c>
      <x:c r="C58" s="25" t="str">
        <x:v>qualification.test_administration::test_invitation_cannot_grant_administrative_role</x:v>
      </x:c>
      <x:c r="D58" s="25" t="str">
        <x:v>Pass</x:v>
      </x:c>
      <x:c r="E58" s="25" t="str">
        <x:v>docs/evidence/application-tests.xml</x:v>
      </x:c>
      <x:c r="F58" s="25" t="str">
        <x:v>FR-TEN-003; FR-IAM-001; FR-IAM-002; FR-IAM-009; FR-IAM-014; FR-ACC-003; FR-ACC-006; FR-ACC-012</x:v>
      </x:c>
      <x:c r="G58" s="25" t="str">
        <x:v>Automated assertion only; requirement-level mapping is partial</x:v>
      </x:c>
      <x:c r="H58" s="25" t="n">
        <x:v>46292.90018603009</x:v>
      </x:c>
    </x:row>
    <x:row r="59" ht="76" customHeight="1">
      <x:c r="A59" s="25" t="str">
        <x:v>APP-053</x:v>
      </x:c>
      <x:c r="B59" s="25" t="str">
        <x:v>Application</x:v>
      </x:c>
      <x:c r="C59" s="25" t="str">
        <x:v>qualification.test_administration::test_unprovisioned_identity_is_not_silently_created</x:v>
      </x:c>
      <x:c r="D59" s="25" t="str">
        <x:v>Pass</x:v>
      </x:c>
      <x:c r="E59" s="25" t="str">
        <x:v>docs/evidence/application-tests.xml</x:v>
      </x:c>
      <x:c r="F59" s="25" t="str">
        <x:v>FR-TEN-003; FR-IAM-001; FR-IAM-002; FR-IAM-009; FR-IAM-014; FR-ACC-003; FR-ACC-006; FR-ACC-012</x:v>
      </x:c>
      <x:c r="G59" s="25" t="str">
        <x:v>Automated assertion only; requirement-level mapping is partial</x:v>
      </x:c>
      <x:c r="H59" s="25" t="n">
        <x:v>46292.90018603009</x:v>
      </x:c>
    </x:row>
    <x:row r="60" ht="76" customHeight="1">
      <x:c r="A60" s="25" t="str">
        <x:v>APP-054</x:v>
      </x:c>
      <x:c r="B60" s="25" t="str">
        <x:v>Application</x:v>
      </x:c>
      <x:c r="C60" s="25" t="str">
        <x:v>qualification.test_administration::test_app_role_cannot_manufacture_delegation_or_owner_custody</x:v>
      </x:c>
      <x:c r="D60" s="25" t="str">
        <x:v>Pass</x:v>
      </x:c>
      <x:c r="E60" s="25" t="str">
        <x:v>docs/evidence/application-tests.xml</x:v>
      </x:c>
      <x:c r="F60" s="25" t="str">
        <x:v>FR-TEN-003; FR-IAM-001; FR-IAM-002; FR-IAM-009; FR-IAM-014; FR-ACC-003; FR-ACC-006; FR-ACC-012</x:v>
      </x:c>
      <x:c r="G60" s="25" t="str">
        <x:v>Automated assertion only; requirement-level mapping is partial</x:v>
      </x:c>
      <x:c r="H60" s="25" t="n">
        <x:v>46292.90018603009</x:v>
      </x:c>
    </x:row>
    <x:row r="61" ht="76" customHeight="1">
      <x:c r="A61" s="25" t="str">
        <x:v>APP-055</x:v>
      </x:c>
      <x:c r="B61" s="25" t="str">
        <x:v>Application</x:v>
      </x:c>
      <x:c r="C61" s="25" t="str">
        <x:v>qualification.test_administration::test_admin_cursor_bound_to_policy_epoch_and_tenant</x:v>
      </x:c>
      <x:c r="D61" s="25" t="str">
        <x:v>Pass</x:v>
      </x:c>
      <x:c r="E61" s="25" t="str">
        <x:v>docs/evidence/application-tests.xml</x:v>
      </x:c>
      <x:c r="F61" s="25" t="str">
        <x:v>FR-TEN-003; FR-IAM-001; FR-IAM-002; FR-IAM-009; FR-IAM-014; FR-ACC-003; FR-ACC-006; FR-ACC-012</x:v>
      </x:c>
      <x:c r="G61" s="25" t="str">
        <x:v>Automated assertion only; requirement-level mapping is partial</x:v>
      </x:c>
      <x:c r="H61" s="25" t="n">
        <x:v>46292.90018603009</x:v>
      </x:c>
    </x:row>
    <x:row r="62" ht="76" customHeight="1">
      <x:c r="A62" s="25" t="str">
        <x:v>APP-056</x:v>
      </x:c>
      <x:c r="B62" s="25" t="str">
        <x:v>Application</x:v>
      </x:c>
      <x:c r="C62" s="25" t="str">
        <x:v>qualification.test_administration::test_missing_reason_and_read_only_injection_are_rejected</x:v>
      </x:c>
      <x:c r="D62" s="25" t="str">
        <x:v>Pass</x:v>
      </x:c>
      <x:c r="E62" s="25" t="str">
        <x:v>docs/evidence/application-tests.xml</x:v>
      </x:c>
      <x:c r="F62" s="25" t="str">
        <x:v>FR-TEN-003; FR-IAM-001; FR-IAM-002; FR-IAM-009; FR-IAM-014; FR-ACC-003; FR-ACC-006; FR-ACC-012</x:v>
      </x:c>
      <x:c r="G62" s="25" t="str">
        <x:v>Automated assertion only; requirement-level mapping is partial</x:v>
      </x:c>
      <x:c r="H62" s="25" t="n">
        <x:v>46292.90018603009</x:v>
      </x:c>
    </x:row>
    <x:row r="63" ht="76" customHeight="1">
      <x:c r="A63" s="25" t="str">
        <x:v>APP-057</x:v>
      </x:c>
      <x:c r="B63" s="25" t="str">
        <x:v>Application</x:v>
      </x:c>
      <x:c r="C63" s="25" t="str">
        <x:v>qualification.test_administration::test_invitation_acceptance_immediately_updates_cookie_workspace_directory</x:v>
      </x:c>
      <x:c r="D63" s="25" t="str">
        <x:v>Pass</x:v>
      </x:c>
      <x:c r="E63" s="25" t="str">
        <x:v>docs/evidence/application-tests.xml</x:v>
      </x:c>
      <x:c r="F63" s="25" t="str">
        <x:v>FR-TEN-003; FR-IAM-001; FR-IAM-002; FR-IAM-009; FR-IAM-014; FR-ACC-003; FR-ACC-006; FR-ACC-012</x:v>
      </x:c>
      <x:c r="G63" s="25" t="str">
        <x:v>Automated assertion only; requirement-level mapping is partial</x:v>
      </x:c>
      <x:c r="H63" s="25" t="n">
        <x:v>46292.90018603009</x:v>
      </x:c>
    </x:row>
    <x:row r="64" ht="76" customHeight="1">
      <x:c r="A64" s="25" t="str">
        <x:v>APP-058</x:v>
      </x:c>
      <x:c r="B64" s="25" t="str">
        <x:v>Application</x:v>
      </x:c>
      <x:c r="C64" s="25" t="str">
        <x:v>qualification.test_administration::test_restarting_fixture_provisioning_does_not_restore_revoked_original_grant</x:v>
      </x:c>
      <x:c r="D64" s="25" t="str">
        <x:v>Pass</x:v>
      </x:c>
      <x:c r="E64" s="25" t="str">
        <x:v>docs/evidence/application-tests.xml</x:v>
      </x:c>
      <x:c r="F64" s="25" t="str">
        <x:v>FR-TEN-003; FR-IAM-001; FR-IAM-002; FR-IAM-009; FR-IAM-014; FR-ACC-003; FR-ACC-006; FR-ACC-012</x:v>
      </x:c>
      <x:c r="G64" s="25" t="str">
        <x:v>Automated assertion only; requirement-level mapping is partial</x:v>
      </x:c>
      <x:c r="H64" s="25" t="n">
        <x:v>46292.90018603009</x:v>
      </x:c>
    </x:row>
    <x:row r="65" ht="76" customHeight="1">
      <x:c r="A65" s="25" t="str">
        <x:v>APP-059</x:v>
      </x:c>
      <x:c r="B65" s="25" t="str">
        <x:v>Application</x:v>
      </x:c>
      <x:c r="C65" s="25" t="str">
        <x:v>qualification.test_administration::test_offboarding_cancels_pending_work_and_never_automatically_resumes_it</x:v>
      </x:c>
      <x:c r="D65" s="25" t="str">
        <x:v>Pass</x:v>
      </x:c>
      <x:c r="E65" s="25" t="str">
        <x:v>docs/evidence/application-tests.xml</x:v>
      </x:c>
      <x:c r="F65" s="25" t="str">
        <x:v>FR-TEN-003; FR-IAM-001; FR-IAM-002; FR-IAM-009; FR-IAM-014; FR-ACC-003; FR-ACC-006; FR-ACC-012</x:v>
      </x:c>
      <x:c r="G65" s="25" t="str">
        <x:v>Automated assertion only; requirement-level mapping is partial</x:v>
      </x:c>
      <x:c r="H65" s="25" t="n">
        <x:v>46292.90018603009</x:v>
      </x:c>
    </x:row>
    <x:row r="66" ht="76" customHeight="1">
      <x:c r="A66" s="25" t="str">
        <x:v>APP-060</x:v>
      </x:c>
      <x:c r="B66" s="25" t="str">
        <x:v>Application</x:v>
      </x:c>
      <x:c r="C66" s="25" t="str">
        <x:v>qualification.test_administration_unit::test_invalid_invitation_email[None]</x:v>
      </x:c>
      <x:c r="D66" s="25" t="str">
        <x:v>Pass</x:v>
      </x:c>
      <x:c r="E66" s="25" t="str">
        <x:v>docs/evidence/application-tests.xml</x:v>
      </x:c>
      <x:c r="F66" s="25" t="str"/>
      <x:c r="G66" s="25" t="str">
        <x:v>Automated assertion only; requirement-level mapping is partial</x:v>
      </x:c>
      <x:c r="H66" s="25" t="n">
        <x:v>46292.90018603009</x:v>
      </x:c>
    </x:row>
    <x:row r="67" ht="76" customHeight="1">
      <x:c r="A67" s="25" t="str">
        <x:v>APP-061</x:v>
      </x:c>
      <x:c r="B67" s="25" t="str">
        <x:v>Application</x:v>
      </x:c>
      <x:c r="C67" s="25" t="str">
        <x:v>qualification.test_administration_unit::test_invalid_invitation_email[42]</x:v>
      </x:c>
      <x:c r="D67" s="25" t="str">
        <x:v>Pass</x:v>
      </x:c>
      <x:c r="E67" s="25" t="str">
        <x:v>docs/evidence/application-tests.xml</x:v>
      </x:c>
      <x:c r="F67" s="25" t="str"/>
      <x:c r="G67" s="25" t="str">
        <x:v>Automated assertion only; requirement-level mapping is partial</x:v>
      </x:c>
      <x:c r="H67" s="25" t="n">
        <x:v>46292.90018603009</x:v>
      </x:c>
    </x:row>
    <x:row r="68" ht="76" customHeight="1">
      <x:c r="A68" s="25" t="str">
        <x:v>APP-062</x:v>
      </x:c>
      <x:c r="B68" s="25" t="str">
        <x:v>Application</x:v>
      </x:c>
      <x:c r="C68" s="25" t="str">
        <x:v>qualification.test_administration_unit::test_invalid_invitation_email[]</x:v>
      </x:c>
      <x:c r="D68" s="25" t="str">
        <x:v>Pass</x:v>
      </x:c>
      <x:c r="E68" s="25" t="str">
        <x:v>docs/evidence/application-tests.xml</x:v>
      </x:c>
      <x:c r="F68" s="25" t="str"/>
      <x:c r="G68" s="25" t="str">
        <x:v>Automated assertion only; requirement-level mapping is partial</x:v>
      </x:c>
      <x:c r="H68" s="25" t="n">
        <x:v>46292.90018603009</x:v>
      </x:c>
    </x:row>
    <x:row r="69" ht="76" customHeight="1">
      <x:c r="A69" s="25" t="str">
        <x:v>APP-063</x:v>
      </x:c>
      <x:c r="B69" s="25" t="str">
        <x:v>Application</x:v>
      </x:c>
      <x:c r="C69" s="25" t="str">
        <x:v>qualification.test_administration_unit::test_invalid_invitation_email[ a@example.test]</x:v>
      </x:c>
      <x:c r="D69" s="25" t="str">
        <x:v>Pass</x:v>
      </x:c>
      <x:c r="E69" s="25" t="str">
        <x:v>docs/evidence/application-tests.xml</x:v>
      </x:c>
      <x:c r="F69" s="25" t="str"/>
      <x:c r="G69" s="25" t="str">
        <x:v>Automated assertion only; requirement-level mapping is partial</x:v>
      </x:c>
      <x:c r="H69" s="25" t="n">
        <x:v>46292.90018603009</x:v>
      </x:c>
    </x:row>
    <x:row r="70" ht="76" customHeight="1">
      <x:c r="A70" s="25" t="str">
        <x:v>APP-064</x:v>
      </x:c>
      <x:c r="B70" s="25" t="str">
        <x:v>Application</x:v>
      </x:c>
      <x:c r="C70" s="25" t="str">
        <x:v>qualification.test_administration_unit::test_invalid_invitation_email[a@example.test ]</x:v>
      </x:c>
      <x:c r="D70" s="25" t="str">
        <x:v>Pass</x:v>
      </x:c>
      <x:c r="E70" s="25" t="str">
        <x:v>docs/evidence/application-tests.xml</x:v>
      </x:c>
      <x:c r="F70" s="25" t="str"/>
      <x:c r="G70" s="25" t="str">
        <x:v>Automated assertion only; requirement-level mapping is partial</x:v>
      </x:c>
      <x:c r="H70" s="25" t="n">
        <x:v>46292.90018603009</x:v>
      </x:c>
    </x:row>
    <x:row r="71" ht="76" customHeight="1">
      <x:c r="A71" s="25" t="str">
        <x:v>APP-065</x:v>
      </x:c>
      <x:c r="B71" s="25" t="str">
        <x:v>Application</x:v>
      </x:c>
      <x:c r="C71" s="25" t="str">
        <x:v>qualification.test_administration_unit::test_invalid_invitation_email[.a@example.test]</x:v>
      </x:c>
      <x:c r="D71" s="25" t="str">
        <x:v>Pass</x:v>
      </x:c>
      <x:c r="E71" s="25" t="str">
        <x:v>docs/evidence/application-tests.xml</x:v>
      </x:c>
      <x:c r="F71" s="25" t="str"/>
      <x:c r="G71" s="25" t="str">
        <x:v>Automated assertion only; requirement-level mapping is partial</x:v>
      </x:c>
      <x:c r="H71" s="25" t="n">
        <x:v>46292.90018603009</x:v>
      </x:c>
    </x:row>
    <x:row r="72" ht="76" customHeight="1">
      <x:c r="A72" s="25" t="str">
        <x:v>APP-066</x:v>
      </x:c>
      <x:c r="B72" s="25" t="str">
        <x:v>Application</x:v>
      </x:c>
      <x:c r="C72" s="25" t="str">
        <x:v>qualification.test_administration_unit::test_invalid_invitation_email[a..b@example.test]</x:v>
      </x:c>
      <x:c r="D72" s="25" t="str">
        <x:v>Pass</x:v>
      </x:c>
      <x:c r="E72" s="25" t="str">
        <x:v>docs/evidence/application-tests.xml</x:v>
      </x:c>
      <x:c r="F72" s="25" t="str"/>
      <x:c r="G72" s="25" t="str">
        <x:v>Automated assertion only; requirement-level mapping is partial</x:v>
      </x:c>
      <x:c r="H72" s="25" t="n">
        <x:v>46292.90018603009</x:v>
      </x:c>
    </x:row>
    <x:row r="73" ht="76" customHeight="1">
      <x:c r="A73" s="25" t="str">
        <x:v>APP-067</x:v>
      </x:c>
      <x:c r="B73" s="25" t="str">
        <x:v>Application</x:v>
      </x:c>
      <x:c r="C73" s="25" t="str">
        <x:v>qualification.test_administration_unit::test_invalid_invitation_email[a.@example.test]</x:v>
      </x:c>
      <x:c r="D73" s="25" t="str">
        <x:v>Pass</x:v>
      </x:c>
      <x:c r="E73" s="25" t="str">
        <x:v>docs/evidence/application-tests.xml</x:v>
      </x:c>
      <x:c r="F73" s="25" t="str"/>
      <x:c r="G73" s="25" t="str">
        <x:v>Automated assertion only; requirement-level mapping is partial</x:v>
      </x:c>
      <x:c r="H73" s="25" t="n">
        <x:v>46292.90018603009</x:v>
      </x:c>
    </x:row>
    <x:row r="74" ht="76" customHeight="1">
      <x:c r="A74" s="25" t="str">
        <x:v>APP-068</x:v>
      </x:c>
      <x:c r="B74" s="25" t="str">
        <x:v>Application</x:v>
      </x:c>
      <x:c r="C74" s="25" t="str">
        <x:v>qualification.test_administration_unit::test_invalid_invitation_email[a@localhost]</x:v>
      </x:c>
      <x:c r="D74" s="25" t="str">
        <x:v>Pass</x:v>
      </x:c>
      <x:c r="E74" s="25" t="str">
        <x:v>docs/evidence/application-tests.xml</x:v>
      </x:c>
      <x:c r="F74" s="25" t="str"/>
      <x:c r="G74" s="25" t="str">
        <x:v>Automated assertion only; requirement-level mapping is partial</x:v>
      </x:c>
      <x:c r="H74" s="25" t="n">
        <x:v>46292.90018603009</x:v>
      </x:c>
    </x:row>
    <x:row r="75" ht="76" customHeight="1">
      <x:c r="A75" s="25" t="str">
        <x:v>APP-069</x:v>
      </x:c>
      <x:c r="B75" s="25" t="str">
        <x:v>Application</x:v>
      </x:c>
      <x:c r="C75" s="25" t="str">
        <x:v>qualification.test_administration_unit::test_invalid_invitation_email[a@-example.test]</x:v>
      </x:c>
      <x:c r="D75" s="25" t="str">
        <x:v>Pass</x:v>
      </x:c>
      <x:c r="E75" s="25" t="str">
        <x:v>docs/evidence/application-tests.xml</x:v>
      </x:c>
      <x:c r="F75" s="25" t="str"/>
      <x:c r="G75" s="25" t="str">
        <x:v>Automated assertion only; requirement-level mapping is partial</x:v>
      </x:c>
      <x:c r="H75" s="25" t="n">
        <x:v>46292.90018603009</x:v>
      </x:c>
    </x:row>
    <x:row r="76" ht="76" customHeight="1">
      <x:c r="A76" s="25" t="str">
        <x:v>APP-070</x:v>
      </x:c>
      <x:c r="B76" s="25" t="str">
        <x:v>Application</x:v>
      </x:c>
      <x:c r="C76" s="25" t="str">
        <x:v>qualification.test_administration_unit::test_invalid_invitation_email[a\n@example.test]</x:v>
      </x:c>
      <x:c r="D76" s="25" t="str">
        <x:v>Pass</x:v>
      </x:c>
      <x:c r="E76" s="25" t="str">
        <x:v>docs/evidence/application-tests.xml</x:v>
      </x:c>
      <x:c r="F76" s="25" t="str"/>
      <x:c r="G76" s="25" t="str">
        <x:v>Automated assertion only; requirement-level mapping is partial</x:v>
      </x:c>
      <x:c r="H76" s="25" t="n">
        <x:v>46292.90018603009</x:v>
      </x:c>
    </x:row>
    <x:row r="77" ht="76" customHeight="1">
      <x:c r="A77" s="25" t="str">
        <x:v>APP-071</x:v>
      </x:c>
      <x:c r="B77" s="25" t="str">
        <x:v>Application</x:v>
      </x:c>
      <x:c r="C77" s="25" t="str">
        <x:v>qualification.test_administration_unit::test_invalid_invitation_email[\xe9@example.test]</x:v>
      </x:c>
      <x:c r="D77" s="25" t="str">
        <x:v>Pass</x:v>
      </x:c>
      <x:c r="E77" s="25" t="str">
        <x:v>docs/evidence/application-tests.xml</x:v>
      </x:c>
      <x:c r="F77" s="25" t="str"/>
      <x:c r="G77" s="25" t="str">
        <x:v>Automated assertion only; requirement-level mapping is partial</x:v>
      </x:c>
      <x:c r="H77" s="25" t="n">
        <x:v>46292.90018603009</x:v>
      </x:c>
    </x:row>
    <x:row r="78" ht="76" customHeight="1">
      <x:c r="A78" s="25" t="str">
        <x:v>APP-072</x:v>
      </x:c>
      <x:c r="B78" s="25" t="str">
        <x:v>Application</x:v>
      </x:c>
      <x:c r="C78" s="25" t="str">
        <x:v>qualification.test_administration_unit::test_invalid_invitation_email[aaaaaaaaaaaaaaaaaaaaaaaaaaaaaaaaaaaaaaaaaaaaaaaaaaaaaaaaaaaaaaaaa@example.test]</x:v>
      </x:c>
      <x:c r="D78" s="25" t="str">
        <x:v>Pass</x:v>
      </x:c>
      <x:c r="E78" s="25" t="str">
        <x:v>docs/evidence/application-tests.xml</x:v>
      </x:c>
      <x:c r="F78" s="25" t="str"/>
      <x:c r="G78" s="25" t="str">
        <x:v>Automated assertion only; requirement-level mapping is partial</x:v>
      </x:c>
      <x:c r="H78" s="25" t="n">
        <x:v>46292.90018603009</x:v>
      </x:c>
    </x:row>
    <x:row r="79" ht="76" customHeight="1">
      <x:c r="A79" s="25" t="str">
        <x:v>APP-073</x:v>
      </x:c>
      <x:c r="B79" s="25" t="str">
        <x:v>Application</x:v>
      </x:c>
      <x:c r="C79" s="25" t="str">
        <x:v>qualification.test_administration_unit::test_verified_email_canonicalization_is_explicit_and_not_provider_specific</x:v>
      </x:c>
      <x:c r="D79" s="25" t="str">
        <x:v>Pass</x:v>
      </x:c>
      <x:c r="E79" s="25" t="str">
        <x:v>docs/evidence/application-tests.xml</x:v>
      </x:c>
      <x:c r="F79" s="25" t="str"/>
      <x:c r="G79" s="25" t="str">
        <x:v>Automated assertion only; requirement-level mapping is partial</x:v>
      </x:c>
      <x:c r="H79" s="25" t="n">
        <x:v>46292.90018603009</x:v>
      </x:c>
    </x:row>
    <x:row r="80" ht="76" customHeight="1">
      <x:c r="A80" s="25" t="str">
        <x:v>APP-074</x:v>
      </x:c>
      <x:c r="B80" s="25" t="str">
        <x:v>Application</x:v>
      </x:c>
      <x:c r="C80" s="25" t="str">
        <x:v>qualification.test_administration_unit::test_invitation_signature_is_bound_to_tenant_id_generation_and_separate_key</x:v>
      </x:c>
      <x:c r="D80" s="25" t="str">
        <x:v>Pass</x:v>
      </x:c>
      <x:c r="E80" s="25" t="str">
        <x:v>docs/evidence/application-tests.xml</x:v>
      </x:c>
      <x:c r="F80" s="25" t="str"/>
      <x:c r="G80" s="25" t="str">
        <x:v>Automated assertion only; requirement-level mapping is partial</x:v>
      </x:c>
      <x:c r="H80" s="25" t="n">
        <x:v>46292.90018603009</x:v>
      </x:c>
    </x:row>
    <x:row r="81" ht="76" customHeight="1">
      <x:c r="A81" s="25" t="str">
        <x:v>APP-075</x:v>
      </x:c>
      <x:c r="B81" s="25" t="str">
        <x:v>Application</x:v>
      </x:c>
      <x:c r="C81" s="25" t="str">
        <x:v>qualification.test_administration_unit::test_each_administrative_command_has_closed_schema_exact_capability_and_fresh_assurance[invite_member]</x:v>
      </x:c>
      <x:c r="D81" s="25" t="str">
        <x:v>Pass</x:v>
      </x:c>
      <x:c r="E81" s="25" t="str">
        <x:v>docs/evidence/application-tests.xml</x:v>
      </x:c>
      <x:c r="F81" s="25" t="str"/>
      <x:c r="G81" s="25" t="str">
        <x:v>Automated assertion only; requirement-level mapping is partial</x:v>
      </x:c>
      <x:c r="H81" s="25" t="n">
        <x:v>46292.90018603009</x:v>
      </x:c>
    </x:row>
    <x:row r="82" ht="76" customHeight="1">
      <x:c r="A82" s="25" t="str">
        <x:v>APP-076</x:v>
      </x:c>
      <x:c r="B82" s="25" t="str">
        <x:v>Application</x:v>
      </x:c>
      <x:c r="C82" s="25" t="str">
        <x:v>qualification.test_administration_unit::test_each_administrative_command_has_closed_schema_exact_capability_and_fresh_assurance[resend_invitation]</x:v>
      </x:c>
      <x:c r="D82" s="25" t="str">
        <x:v>Pass</x:v>
      </x:c>
      <x:c r="E82" s="25" t="str">
        <x:v>docs/evidence/application-tests.xml</x:v>
      </x:c>
      <x:c r="F82" s="25" t="str"/>
      <x:c r="G82" s="25" t="str">
        <x:v>Automated assertion only; requirement-level mapping is partial</x:v>
      </x:c>
      <x:c r="H82" s="25" t="n">
        <x:v>46292.90018603009</x:v>
      </x:c>
    </x:row>
    <x:row r="83" ht="76" customHeight="1">
      <x:c r="A83" s="25" t="str">
        <x:v>APP-077</x:v>
      </x:c>
      <x:c r="B83" s="25" t="str">
        <x:v>Application</x:v>
      </x:c>
      <x:c r="C83" s="25" t="str">
        <x:v>qualification.test_administration_unit::test_each_administrative_command_has_closed_schema_exact_capability_and_fresh_assurance[revoke_invitation]</x:v>
      </x:c>
      <x:c r="D83" s="25" t="str">
        <x:v>Pass</x:v>
      </x:c>
      <x:c r="E83" s="25" t="str">
        <x:v>docs/evidence/application-tests.xml</x:v>
      </x:c>
      <x:c r="F83" s="25" t="str"/>
      <x:c r="G83" s="25" t="str">
        <x:v>Automated assertion only; requirement-level mapping is partial</x:v>
      </x:c>
      <x:c r="H83" s="25" t="n">
        <x:v>46292.90018603009</x:v>
      </x:c>
    </x:row>
    <x:row r="84" ht="76" customHeight="1">
      <x:c r="A84" s="25" t="str">
        <x:v>APP-078</x:v>
      </x:c>
      <x:c r="B84" s="25" t="str">
        <x:v>Application</x:v>
      </x:c>
      <x:c r="C84" s="25" t="str">
        <x:v>qualification.test_administration_unit::test_each_administrative_command_has_closed_schema_exact_capability_and_fresh_assurance[accept_invitation]</x:v>
      </x:c>
      <x:c r="D84" s="25" t="str">
        <x:v>Pass</x:v>
      </x:c>
      <x:c r="E84" s="25" t="str">
        <x:v>docs/evidence/application-tests.xml</x:v>
      </x:c>
      <x:c r="F84" s="25" t="str"/>
      <x:c r="G84" s="25" t="str">
        <x:v>Automated assertion only; requirement-level mapping is partial</x:v>
      </x:c>
      <x:c r="H84" s="25" t="n">
        <x:v>46292.90018603009</x:v>
      </x:c>
    </x:row>
    <x:row r="85" ht="76" customHeight="1">
      <x:c r="A85" s="25" t="str">
        <x:v>APP-079</x:v>
      </x:c>
      <x:c r="B85" s="25" t="str">
        <x:v>Application</x:v>
      </x:c>
      <x:c r="C85" s="25" t="str">
        <x:v>qualification.test_administration_unit::test_each_administrative_command_has_closed_schema_exact_capability_and_fresh_assurance[action_memberships_suspend]</x:v>
      </x:c>
      <x:c r="D85" s="25" t="str">
        <x:v>Pass</x:v>
      </x:c>
      <x:c r="E85" s="25" t="str">
        <x:v>docs/evidence/application-tests.xml</x:v>
      </x:c>
      <x:c r="F85" s="25" t="str"/>
      <x:c r="G85" s="25" t="str">
        <x:v>Automated assertion only; requirement-level mapping is partial</x:v>
      </x:c>
      <x:c r="H85" s="25" t="n">
        <x:v>46292.90018603009</x:v>
      </x:c>
    </x:row>
    <x:row r="86" ht="76" customHeight="1">
      <x:c r="A86" s="25" t="str">
        <x:v>APP-080</x:v>
      </x:c>
      <x:c r="B86" s="25" t="str">
        <x:v>Application</x:v>
      </x:c>
      <x:c r="C86" s="25" t="str">
        <x:v>qualification.test_administration_unit::test_each_administrative_command_has_closed_schema_exact_capability_and_fresh_assurance[reactivate_membership]</x:v>
      </x:c>
      <x:c r="D86" s="25" t="str">
        <x:v>Pass</x:v>
      </x:c>
      <x:c r="E86" s="25" t="str">
        <x:v>docs/evidence/application-tests.xml</x:v>
      </x:c>
      <x:c r="F86" s="25" t="str"/>
      <x:c r="G86" s="25" t="str">
        <x:v>Automated assertion only; requirement-level mapping is partial</x:v>
      </x:c>
      <x:c r="H86" s="25" t="n">
        <x:v>46292.90018603009</x:v>
      </x:c>
    </x:row>
    <x:row r="87" ht="76" customHeight="1">
      <x:c r="A87" s="25" t="str">
        <x:v>APP-081</x:v>
      </x:c>
      <x:c r="B87" s="25" t="str">
        <x:v>Application</x:v>
      </x:c>
      <x:c r="C87" s="25" t="str">
        <x:v>qualification.test_administration_unit::test_each_administrative_command_has_closed_schema_exact_capability_and_fresh_assurance[action_memberships_revoke]</x:v>
      </x:c>
      <x:c r="D87" s="25" t="str">
        <x:v>Pass</x:v>
      </x:c>
      <x:c r="E87" s="25" t="str">
        <x:v>docs/evidence/application-tests.xml</x:v>
      </x:c>
      <x:c r="F87" s="25" t="str"/>
      <x:c r="G87" s="25" t="str">
        <x:v>Automated assertion only; requirement-level mapping is partial</x:v>
      </x:c>
      <x:c r="H87" s="25" t="n">
        <x:v>46292.90018603009</x:v>
      </x:c>
    </x:row>
    <x:row r="88" ht="76" customHeight="1">
      <x:c r="A88" s="25" t="str">
        <x:v>APP-082</x:v>
      </x:c>
      <x:c r="B88" s="25" t="str">
        <x:v>Application</x:v>
      </x:c>
      <x:c r="C88" s="25" t="str">
        <x:v>qualification.test_administration_unit::test_each_administrative_command_has_closed_schema_exact_capability_and_fresh_assurance[action_grants_revoke]</x:v>
      </x:c>
      <x:c r="D88" s="25" t="str">
        <x:v>Pass</x:v>
      </x:c>
      <x:c r="E88" s="25" t="str">
        <x:v>docs/evidence/application-tests.xml</x:v>
      </x:c>
      <x:c r="F88" s="25" t="str"/>
      <x:c r="G88" s="25" t="str">
        <x:v>Automated assertion only; requirement-level mapping is partial</x:v>
      </x:c>
      <x:c r="H88" s="25" t="n">
        <x:v>46292.90018603009</x:v>
      </x:c>
    </x:row>
    <x:row r="89" ht="76" customHeight="1">
      <x:c r="A89" s="25" t="str">
        <x:v>APP-083</x:v>
      </x:c>
      <x:c r="B89" s="25" t="str">
        <x:v>Application</x:v>
      </x:c>
      <x:c r="C89" s="25" t="str">
        <x:v>qualification.test_administration_unit::test_each_administrative_command_has_closed_schema_exact_capability_and_fresh_assurance[create_access_scope]</x:v>
      </x:c>
      <x:c r="D89" s="25" t="str">
        <x:v>Pass</x:v>
      </x:c>
      <x:c r="E89" s="25" t="str">
        <x:v>docs/evidence/application-tests.xml</x:v>
      </x:c>
      <x:c r="F89" s="25" t="str"/>
      <x:c r="G89" s="25" t="str">
        <x:v>Automated assertion only; requirement-level mapping is partial</x:v>
      </x:c>
      <x:c r="H89" s="25" t="n">
        <x:v>46292.90018603009</x:v>
      </x:c>
    </x:row>
    <x:row r="90" ht="76" customHeight="1">
      <x:c r="A90" s="25" t="str">
        <x:v>APP-084</x:v>
      </x:c>
      <x:c r="B90" s="25" t="str">
        <x:v>Application</x:v>
      </x:c>
      <x:c r="C90" s="25" t="str">
        <x:v>qualification.test_administration_unit::test_each_administrative_command_has_closed_schema_exact_capability_and_fresh_assurance[request_access_change]</x:v>
      </x:c>
      <x:c r="D90" s="25" t="str">
        <x:v>Pass</x:v>
      </x:c>
      <x:c r="E90" s="25" t="str">
        <x:v>docs/evidence/application-tests.xml</x:v>
      </x:c>
      <x:c r="F90" s="25" t="str"/>
      <x:c r="G90" s="25" t="str">
        <x:v>Automated assertion only; requirement-level mapping is partial</x:v>
      </x:c>
      <x:c r="H90" s="25" t="n">
        <x:v>46292.90018603009</x:v>
      </x:c>
    </x:row>
    <x:row r="91" ht="76" customHeight="1">
      <x:c r="A91" s="25" t="str">
        <x:v>APP-085</x:v>
      </x:c>
      <x:c r="B91" s="25" t="str">
        <x:v>Application</x:v>
      </x:c>
      <x:c r="C91" s="25" t="str">
        <x:v>qualification.test_administration_unit::test_each_administrative_command_has_closed_schema_exact_capability_and_fresh_assurance[approve_access_change]</x:v>
      </x:c>
      <x:c r="D91" s="25" t="str">
        <x:v>Pass</x:v>
      </x:c>
      <x:c r="E91" s="25" t="str">
        <x:v>docs/evidence/application-tests.xml</x:v>
      </x:c>
      <x:c r="F91" s="25" t="str"/>
      <x:c r="G91" s="25" t="str">
        <x:v>Automated assertion only; requirement-level mapping is partial</x:v>
      </x:c>
      <x:c r="H91" s="25" t="n">
        <x:v>46292.90018603009</x:v>
      </x:c>
    </x:row>
    <x:row r="92" ht="76" customHeight="1">
      <x:c r="A92" s="25" t="str">
        <x:v>APP-086</x:v>
      </x:c>
      <x:c r="B92" s="25" t="str">
        <x:v>Application</x:v>
      </x:c>
      <x:c r="C92" s="25" t="str">
        <x:v>qualification.test_administration_unit::test_each_administrative_command_has_closed_schema_exact_capability_and_fresh_assurance[reject_access_change]</x:v>
      </x:c>
      <x:c r="D92" s="25" t="str">
        <x:v>Pass</x:v>
      </x:c>
      <x:c r="E92" s="25" t="str">
        <x:v>docs/evidence/application-tests.xml</x:v>
      </x:c>
      <x:c r="F92" s="25" t="str"/>
      <x:c r="G92" s="25" t="str">
        <x:v>Automated assertion only; requirement-level mapping is partial</x:v>
      </x:c>
      <x:c r="H92" s="25" t="n">
        <x:v>46292.90018603009</x:v>
      </x:c>
    </x:row>
    <x:row r="93" ht="76" customHeight="1">
      <x:c r="A93" s="25" t="str">
        <x:v>APP-087</x:v>
      </x:c>
      <x:c r="B93" s="25" t="str">
        <x:v>Application</x:v>
      </x:c>
      <x:c r="C93" s="25" t="str">
        <x:v>qualification.test_administration_unit::test_each_administrative_command_has_closed_schema_exact_capability_and_fresh_assurance[create_role_template]</x:v>
      </x:c>
      <x:c r="D93" s="25" t="str">
        <x:v>Pass</x:v>
      </x:c>
      <x:c r="E93" s="25" t="str">
        <x:v>docs/evidence/application-tests.xml</x:v>
      </x:c>
      <x:c r="F93" s="25" t="str"/>
      <x:c r="G93" s="25" t="str">
        <x:v>Automated assertion only; requirement-level mapping is partial</x:v>
      </x:c>
      <x:c r="H93" s="25" t="n">
        <x:v>46292.90018603009</x:v>
      </x:c>
    </x:row>
    <x:row r="94" ht="76" customHeight="1">
      <x:c r="A94" s="25" t="str">
        <x:v>APP-088</x:v>
      </x:c>
      <x:c r="B94" s="25" t="str">
        <x:v>Application</x:v>
      </x:c>
      <x:c r="C94" s="25" t="str">
        <x:v>qualification.test_administration_unit::test_each_administrative_command_has_closed_schema_exact_capability_and_fresh_assurance[revise_role_template]</x:v>
      </x:c>
      <x:c r="D94" s="25" t="str">
        <x:v>Pass</x:v>
      </x:c>
      <x:c r="E94" s="25" t="str">
        <x:v>docs/evidence/application-tests.xml</x:v>
      </x:c>
      <x:c r="F94" s="25" t="str"/>
      <x:c r="G94" s="25" t="str">
        <x:v>Automated assertion only; requirement-level mapping is partial</x:v>
      </x:c>
      <x:c r="H94" s="25" t="n">
        <x:v>46292.90018603009</x:v>
      </x:c>
    </x:row>
    <x:row r="95" ht="76" customHeight="1">
      <x:c r="A95" s="25" t="str">
        <x:v>APP-089</x:v>
      </x:c>
      <x:c r="B95" s="25" t="str">
        <x:v>Application</x:v>
      </x:c>
      <x:c r="C95" s="25" t="str">
        <x:v>qualification.test_administration_unit::test_each_administrative_command_has_closed_schema_exact_capability_and_fresh_assurance[retire_role_template]</x:v>
      </x:c>
      <x:c r="D95" s="25" t="str">
        <x:v>Pass</x:v>
      </x:c>
      <x:c r="E95" s="25" t="str">
        <x:v>docs/evidence/application-tests.xml</x:v>
      </x:c>
      <x:c r="F95" s="25" t="str"/>
      <x:c r="G95" s="25" t="str">
        <x:v>Automated assertion only; requirement-level mapping is partial</x:v>
      </x:c>
      <x:c r="H95" s="25" t="n">
        <x:v>46292.90018603009</x:v>
      </x:c>
    </x:row>
    <x:row r="96" ht="76" customHeight="1">
      <x:c r="A96" s="25" t="str">
        <x:v>APP-090</x:v>
      </x:c>
      <x:c r="B96" s="25" t="str">
        <x:v>Application</x:v>
      </x:c>
      <x:c r="C96" s="25" t="str">
        <x:v>qualification.test_administration_unit::test_each_administrative_command_has_closed_schema_exact_capability_and_fresh_assurance[create_access_group]</x:v>
      </x:c>
      <x:c r="D96" s="25" t="str">
        <x:v>Pass</x:v>
      </x:c>
      <x:c r="E96" s="25" t="str">
        <x:v>docs/evidence/application-tests.xml</x:v>
      </x:c>
      <x:c r="F96" s="25" t="str"/>
      <x:c r="G96" s="25" t="str">
        <x:v>Automated assertion only; requirement-level mapping is partial</x:v>
      </x:c>
      <x:c r="H96" s="25" t="n">
        <x:v>46292.90018603009</x:v>
      </x:c>
    </x:row>
    <x:row r="97" ht="76" customHeight="1">
      <x:c r="A97" s="25" t="str">
        <x:v>APP-091</x:v>
      </x:c>
      <x:c r="B97" s="25" t="str">
        <x:v>Application</x:v>
      </x:c>
      <x:c r="C97" s="25" t="str">
        <x:v>qualification.test_administration_unit::test_each_administrative_command_has_closed_schema_exact_capability_and_fresh_assurance[remove_group_member]</x:v>
      </x:c>
      <x:c r="D97" s="25" t="str">
        <x:v>Pass</x:v>
      </x:c>
      <x:c r="E97" s="25" t="str">
        <x:v>docs/evidence/application-tests.xml</x:v>
      </x:c>
      <x:c r="F97" s="25" t="str"/>
      <x:c r="G97" s="25" t="str">
        <x:v>Automated assertion only; requirement-level mapping is partial</x:v>
      </x:c>
      <x:c r="H97" s="25" t="n">
        <x:v>46292.90018603009</x:v>
      </x:c>
    </x:row>
    <x:row r="98" ht="76" customHeight="1">
      <x:c r="A98" s="25" t="str">
        <x:v>APP-092</x:v>
      </x:c>
      <x:c r="B98" s="25" t="str">
        <x:v>Application</x:v>
      </x:c>
      <x:c r="C98" s="25" t="str">
        <x:v>qualification.test_administration_unit::test_each_administrative_command_has_closed_schema_exact_capability_and_fresh_assurance[retire_access_group]</x:v>
      </x:c>
      <x:c r="D98" s="25" t="str">
        <x:v>Pass</x:v>
      </x:c>
      <x:c r="E98" s="25" t="str">
        <x:v>docs/evidence/application-tests.xml</x:v>
      </x:c>
      <x:c r="F98" s="25" t="str"/>
      <x:c r="G98" s="25" t="str">
        <x:v>Automated assertion only; requirement-level mapping is partial</x:v>
      </x:c>
      <x:c r="H98" s="25" t="n">
        <x:v>46292.90018603009</x:v>
      </x:c>
    </x:row>
    <x:row r="99" ht="76" customHeight="1">
      <x:c r="A99" s="25" t="str">
        <x:v>APP-093</x:v>
      </x:c>
      <x:c r="B99" s="25" t="str">
        <x:v>Application</x:v>
      </x:c>
      <x:c r="C99" s="25" t="str">
        <x:v>qualification.test_administration_unit::test_each_administrative_command_has_closed_schema_exact_capability_and_fresh_assurance[request_group_change]</x:v>
      </x:c>
      <x:c r="D99" s="25" t="str">
        <x:v>Pass</x:v>
      </x:c>
      <x:c r="E99" s="25" t="str">
        <x:v>docs/evidence/application-tests.xml</x:v>
      </x:c>
      <x:c r="F99" s="25" t="str"/>
      <x:c r="G99" s="25" t="str">
        <x:v>Automated assertion only; requirement-level mapping is partial</x:v>
      </x:c>
      <x:c r="H99" s="25" t="n">
        <x:v>46292.90018603009</x:v>
      </x:c>
    </x:row>
    <x:row r="100" ht="76" customHeight="1">
      <x:c r="A100" s="25" t="str">
        <x:v>APP-094</x:v>
      </x:c>
      <x:c r="B100" s="25" t="str">
        <x:v>Application</x:v>
      </x:c>
      <x:c r="C100" s="25" t="str">
        <x:v>qualification.test_administration_unit::test_each_administrative_command_has_closed_schema_exact_capability_and_fresh_assurance[create_organisation_unit]</x:v>
      </x:c>
      <x:c r="D100" s="25" t="str">
        <x:v>Pass</x:v>
      </x:c>
      <x:c r="E100" s="25" t="str">
        <x:v>docs/evidence/application-tests.xml</x:v>
      </x:c>
      <x:c r="F100" s="25" t="str"/>
      <x:c r="G100" s="25" t="str">
        <x:v>Automated assertion only; requirement-level mapping is partial</x:v>
      </x:c>
      <x:c r="H100" s="25" t="n">
        <x:v>46292.90018603009</x:v>
      </x:c>
    </x:row>
    <x:row r="101" ht="76" customHeight="1">
      <x:c r="A101" s="25" t="str">
        <x:v>APP-095</x:v>
      </x:c>
      <x:c r="B101" s="25" t="str">
        <x:v>Application</x:v>
      </x:c>
      <x:c r="C101" s="25" t="str">
        <x:v>qualification.test_administration_unit::test_each_administrative_command_has_closed_schema_exact_capability_and_fresh_assurance[reparent_organisation_unit]</x:v>
      </x:c>
      <x:c r="D101" s="25" t="str">
        <x:v>Pass</x:v>
      </x:c>
      <x:c r="E101" s="25" t="str">
        <x:v>docs/evidence/application-tests.xml</x:v>
      </x:c>
      <x:c r="F101" s="25" t="str"/>
      <x:c r="G101" s="25" t="str">
        <x:v>Automated assertion only; requirement-level mapping is partial</x:v>
      </x:c>
      <x:c r="H101" s="25" t="n">
        <x:v>46292.90018603009</x:v>
      </x:c>
    </x:row>
    <x:row r="102" ht="76" customHeight="1">
      <x:c r="A102" s="25" t="str">
        <x:v>APP-096</x:v>
      </x:c>
      <x:c r="B102" s="25" t="str">
        <x:v>Application</x:v>
      </x:c>
      <x:c r="C102" s="25" t="str">
        <x:v>qualification.test_administration_unit::test_each_administrative_command_has_closed_schema_exact_capability_and_fresh_assurance[rename_organisation_unit]</x:v>
      </x:c>
      <x:c r="D102" s="25" t="str">
        <x:v>Pass</x:v>
      </x:c>
      <x:c r="E102" s="25" t="str">
        <x:v>docs/evidence/application-tests.xml</x:v>
      </x:c>
      <x:c r="F102" s="25" t="str"/>
      <x:c r="G102" s="25" t="str">
        <x:v>Automated assertion only; requirement-level mapping is partial</x:v>
      </x:c>
      <x:c r="H102" s="25" t="n">
        <x:v>46292.90018603009</x:v>
      </x:c>
    </x:row>
    <x:row r="103" ht="76" customHeight="1">
      <x:c r="A103" s="25" t="str">
        <x:v>APP-097</x:v>
      </x:c>
      <x:c r="B103" s="25" t="str">
        <x:v>Application</x:v>
      </x:c>
      <x:c r="C103" s="25" t="str">
        <x:v>qualification.test_administration_unit::test_each_administrative_command_has_closed_schema_exact_capability_and_fresh_assurance[request_membership_renewal]</x:v>
      </x:c>
      <x:c r="D103" s="25" t="str">
        <x:v>Pass</x:v>
      </x:c>
      <x:c r="E103" s="25" t="str">
        <x:v>docs/evidence/application-tests.xml</x:v>
      </x:c>
      <x:c r="F103" s="25" t="str"/>
      <x:c r="G103" s="25" t="str">
        <x:v>Automated assertion only; requirement-level mapping is partial</x:v>
      </x:c>
      <x:c r="H103" s="25" t="n">
        <x:v>46292.90018603009</x:v>
      </x:c>
    </x:row>
    <x:row r="104" ht="76" customHeight="1">
      <x:c r="A104" s="25" t="str">
        <x:v>APP-098</x:v>
      </x:c>
      <x:c r="B104" s="25" t="str">
        <x:v>Application</x:v>
      </x:c>
      <x:c r="C104" s="25" t="str">
        <x:v>qualification.test_administration_unit::test_each_administrative_command_has_closed_schema_exact_capability_and_fresh_assurance[nominate_owner]</x:v>
      </x:c>
      <x:c r="D104" s="25" t="str">
        <x:v>Pass</x:v>
      </x:c>
      <x:c r="E104" s="25" t="str">
        <x:v>docs/evidence/application-tests.xml</x:v>
      </x:c>
      <x:c r="F104" s="25" t="str"/>
      <x:c r="G104" s="25" t="str">
        <x:v>Automated assertion only; requirement-level mapping is partial</x:v>
      </x:c>
      <x:c r="H104" s="25" t="n">
        <x:v>46292.90018603009</x:v>
      </x:c>
    </x:row>
    <x:row r="105" ht="76" customHeight="1">
      <x:c r="A105" s="25" t="str">
        <x:v>APP-099</x:v>
      </x:c>
      <x:c r="B105" s="25" t="str">
        <x:v>Application</x:v>
      </x:c>
      <x:c r="C105" s="25" t="str">
        <x:v>qualification.test_administration_unit::test_each_administrative_command_has_closed_schema_exact_capability_and_fresh_assurance[accept_ownership]</x:v>
      </x:c>
      <x:c r="D105" s="25" t="str">
        <x:v>Pass</x:v>
      </x:c>
      <x:c r="E105" s="25" t="str">
        <x:v>docs/evidence/application-tests.xml</x:v>
      </x:c>
      <x:c r="F105" s="25" t="str"/>
      <x:c r="G105" s="25" t="str">
        <x:v>Automated assertion only; requirement-level mapping is partial</x:v>
      </x:c>
      <x:c r="H105" s="25" t="n">
        <x:v>46292.90018603009</x:v>
      </x:c>
    </x:row>
    <x:row r="106" ht="76" customHeight="1">
      <x:c r="A106" s="25" t="str">
        <x:v>APP-100</x:v>
      </x:c>
      <x:c r="B106" s="25" t="str">
        <x:v>Application</x:v>
      </x:c>
      <x:c r="C106" s="25" t="str">
        <x:v>qualification.test_administration_unit::test_each_administrative_command_has_closed_schema_exact_capability_and_fresh_assurance[cancel_ownership]</x:v>
      </x:c>
      <x:c r="D106" s="25" t="str">
        <x:v>Pass</x:v>
      </x:c>
      <x:c r="E106" s="25" t="str">
        <x:v>docs/evidence/application-tests.xml</x:v>
      </x:c>
      <x:c r="F106" s="25" t="str"/>
      <x:c r="G106" s="25" t="str">
        <x:v>Automated assertion only; requirement-level mapping is partial</x:v>
      </x:c>
      <x:c r="H106" s="25" t="n">
        <x:v>46292.90018603009</x:v>
      </x:c>
    </x:row>
    <x:row r="107" ht="76" customHeight="1">
      <x:c r="A107" s="25" t="str">
        <x:v>APP-101</x:v>
      </x:c>
      <x:c r="B107" s="25" t="str">
        <x:v>Application</x:v>
      </x:c>
      <x:c r="C107" s="25" t="str">
        <x:v>qualification.test_administration_unit::test_each_administrative_command_has_closed_schema_exact_capability_and_fresh_assurance[approve_group_change_requests]</x:v>
      </x:c>
      <x:c r="D107" s="25" t="str">
        <x:v>Pass</x:v>
      </x:c>
      <x:c r="E107" s="25" t="str">
        <x:v>docs/evidence/application-tests.xml</x:v>
      </x:c>
      <x:c r="F107" s="25" t="str"/>
      <x:c r="G107" s="25" t="str">
        <x:v>Automated assertion only; requirement-level mapping is partial</x:v>
      </x:c>
      <x:c r="H107" s="25" t="n">
        <x:v>46292.90018603009</x:v>
      </x:c>
    </x:row>
    <x:row r="108" ht="76" customHeight="1">
      <x:c r="A108" s="25" t="str">
        <x:v>APP-102</x:v>
      </x:c>
      <x:c r="B108" s="25" t="str">
        <x:v>Application</x:v>
      </x:c>
      <x:c r="C108" s="25" t="str">
        <x:v>qualification.test_administration_unit::test_each_administrative_command_has_closed_schema_exact_capability_and_fresh_assurance[reject_group_change_requests]</x:v>
      </x:c>
      <x:c r="D108" s="25" t="str">
        <x:v>Pass</x:v>
      </x:c>
      <x:c r="E108" s="25" t="str">
        <x:v>docs/evidence/application-tests.xml</x:v>
      </x:c>
      <x:c r="F108" s="25" t="str"/>
      <x:c r="G108" s="25" t="str">
        <x:v>Automated assertion only; requirement-level mapping is partial</x:v>
      </x:c>
      <x:c r="H108" s="25" t="n">
        <x:v>46292.90018603009</x:v>
      </x:c>
    </x:row>
    <x:row r="109" ht="76" customHeight="1">
      <x:c r="A109" s="25" t="str">
        <x:v>APP-103</x:v>
      </x:c>
      <x:c r="B109" s="25" t="str">
        <x:v>Application</x:v>
      </x:c>
      <x:c r="C109" s="25" t="str">
        <x:v>qualification.test_administration_unit::test_each_administrative_command_has_closed_schema_exact_capability_and_fresh_assurance[approve_renewal_requests]</x:v>
      </x:c>
      <x:c r="D109" s="25" t="str">
        <x:v>Pass</x:v>
      </x:c>
      <x:c r="E109" s="25" t="str">
        <x:v>docs/evidence/application-tests.xml</x:v>
      </x:c>
      <x:c r="F109" s="25" t="str"/>
      <x:c r="G109" s="25" t="str">
        <x:v>Automated assertion only; requirement-level mapping is partial</x:v>
      </x:c>
      <x:c r="H109" s="25" t="n">
        <x:v>46292.90018603009</x:v>
      </x:c>
    </x:row>
    <x:row r="110" ht="76" customHeight="1">
      <x:c r="A110" s="25" t="str">
        <x:v>APP-104</x:v>
      </x:c>
      <x:c r="B110" s="25" t="str">
        <x:v>Application</x:v>
      </x:c>
      <x:c r="C110" s="25" t="str">
        <x:v>qualification.test_administration_unit::test_each_administrative_command_has_closed_schema_exact_capability_and_fresh_assurance[reject_renewal_requests]</x:v>
      </x:c>
      <x:c r="D110" s="25" t="str">
        <x:v>Pass</x:v>
      </x:c>
      <x:c r="E110" s="25" t="str">
        <x:v>docs/evidence/application-tests.xml</x:v>
      </x:c>
      <x:c r="F110" s="25" t="str"/>
      <x:c r="G110" s="25" t="str">
        <x:v>Automated assertion only; requirement-level mapping is partial</x:v>
      </x:c>
      <x:c r="H110" s="25" t="n">
        <x:v>46292.90018603009</x:v>
      </x:c>
    </x:row>
    <x:row r="111" ht="76" customHeight="1">
      <x:c r="A111" s="25" t="str">
        <x:v>APP-105</x:v>
      </x:c>
      <x:c r="B111" s="25" t="str">
        <x:v>Application</x:v>
      </x:c>
      <x:c r="C111" s="25" t="str">
        <x:v>qualification.test_administration_unit::test_production_requires_separate_strong_invitation_key[]</x:v>
      </x:c>
      <x:c r="D111" s="25" t="str">
        <x:v>Pass</x:v>
      </x:c>
      <x:c r="E111" s="25" t="str">
        <x:v>docs/evidence/application-tests.xml</x:v>
      </x:c>
      <x:c r="F111" s="25" t="str"/>
      <x:c r="G111" s="25" t="str">
        <x:v>Automated assertion only; requirement-level mapping is partial</x:v>
      </x:c>
      <x:c r="H111" s="25" t="n">
        <x:v>46292.90018603009</x:v>
      </x:c>
    </x:row>
    <x:row r="112" ht="76" customHeight="1">
      <x:c r="A112" s="25" t="str">
        <x:v>APP-106</x:v>
      </x:c>
      <x:c r="B112" s="25" t="str">
        <x:v>Application</x:v>
      </x:c>
      <x:c r="C112" s="25" t="str">
        <x:v>qualification.test_administration_unit::test_production_requires_separate_strong_invitation_key[xxxxxxxxxxxxxxxxxxxxxxxxxxxxxxxxxxxxxxxxxxxxxxx]</x:v>
      </x:c>
      <x:c r="D112" s="25" t="str">
        <x:v>Pass</x:v>
      </x:c>
      <x:c r="E112" s="25" t="str">
        <x:v>docs/evidence/application-tests.xml</x:v>
      </x:c>
      <x:c r="F112" s="25" t="str"/>
      <x:c r="G112" s="25" t="str">
        <x:v>Automated assertion only; requirement-level mapping is partial</x:v>
      </x:c>
      <x:c r="H112" s="25" t="n">
        <x:v>46292.90018603009</x:v>
      </x:c>
    </x:row>
    <x:row r="113" ht="76" customHeight="1">
      <x:c r="A113" s="25" t="str">
        <x:v>APP-107</x:v>
      </x:c>
      <x:c r="B113" s="25" t="str">
        <x:v>Application</x:v>
      </x:c>
      <x:c r="C113" s="25" t="str">
        <x:v>qualification.test_administration_unit::test_production_requires_separate_strong_invitation_key[cccccccccccccccccccccccccccccccccccccccccccccccccccccccccccccccc]</x:v>
      </x:c>
      <x:c r="D113" s="25" t="str">
        <x:v>Pass</x:v>
      </x:c>
      <x:c r="E113" s="25" t="str">
        <x:v>docs/evidence/application-tests.xml</x:v>
      </x:c>
      <x:c r="F113" s="25" t="str"/>
      <x:c r="G113" s="25" t="str">
        <x:v>Automated assertion only; requirement-level mapping is partial</x:v>
      </x:c>
      <x:c r="H113" s="25" t="n">
        <x:v>46292.90018603009</x:v>
      </x:c>
    </x:row>
    <x:row r="114" ht="76" customHeight="1">
      <x:c r="A114" s="25" t="str">
        <x:v>APP-108</x:v>
      </x:c>
      <x:c r="B114" s="25" t="str">
        <x:v>Application</x:v>
      </x:c>
      <x:c r="C114" s="25" t="str">
        <x:v>qualification.test_changes::test_correction_keeps_effective_source_until_approval_and_stales_result</x:v>
      </x:c>
      <x:c r="D114" s="25" t="str">
        <x:v>Pass</x:v>
      </x:c>
      <x:c r="E114" s="25" t="str">
        <x:v>docs/evidence/application-tests.xml</x:v>
      </x:c>
      <x:c r="F114" s="25" t="str"/>
      <x:c r="G114" s="25" t="str">
        <x:v>Automated assertion only; requirement-level mapping is partial</x:v>
      </x:c>
      <x:c r="H114" s="25" t="n">
        <x:v>46292.90018603009</x:v>
      </x:c>
    </x:row>
    <x:row r="115" ht="76" customHeight="1">
      <x:c r="A115" s="25" t="str">
        <x:v>APP-109</x:v>
      </x:c>
      <x:c r="B115" s="25" t="str">
        <x:v>Application</x:v>
      </x:c>
      <x:c r="C115" s="25" t="str">
        <x:v>qualification.test_changes::test_correction_author_cannot_approve_and_rejection_preserves_source</x:v>
      </x:c>
      <x:c r="D115" s="25" t="str">
        <x:v>Pass</x:v>
      </x:c>
      <x:c r="E115" s="25" t="str">
        <x:v>docs/evidence/application-tests.xml</x:v>
      </x:c>
      <x:c r="F115" s="25" t="str"/>
      <x:c r="G115" s="25" t="str">
        <x:v>Automated assertion only; requirement-level mapping is partial</x:v>
      </x:c>
      <x:c r="H115" s="25" t="n">
        <x:v>46292.90018603009</x:v>
      </x:c>
    </x:row>
    <x:row r="116" ht="76" customHeight="1">
      <x:c r="A116" s="25" t="str">
        <x:v>APP-110</x:v>
      </x:c>
      <x:c r="B116" s="25" t="str">
        <x:v>Application</x:v>
      </x:c>
      <x:c r="C116" s="25" t="str">
        <x:v>qualification.test_changes::test_competing_corrections_recheck_target_atomically</x:v>
      </x:c>
      <x:c r="D116" s="25" t="str">
        <x:v>Pass</x:v>
      </x:c>
      <x:c r="E116" s="25" t="str">
        <x:v>docs/evidence/application-tests.xml</x:v>
      </x:c>
      <x:c r="F116" s="25" t="str"/>
      <x:c r="G116" s="25" t="str">
        <x:v>Automated assertion only; requirement-level mapping is partial</x:v>
      </x:c>
      <x:c r="H116" s="25" t="n">
        <x:v>46292.90018603009</x:v>
      </x:c>
    </x:row>
    <x:row r="117" ht="76" customHeight="1">
      <x:c r="A117" s="25" t="str">
        <x:v>APP-111</x:v>
      </x:c>
      <x:c r="B117" s="25" t="str">
        <x:v>Application</x:v>
      </x:c>
      <x:c r="C117" s="25" t="str">
        <x:v>qualification.test_changes::test_plan_amendment_preserves_history_and_changes_binding</x:v>
      </x:c>
      <x:c r="D117" s="25" t="str">
        <x:v>Pass</x:v>
      </x:c>
      <x:c r="E117" s="25" t="str">
        <x:v>docs/evidence/application-tests.xml</x:v>
      </x:c>
      <x:c r="F117" s="25" t="str"/>
      <x:c r="G117" s="25" t="str">
        <x:v>Automated assertion only; requirement-level mapping is partial</x:v>
      </x:c>
      <x:c r="H117" s="25" t="n">
        <x:v>46292.90018603009</x:v>
      </x:c>
    </x:row>
    <x:row r="118" ht="76" customHeight="1">
      <x:c r="A118" s="25" t="str">
        <x:v>APP-112</x:v>
      </x:c>
      <x:c r="B118" s="25" t="str">
        <x:v>Application</x:v>
      </x:c>
      <x:c r="C118" s="25" t="str">
        <x:v>qualification.test_changes::test_plan_cannot_remove_obligations_to_inflate_coverage</x:v>
      </x:c>
      <x:c r="D118" s="25" t="str">
        <x:v>Pass</x:v>
      </x:c>
      <x:c r="E118" s="25" t="str">
        <x:v>docs/evidence/application-tests.xml</x:v>
      </x:c>
      <x:c r="F118" s="25" t="str"/>
      <x:c r="G118" s="25" t="str">
        <x:v>Automated assertion only; requirement-level mapping is partial</x:v>
      </x:c>
      <x:c r="H118" s="25" t="n">
        <x:v>46292.90018603009</x:v>
      </x:c>
    </x:row>
    <x:row r="119" ht="76" customHeight="1">
      <x:c r="A119" s="25" t="str">
        <x:v>APP-113</x:v>
      </x:c>
      <x:c r="B119" s="25" t="str">
        <x:v>Application</x:v>
      </x:c>
      <x:c r="C119" s="25" t="str">
        <x:v>qualification.test_changes::test_correction_contract_rejects_identity_and_authority_changes[indicator_id]</x:v>
      </x:c>
      <x:c r="D119" s="25" t="str">
        <x:v>Pass</x:v>
      </x:c>
      <x:c r="E119" s="25" t="str">
        <x:v>docs/evidence/application-tests.xml</x:v>
      </x:c>
      <x:c r="F119" s="25" t="str"/>
      <x:c r="G119" s="25" t="str">
        <x:v>Automated assertion only; requirement-level mapping is partial</x:v>
      </x:c>
      <x:c r="H119" s="25" t="n">
        <x:v>46292.90018603009</x:v>
      </x:c>
    </x:row>
    <x:row r="120" ht="76" customHeight="1">
      <x:c r="A120" s="25" t="str">
        <x:v>APP-114</x:v>
      </x:c>
      <x:c r="B120" s="25" t="str">
        <x:v>Application</x:v>
      </x:c>
      <x:c r="C120" s="25" t="str">
        <x:v>qualification.test_changes::test_correction_contract_rejects_identity_and_authority_changes[source_key]</x:v>
      </x:c>
      <x:c r="D120" s="25" t="str">
        <x:v>Pass</x:v>
      </x:c>
      <x:c r="E120" s="25" t="str">
        <x:v>docs/evidence/application-tests.xml</x:v>
      </x:c>
      <x:c r="F120" s="25" t="str"/>
      <x:c r="G120" s="25" t="str">
        <x:v>Automated assertion only; requirement-level mapping is partial</x:v>
      </x:c>
      <x:c r="H120" s="25" t="n">
        <x:v>46292.90018603009</x:v>
      </x:c>
    </x:row>
    <x:row r="121" ht="76" customHeight="1">
      <x:c r="A121" s="25" t="str">
        <x:v>APP-115</x:v>
      </x:c>
      <x:c r="B121" s="25" t="str">
        <x:v>Application</x:v>
      </x:c>
      <x:c r="C121" s="25" t="str">
        <x:v>qualification.test_changes::test_correction_contract_rejects_identity_and_authority_changes[event_at]</x:v>
      </x:c>
      <x:c r="D121" s="25" t="str">
        <x:v>Pass</x:v>
      </x:c>
      <x:c r="E121" s="25" t="str">
        <x:v>docs/evidence/application-tests.xml</x:v>
      </x:c>
      <x:c r="F121" s="25" t="str"/>
      <x:c r="G121" s="25" t="str">
        <x:v>Automated assertion only; requirement-level mapping is partial</x:v>
      </x:c>
      <x:c r="H121" s="25" t="n">
        <x:v>46292.90018603009</x:v>
      </x:c>
    </x:row>
    <x:row r="122" ht="76" customHeight="1">
      <x:c r="A122" s="25" t="str">
        <x:v>APP-116</x:v>
      </x:c>
      <x:c r="B122" s="25" t="str">
        <x:v>Application</x:v>
      </x:c>
      <x:c r="C122" s="25" t="str">
        <x:v>qualification.test_changes::test_correction_contract_rejects_identity_and_authority_changes[approval_state]</x:v>
      </x:c>
      <x:c r="D122" s="25" t="str">
        <x:v>Pass</x:v>
      </x:c>
      <x:c r="E122" s="25" t="str">
        <x:v>docs/evidence/application-tests.xml</x:v>
      </x:c>
      <x:c r="F122" s="25" t="str"/>
      <x:c r="G122" s="25" t="str">
        <x:v>Automated assertion only; requirement-level mapping is partial</x:v>
      </x:c>
      <x:c r="H122" s="25" t="n">
        <x:v>46292.90018603009</x:v>
      </x:c>
    </x:row>
    <x:row r="123" ht="76" customHeight="1">
      <x:c r="A123" s="25" t="str">
        <x:v>APP-117</x:v>
      </x:c>
      <x:c r="B123" s="25" t="str">
        <x:v>Application</x:v>
      </x:c>
      <x:c r="C123" s="25" t="str">
        <x:v>qualification.test_changes::test_correction_contract_rejects_identity_and_authority_changes[tenant_id]</x:v>
      </x:c>
      <x:c r="D123" s="25" t="str">
        <x:v>Pass</x:v>
      </x:c>
      <x:c r="E123" s="25" t="str">
        <x:v>docs/evidence/application-tests.xml</x:v>
      </x:c>
      <x:c r="F123" s="25" t="str"/>
      <x:c r="G123" s="25" t="str">
        <x:v>Automated assertion only; requirement-level mapping is partial</x:v>
      </x:c>
      <x:c r="H123" s="25" t="n">
        <x:v>46292.90018603009</x:v>
      </x:c>
    </x:row>
    <x:row r="124" ht="76" customHeight="1">
      <x:c r="A124" s="25" t="str">
        <x:v>APP-118</x:v>
      </x:c>
      <x:c r="B124" s="25" t="str">
        <x:v>Application</x:v>
      </x:c>
      <x:c r="C124" s="25" t="str">
        <x:v>qualification.test_changes::test_change_cross_tenant_and_scope_hidden_and_effect_rls</x:v>
      </x:c>
      <x:c r="D124" s="25" t="str">
        <x:v>Pass</x:v>
      </x:c>
      <x:c r="E124" s="25" t="str">
        <x:v>docs/evidence/application-tests.xml</x:v>
      </x:c>
      <x:c r="F124" s="25" t="str"/>
      <x:c r="G124" s="25" t="str">
        <x:v>Automated assertion only; requirement-level mapping is partial</x:v>
      </x:c>
      <x:c r="H124" s="25" t="n">
        <x:v>46292.90018603009</x:v>
      </x:c>
    </x:row>
    <x:row r="125" ht="76" customHeight="1">
      <x:c r="A125" s="25" t="str">
        <x:v>APP-119</x:v>
      </x:c>
      <x:c r="B125" s="25" t="str">
        <x:v>Application</x:v>
      </x:c>
      <x:c r="C125" s="25" t="str">
        <x:v>qualification.test_changes::test_reassignment_independent_approval_preserves_pending_candidate_and_decisions</x:v>
      </x:c>
      <x:c r="D125" s="25" t="str">
        <x:v>Pass</x:v>
      </x:c>
      <x:c r="E125" s="25" t="str">
        <x:v>docs/evidence/application-tests.xml</x:v>
      </x:c>
      <x:c r="F125" s="25" t="str"/>
      <x:c r="G125" s="25" t="str">
        <x:v>Automated assertion only; requirement-level mapping is partial</x:v>
      </x:c>
      <x:c r="H125" s="25" t="n">
        <x:v>46292.90018603009</x:v>
      </x:c>
    </x:row>
    <x:row r="126" ht="76" customHeight="1">
      <x:c r="A126" s="25" t="str">
        <x:v>APP-120</x:v>
      </x:c>
      <x:c r="B126" s="25" t="str">
        <x:v>Application</x:v>
      </x:c>
      <x:c r="C126" s="25" t="str">
        <x:v>qualification.test_changes::test_approved_amendment_retry_has_one_effect_and_target_event</x:v>
      </x:c>
      <x:c r="D126" s="25" t="str">
        <x:v>Pass</x:v>
      </x:c>
      <x:c r="E126" s="25" t="str">
        <x:v>docs/evidence/application-tests.xml</x:v>
      </x:c>
      <x:c r="F126" s="25" t="str"/>
      <x:c r="G126" s="25" t="str">
        <x:v>Automated assertion only; requirement-level mapping is partial</x:v>
      </x:c>
      <x:c r="H126" s="25" t="n">
        <x:v>46292.90018603009</x:v>
      </x:c>
    </x:row>
    <x:row r="127" ht="76" customHeight="1">
      <x:c r="A127" s="25" t="str">
        <x:v>APP-121</x:v>
      </x:c>
      <x:c r="B127" s="25" t="str">
        <x:v>Application</x:v>
      </x:c>
      <x:c r="C127" s="25" t="str">
        <x:v>qualification.test_changes::test_pooled_components_can_be_corrected_without_new_source_identity</x:v>
      </x:c>
      <x:c r="D127" s="25" t="str">
        <x:v>Pass</x:v>
      </x:c>
      <x:c r="E127" s="25" t="str">
        <x:v>docs/evidence/application-tests.xml</x:v>
      </x:c>
      <x:c r="F127" s="25" t="str"/>
      <x:c r="G127" s="25" t="str">
        <x:v>Automated assertion only; requirement-level mapping is partial</x:v>
      </x:c>
      <x:c r="H127" s="25" t="n">
        <x:v>46292.90018603009</x:v>
      </x:c>
    </x:row>
    <x:row r="128" ht="76" customHeight="1">
      <x:c r="A128" s="25" t="str">
        <x:v>APP-122</x:v>
      </x:c>
      <x:c r="B128" s="25" t="str">
        <x:v>Application</x:v>
      </x:c>
      <x:c r="C128" s="25" t="str">
        <x:v>qualification.test_changes::test_closed_period_blocks_amendment_without_restatement</x:v>
      </x:c>
      <x:c r="D128" s="25" t="str">
        <x:v>Pass</x:v>
      </x:c>
      <x:c r="E128" s="25" t="str">
        <x:v>docs/evidence/application-tests.xml</x:v>
      </x:c>
      <x:c r="F128" s="25" t="str"/>
      <x:c r="G128" s="25" t="str">
        <x:v>Automated assertion only; requirement-level mapping is partial</x:v>
      </x:c>
      <x:c r="H128" s="25" t="n">
        <x:v>46292.90018603009</x:v>
      </x:c>
    </x:row>
    <x:row r="129" ht="76" customHeight="1">
      <x:c r="A129" s="25" t="str">
        <x:v>APP-123</x:v>
      </x:c>
      <x:c r="B129" s="25" t="str">
        <x:v>Application</x:v>
      </x:c>
      <x:c r="C129" s="25" t="str">
        <x:v>qualification.test_changes::test_connection_handoffs_preserve_tenant_reads_and_administrative_scope</x:v>
      </x:c>
      <x:c r="D129" s="25" t="str">
        <x:v>Pass</x:v>
      </x:c>
      <x:c r="E129" s="25" t="str">
        <x:v>docs/evidence/application-tests.xml</x:v>
      </x:c>
      <x:c r="F129" s="25" t="str"/>
      <x:c r="G129" s="25" t="str">
        <x:v>Automated assertion only; requirement-level mapping is partial</x:v>
      </x:c>
      <x:c r="H129" s="25" t="n">
        <x:v>46292.90018603009</x:v>
      </x:c>
    </x:row>
    <x:row r="130" ht="76" customHeight="1">
      <x:c r="A130" s="25" t="str">
        <x:v>APP-124</x:v>
      </x:c>
      <x:c r="B130" s="25" t="str">
        <x:v>Application</x:v>
      </x:c>
      <x:c r="C130" s="25" t="str">
        <x:v>qualification.test_live_application::test_observation_review_calculation_freshness</x:v>
      </x:c>
      <x:c r="D130" s="25" t="str">
        <x:v>Pass</x:v>
      </x:c>
      <x:c r="E130" s="25" t="str">
        <x:v>docs/evidence/application-tests.xml</x:v>
      </x:c>
      <x:c r="F130" s="25" t="str">
        <x:v>FR-ACC-001; FR-ACC-004; FR-ACC-005; FR-ACC-011; FR-INT-004; FR-INT-005; FR-SEC-003; FR-SEC-004; FR-SEC-007; FR-SEC-012</x:v>
      </x:c>
      <x:c r="G130" s="25" t="str">
        <x:v>Automated assertion only; requirement-level mapping is partial</x:v>
      </x:c>
      <x:c r="H130" s="25" t="n">
        <x:v>46292.90018603009</x:v>
      </x:c>
    </x:row>
    <x:row r="131" ht="76" customHeight="1">
      <x:c r="A131" s="25" t="str">
        <x:v>APP-125</x:v>
      </x:c>
      <x:c r="B131" s="25" t="str">
        <x:v>Application</x:v>
      </x:c>
      <x:c r="C131" s="25" t="str">
        <x:v>qualification.test_live_application::test_cross_tenant_reference_is_atomic</x:v>
      </x:c>
      <x:c r="D131" s="25" t="str">
        <x:v>Pass</x:v>
      </x:c>
      <x:c r="E131" s="25" t="str">
        <x:v>docs/evidence/application-tests.xml</x:v>
      </x:c>
      <x:c r="F131" s="25" t="str">
        <x:v>FR-ACC-001; FR-ACC-004; FR-ACC-005; FR-ACC-011; FR-INT-004; FR-INT-005; FR-SEC-003; FR-SEC-004; FR-SEC-007; FR-SEC-012</x:v>
      </x:c>
      <x:c r="G131" s="25" t="str">
        <x:v>Automated assertion only; requirement-level mapping is partial</x:v>
      </x:c>
      <x:c r="H131" s="25" t="n">
        <x:v>46292.90018603009</x:v>
      </x:c>
    </x:row>
    <x:row r="132" ht="76" customHeight="1">
      <x:c r="A132" s="25" t="str">
        <x:v>APP-126</x:v>
      </x:c>
      <x:c r="B132" s="25" t="str">
        <x:v>Application</x:v>
      </x:c>
      <x:c r="C132" s="25" t="str">
        <x:v>qualification.test_live_application::test_retry_has_one_revision_audit_outbox_receipt</x:v>
      </x:c>
      <x:c r="D132" s="25" t="str">
        <x:v>Pass</x:v>
      </x:c>
      <x:c r="E132" s="25" t="str">
        <x:v>docs/evidence/application-tests.xml</x:v>
      </x:c>
      <x:c r="F132" s="25" t="str">
        <x:v>FR-ACC-001; FR-ACC-004; FR-ACC-005; FR-ACC-011; FR-INT-004; FR-INT-005; FR-SEC-003; FR-SEC-004; FR-SEC-007; FR-SEC-012</x:v>
      </x:c>
      <x:c r="G132" s="25" t="str">
        <x:v>Automated assertion only; requirement-level mapping is partial</x:v>
      </x:c>
      <x:c r="H132" s="25" t="n">
        <x:v>46292.90018603009</x:v>
      </x:c>
    </x:row>
    <x:row r="133" ht="76" customHeight="1">
      <x:c r="A133" s="25" t="str">
        <x:v>APP-127</x:v>
      </x:c>
      <x:c r="B133" s="25" t="str">
        <x:v>Application</x:v>
      </x:c>
      <x:c r="C133" s="25" t="str">
        <x:v>qualification.test_live_application::test_duplicate_source_key</x:v>
      </x:c>
      <x:c r="D133" s="25" t="str">
        <x:v>Pass</x:v>
      </x:c>
      <x:c r="E133" s="25" t="str">
        <x:v>docs/evidence/application-tests.xml</x:v>
      </x:c>
      <x:c r="F133" s="25" t="str">
        <x:v>FR-ACC-001; FR-ACC-004; FR-ACC-005; FR-ACC-011; FR-INT-004; FR-INT-005; FR-SEC-003; FR-SEC-004; FR-SEC-007; FR-SEC-012</x:v>
      </x:c>
      <x:c r="G133" s="25" t="str">
        <x:v>Automated assertion only; requirement-level mapping is partial</x:v>
      </x:c>
      <x:c r="H133" s="25" t="n">
        <x:v>46292.90018603009</x:v>
      </x:c>
    </x:row>
    <x:row r="134" ht="76" customHeight="1">
      <x:c r="A134" s="25" t="str">
        <x:v>APP-128</x:v>
      </x:c>
      <x:c r="B134" s="25" t="str">
        <x:v>Application</x:v>
      </x:c>
      <x:c r="C134" s="25" t="str">
        <x:v>qualification.test_live_application::test_database_tenant_fence_and_immutable_revisions</x:v>
      </x:c>
      <x:c r="D134" s="25" t="str">
        <x:v>Pass</x:v>
      </x:c>
      <x:c r="E134" s="25" t="str">
        <x:v>docs/evidence/application-tests.xml</x:v>
      </x:c>
      <x:c r="F134" s="25" t="str">
        <x:v>FR-ACC-001; FR-ACC-004; FR-ACC-005; FR-ACC-011; FR-INT-004; FR-INT-005; FR-SEC-003; FR-SEC-004; FR-SEC-007; FR-SEC-012</x:v>
      </x:c>
      <x:c r="G134" s="25" t="str">
        <x:v>Automated assertion only; requirement-level mapping is partial</x:v>
      </x:c>
      <x:c r="H134" s="25" t="n">
        <x:v>46292.90018603009</x:v>
      </x:c>
    </x:row>
    <x:row r="135" ht="76" customHeight="1">
      <x:c r="A135" s="25" t="str">
        <x:v>APP-129</x:v>
      </x:c>
      <x:c r="B135" s="25" t="str">
        <x:v>Application</x:v>
      </x:c>
      <x:c r="C135" s="25" t="str">
        <x:v>qualification.test_live_application::test_invalid_signed_tokens[override0]</x:v>
      </x:c>
      <x:c r="D135" s="25" t="str">
        <x:v>Pass</x:v>
      </x:c>
      <x:c r="E135" s="25" t="str">
        <x:v>docs/evidence/application-tests.xml</x:v>
      </x:c>
      <x:c r="F135" s="25" t="str">
        <x:v>FR-ACC-001; FR-ACC-004; FR-ACC-005; FR-ACC-011; FR-INT-004; FR-INT-005; FR-SEC-003; FR-SEC-004; FR-SEC-007; FR-SEC-012</x:v>
      </x:c>
      <x:c r="G135" s="25" t="str">
        <x:v>Automated assertion only; requirement-level mapping is partial</x:v>
      </x:c>
      <x:c r="H135" s="25" t="n">
        <x:v>46292.90018603009</x:v>
      </x:c>
    </x:row>
    <x:row r="136" ht="76" customHeight="1">
      <x:c r="A136" s="25" t="str">
        <x:v>APP-130</x:v>
      </x:c>
      <x:c r="B136" s="25" t="str">
        <x:v>Application</x:v>
      </x:c>
      <x:c r="C136" s="25" t="str">
        <x:v>qualification.test_live_application::test_invalid_signed_tokens[override1]</x:v>
      </x:c>
      <x:c r="D136" s="25" t="str">
        <x:v>Pass</x:v>
      </x:c>
      <x:c r="E136" s="25" t="str">
        <x:v>docs/evidence/application-tests.xml</x:v>
      </x:c>
      <x:c r="F136" s="25" t="str">
        <x:v>FR-ACC-001; FR-ACC-004; FR-ACC-005; FR-ACC-011; FR-INT-004; FR-INT-005; FR-SEC-003; FR-SEC-004; FR-SEC-007; FR-SEC-012</x:v>
      </x:c>
      <x:c r="G136" s="25" t="str">
        <x:v>Automated assertion only; requirement-level mapping is partial</x:v>
      </x:c>
      <x:c r="H136" s="25" t="n">
        <x:v>46292.90018603009</x:v>
      </x:c>
    </x:row>
    <x:row r="137" ht="76" customHeight="1">
      <x:c r="A137" s="25" t="str">
        <x:v>APP-131</x:v>
      </x:c>
      <x:c r="B137" s="25" t="str">
        <x:v>Application</x:v>
      </x:c>
      <x:c r="C137" s="25" t="str">
        <x:v>qualification.test_live_application::test_invalid_signed_tokens[override2]</x:v>
      </x:c>
      <x:c r="D137" s="25" t="str">
        <x:v>Pass</x:v>
      </x:c>
      <x:c r="E137" s="25" t="str">
        <x:v>docs/evidence/application-tests.xml</x:v>
      </x:c>
      <x:c r="F137" s="25" t="str">
        <x:v>FR-ACC-001; FR-ACC-004; FR-ACC-005; FR-ACC-011; FR-INT-004; FR-INT-005; FR-SEC-003; FR-SEC-004; FR-SEC-007; FR-SEC-012</x:v>
      </x:c>
      <x:c r="G137" s="25" t="str">
        <x:v>Automated assertion only; requirement-level mapping is partial</x:v>
      </x:c>
      <x:c r="H137" s="25" t="n">
        <x:v>46292.90018603009</x:v>
      </x:c>
    </x:row>
    <x:row r="138" ht="76" customHeight="1">
      <x:c r="A138" s="25" t="str">
        <x:v>APP-132</x:v>
      </x:c>
      <x:c r="B138" s="25" t="str">
        <x:v>Application</x:v>
      </x:c>
      <x:c r="C138" s="25" t="str">
        <x:v>qualification.test_live_application::test_invalid_signed_tokens[override3]</x:v>
      </x:c>
      <x:c r="D138" s="25" t="str">
        <x:v>Pass</x:v>
      </x:c>
      <x:c r="E138" s="25" t="str">
        <x:v>docs/evidence/application-tests.xml</x:v>
      </x:c>
      <x:c r="F138" s="25" t="str">
        <x:v>FR-ACC-001; FR-ACC-004; FR-ACC-005; FR-ACC-011; FR-INT-004; FR-INT-005; FR-SEC-003; FR-SEC-004; FR-SEC-007; FR-SEC-012</x:v>
      </x:c>
      <x:c r="G138" s="25" t="str">
        <x:v>Automated assertion only; requirement-level mapping is partial</x:v>
      </x:c>
      <x:c r="H138" s="25" t="n">
        <x:v>46292.90018603009</x:v>
      </x:c>
    </x:row>
    <x:row r="139" ht="76" customHeight="1">
      <x:c r="A139" s="25" t="str">
        <x:v>APP-133</x:v>
      </x:c>
      <x:c r="B139" s="25" t="str">
        <x:v>Application</x:v>
      </x:c>
      <x:c r="C139" s="25" t="str">
        <x:v>qualification.test_live_application::test_invalid_signed_tokens[override4]</x:v>
      </x:c>
      <x:c r="D139" s="25" t="str">
        <x:v>Pass</x:v>
      </x:c>
      <x:c r="E139" s="25" t="str">
        <x:v>docs/evidence/application-tests.xml</x:v>
      </x:c>
      <x:c r="F139" s="25" t="str">
        <x:v>FR-ACC-001; FR-ACC-004; FR-ACC-005; FR-ACC-011; FR-INT-004; FR-INT-005; FR-SEC-003; FR-SEC-004; FR-SEC-007; FR-SEC-012</x:v>
      </x:c>
      <x:c r="G139" s="25" t="str">
        <x:v>Automated assertion only; requirement-level mapping is partial</x:v>
      </x:c>
      <x:c r="H139" s="25" t="n">
        <x:v>46292.90018603009</x:v>
      </x:c>
    </x:row>
    <x:row r="140" ht="76" customHeight="1">
      <x:c r="A140" s="25" t="str">
        <x:v>APP-134</x:v>
      </x:c>
      <x:c r="B140" s="25" t="str">
        <x:v>Application</x:v>
      </x:c>
      <x:c r="C140" s="25" t="str">
        <x:v>qualification.test_live_application::test_invalid_signed_tokens[override5]</x:v>
      </x:c>
      <x:c r="D140" s="25" t="str">
        <x:v>Pass</x:v>
      </x:c>
      <x:c r="E140" s="25" t="str">
        <x:v>docs/evidence/application-tests.xml</x:v>
      </x:c>
      <x:c r="F140" s="25" t="str">
        <x:v>FR-ACC-001; FR-ACC-004; FR-ACC-005; FR-ACC-011; FR-INT-004; FR-INT-005; FR-SEC-003; FR-SEC-004; FR-SEC-007; FR-SEC-012</x:v>
      </x:c>
      <x:c r="G140" s="25" t="str">
        <x:v>Automated assertion only; requirement-level mapping is partial</x:v>
      </x:c>
      <x:c r="H140" s="25" t="n">
        <x:v>46292.90018603009</x:v>
      </x:c>
    </x:row>
    <x:row r="141" ht="76" customHeight="1">
      <x:c r="A141" s="25" t="str">
        <x:v>APP-135</x:v>
      </x:c>
      <x:c r="B141" s="25" t="str">
        <x:v>Application</x:v>
      </x:c>
      <x:c r="C141" s="25" t="str">
        <x:v>qualification.test_live_application::test_claimed_roles_do_not_grant_access</x:v>
      </x:c>
      <x:c r="D141" s="25" t="str">
        <x:v>Pass</x:v>
      </x:c>
      <x:c r="E141" s="25" t="str">
        <x:v>docs/evidence/application-tests.xml</x:v>
      </x:c>
      <x:c r="F141" s="25" t="str">
        <x:v>FR-ACC-001; FR-ACC-004; FR-ACC-005; FR-ACC-011; FR-INT-004; FR-INT-005; FR-SEC-003; FR-SEC-004; FR-SEC-007; FR-SEC-012</x:v>
      </x:c>
      <x:c r="G141" s="25" t="str">
        <x:v>Automated assertion only; requirement-level mapping is partial</x:v>
      </x:c>
      <x:c r="H141" s="25" t="n">
        <x:v>46292.90018603009</x:v>
      </x:c>
    </x:row>
    <x:row r="142" ht="76" customHeight="1">
      <x:c r="A142" s="25" t="str">
        <x:v>APP-136</x:v>
      </x:c>
      <x:c r="B142" s="25" t="str">
        <x:v>Application</x:v>
      </x:c>
      <x:c r="C142" s="25" t="str">
        <x:v>qualification.test_live_application::test_unsigned_jwt</x:v>
      </x:c>
      <x:c r="D142" s="25" t="str">
        <x:v>Pass</x:v>
      </x:c>
      <x:c r="E142" s="25" t="str">
        <x:v>docs/evidence/application-tests.xml</x:v>
      </x:c>
      <x:c r="F142" s="25" t="str">
        <x:v>FR-ACC-001; FR-ACC-004; FR-ACC-005; FR-ACC-011; FR-INT-004; FR-INT-005; FR-SEC-003; FR-SEC-004; FR-SEC-007; FR-SEC-012</x:v>
      </x:c>
      <x:c r="G142" s="25" t="str">
        <x:v>Automated assertion only; requirement-level mapping is partial</x:v>
      </x:c>
      <x:c r="H142" s="25" t="n">
        <x:v>46292.90018603009</x:v>
      </x:c>
    </x:row>
    <x:row r="143" ht="76" customHeight="1">
      <x:c r="A143" s="25" t="str">
        <x:v>APP-137</x:v>
      </x:c>
      <x:c r="B143" s="25" t="str">
        <x:v>Application</x:v>
      </x:c>
      <x:c r="C143" s="25" t="str">
        <x:v>qualification.test_live_application::test_duplicate_json_and_body_limit</x:v>
      </x:c>
      <x:c r="D143" s="25" t="str">
        <x:v>Pass</x:v>
      </x:c>
      <x:c r="E143" s="25" t="str">
        <x:v>docs/evidence/application-tests.xml</x:v>
      </x:c>
      <x:c r="F143" s="25" t="str">
        <x:v>FR-ACC-001; FR-ACC-004; FR-ACC-005; FR-ACC-011; FR-INT-004; FR-INT-005; FR-SEC-003; FR-SEC-004; FR-SEC-007; FR-SEC-012</x:v>
      </x:c>
      <x:c r="G143" s="25" t="str">
        <x:v>Automated assertion only; requirement-level mapping is partial</x:v>
      </x:c>
      <x:c r="H143" s="25" t="n">
        <x:v>46292.90018603009</x:v>
      </x:c>
    </x:row>
    <x:row r="144" ht="76" customHeight="1">
      <x:c r="A144" s="25" t="str">
        <x:v>APP-138</x:v>
      </x:c>
      <x:c r="B144" s="25" t="str">
        <x:v>Application</x:v>
      </x:c>
      <x:c r="C144" s="25" t="str">
        <x:v>qualification.test_live_application::test_cursor_integrity</x:v>
      </x:c>
      <x:c r="D144" s="25" t="str">
        <x:v>Pass</x:v>
      </x:c>
      <x:c r="E144" s="25" t="str">
        <x:v>docs/evidence/application-tests.xml</x:v>
      </x:c>
      <x:c r="F144" s="25" t="str">
        <x:v>FR-ACC-001; FR-ACC-004; FR-ACC-005; FR-ACC-011; FR-INT-004; FR-INT-005; FR-SEC-003; FR-SEC-004; FR-SEC-007; FR-SEC-012</x:v>
      </x:c>
      <x:c r="G144" s="25" t="str">
        <x:v>Automated assertion only; requirement-level mapping is partial</x:v>
      </x:c>
      <x:c r="H144" s="25" t="n">
        <x:v>46292.90018603009</x:v>
      </x:c>
    </x:row>
    <x:row r="145" ht="76" customHeight="1">
      <x:c r="A145" s="25" t="str">
        <x:v>APP-139</x:v>
      </x:c>
      <x:c r="B145" s="25" t="str">
        <x:v>Application</x:v>
      </x:c>
      <x:c r="C145" s="25" t="str">
        <x:v>qualification.test_live_application::test_browser_session_csrf_logout</x:v>
      </x:c>
      <x:c r="D145" s="25" t="str">
        <x:v>Pass</x:v>
      </x:c>
      <x:c r="E145" s="25" t="str">
        <x:v>docs/evidence/application-tests.xml</x:v>
      </x:c>
      <x:c r="F145" s="25" t="str">
        <x:v>FR-ACC-001; FR-ACC-004; FR-ACC-005; FR-ACC-011; FR-INT-004; FR-INT-005; FR-SEC-003; FR-SEC-004; FR-SEC-007; FR-SEC-012</x:v>
      </x:c>
      <x:c r="G145" s="25" t="str">
        <x:v>Automated assertion only; requirement-level mapping is partial</x:v>
      </x:c>
      <x:c r="H145" s="25" t="n">
        <x:v>46292.90018603009</x:v>
      </x:c>
    </x:row>
    <x:row r="146" ht="76" customHeight="1">
      <x:c r="A146" s="25" t="str">
        <x:v>APP-140</x:v>
      </x:c>
      <x:c r="B146" s="25" t="str">
        <x:v>Application</x:v>
      </x:c>
      <x:c r="C146" s="25" t="str">
        <x:v>qualification.test_live_application::test_disaggregation_is_explicitly_refused</x:v>
      </x:c>
      <x:c r="D146" s="25" t="str">
        <x:v>Pass</x:v>
      </x:c>
      <x:c r="E146" s="25" t="str">
        <x:v>docs/evidence/application-tests.xml</x:v>
      </x:c>
      <x:c r="F146" s="25" t="str">
        <x:v>FR-ACC-001; FR-ACC-004; FR-ACC-005; FR-ACC-011; FR-INT-004; FR-INT-005; FR-SEC-003; FR-SEC-004; FR-SEC-007; FR-SEC-012</x:v>
      </x:c>
      <x:c r="G146" s="25" t="str">
        <x:v>Automated assertion only; requirement-level mapping is partial</x:v>
      </x:c>
      <x:c r="H146" s="25" t="n">
        <x:v>46292.90018603009</x:v>
      </x:c>
    </x:row>
    <x:row r="147" ht="76" customHeight="1">
      <x:c r="A147" s="25" t="str">
        <x:v>APP-141</x:v>
      </x:c>
      <x:c r="B147" s="25" t="str">
        <x:v>Application</x:v>
      </x:c>
      <x:c r="C147" s="25" t="str">
        <x:v>qualification.test_live_application::test_template_contract</x:v>
      </x:c>
      <x:c r="D147" s="25" t="str">
        <x:v>Pass</x:v>
      </x:c>
      <x:c r="E147" s="25" t="str">
        <x:v>docs/evidence/application-tests.xml</x:v>
      </x:c>
      <x:c r="F147" s="25" t="str">
        <x:v>FR-ACC-001; FR-ACC-004; FR-ACC-005; FR-ACC-011; FR-INT-004; FR-INT-005; FR-SEC-003; FR-SEC-004; FR-SEC-007; FR-SEC-012</x:v>
      </x:c>
      <x:c r="G147" s="25" t="str">
        <x:v>Automated assertion only; requirement-level mapping is partial</x:v>
      </x:c>
      <x:c r="H147" s="25" t="n">
        <x:v>46292.90018603009</x:v>
      </x:c>
    </x:row>
    <x:row r="148" ht="76" customHeight="1">
      <x:c r="A148" s="25" t="str">
        <x:v>APP-142</x:v>
      </x:c>
      <x:c r="B148" s="25" t="str">
        <x:v>Application</x:v>
      </x:c>
      <x:c r="C148" s="25" t="str">
        <x:v>qualification.test_live_application::test_revocation_prevents_receipt_replay</x:v>
      </x:c>
      <x:c r="D148" s="25" t="str">
        <x:v>Pass</x:v>
      </x:c>
      <x:c r="E148" s="25" t="str">
        <x:v>docs/evidence/application-tests.xml</x:v>
      </x:c>
      <x:c r="F148" s="25" t="str">
        <x:v>FR-ACC-001; FR-ACC-004; FR-ACC-005; FR-ACC-011; FR-INT-004; FR-INT-005; FR-SEC-003; FR-SEC-004; FR-SEC-007; FR-SEC-012</x:v>
      </x:c>
      <x:c r="G148" s="25" t="str">
        <x:v>Automated assertion only; requirement-level mapping is partial</x:v>
      </x:c>
      <x:c r="H148" s="25" t="n">
        <x:v>46292.90018603009</x:v>
      </x:c>
    </x:row>
    <x:row r="149" ht="76" customHeight="1">
      <x:c r="A149" s="25" t="str">
        <x:v>APP-143</x:v>
      </x:c>
      <x:c r="B149" s="25" t="str">
        <x:v>Application</x:v>
      </x:c>
      <x:c r="C149" s="25" t="str">
        <x:v>qualification.test_live_application::test_restricted_record_hidden_from_get_and_list</x:v>
      </x:c>
      <x:c r="D149" s="25" t="str">
        <x:v>Pass</x:v>
      </x:c>
      <x:c r="E149" s="25" t="str">
        <x:v>docs/evidence/application-tests.xml</x:v>
      </x:c>
      <x:c r="F149" s="25" t="str">
        <x:v>FR-ACC-001; FR-ACC-004; FR-ACC-005; FR-ACC-011; FR-INT-004; FR-INT-005; FR-SEC-003; FR-SEC-004; FR-SEC-007; FR-SEC-012</x:v>
      </x:c>
      <x:c r="G149" s="25" t="str">
        <x:v>Automated assertion only; requirement-level mapping is partial</x:v>
      </x:c>
      <x:c r="H149" s="25" t="n">
        <x:v>46292.90018603009</x:v>
      </x:c>
    </x:row>
    <x:row r="150" ht="76" customHeight="1">
      <x:c r="A150" s="25" t="str">
        <x:v>APP-144</x:v>
      </x:c>
      <x:c r="B150" s="25" t="str">
        <x:v>Application</x:v>
      </x:c>
      <x:c r="C150" s="25" t="str">
        <x:v>qualification.test_live_application::test_source_key_patch_conflict_rolls_back</x:v>
      </x:c>
      <x:c r="D150" s="25" t="str">
        <x:v>Pass</x:v>
      </x:c>
      <x:c r="E150" s="25" t="str">
        <x:v>docs/evidence/application-tests.xml</x:v>
      </x:c>
      <x:c r="F150" s="25" t="str">
        <x:v>FR-ACC-001; FR-ACC-004; FR-ACC-005; FR-ACC-011; FR-INT-004; FR-INT-005; FR-SEC-003; FR-SEC-004; FR-SEC-007; FR-SEC-012</x:v>
      </x:c>
      <x:c r="G150" s="25" t="str">
        <x:v>Automated assertion only; requirement-level mapping is partial</x:v>
      </x:c>
      <x:c r="H150" s="25" t="n">
        <x:v>46292.90018603009</x:v>
      </x:c>
    </x:row>
    <x:row r="151" ht="76" customHeight="1">
      <x:c r="A151" s="25" t="str">
        <x:v>APP-145</x:v>
      </x:c>
      <x:c r="B151" s="25" t="str">
        <x:v>Application</x:v>
      </x:c>
      <x:c r="C151" s="25" t="str">
        <x:v>qualification.test_live_application::test_explicit_object_scope_filters_read_and_list</x:v>
      </x:c>
      <x:c r="D151" s="25" t="str">
        <x:v>Pass</x:v>
      </x:c>
      <x:c r="E151" s="25" t="str">
        <x:v>docs/evidence/application-tests.xml</x:v>
      </x:c>
      <x:c r="F151" s="25" t="str">
        <x:v>FR-ACC-001; FR-ACC-004; FR-ACC-005; FR-ACC-011; FR-INT-004; FR-INT-005; FR-SEC-003; FR-SEC-004; FR-SEC-007; FR-SEC-012</x:v>
      </x:c>
      <x:c r="G151" s="25" t="str">
        <x:v>Automated assertion only; requirement-level mapping is partial</x:v>
      </x:c>
      <x:c r="H151" s="25" t="n">
        <x:v>46292.90018603009</x:v>
      </x:c>
    </x:row>
    <x:row r="152" ht="76" customHeight="1">
      <x:c r="A152" s="25" t="str">
        <x:v>APP-146</x:v>
      </x:c>
      <x:c r="B152" s="25" t="str">
        <x:v>Application</x:v>
      </x:c>
      <x:c r="C152" s="25" t="str">
        <x:v>qualification.test_live_application::test_purpose_restricted_grant_does_not_authorize_general_reads</x:v>
      </x:c>
      <x:c r="D152" s="25" t="str">
        <x:v>Pass</x:v>
      </x:c>
      <x:c r="E152" s="25" t="str">
        <x:v>docs/evidence/application-tests.xml</x:v>
      </x:c>
      <x:c r="F152" s="25" t="str">
        <x:v>FR-ACC-001; FR-ACC-004; FR-ACC-005; FR-ACC-011; FR-INT-004; FR-INT-005; FR-SEC-003; FR-SEC-004; FR-SEC-007; FR-SEC-012</x:v>
      </x:c>
      <x:c r="G152" s="25" t="str">
        <x:v>Automated assertion only; requirement-level mapping is partial</x:v>
      </x:c>
      <x:c r="H152" s="25" t="n">
        <x:v>46292.90018603009</x:v>
      </x:c>
    </x:row>
    <x:row r="153" ht="76" customHeight="1">
      <x:c r="A153" s="25" t="str">
        <x:v>APP-147</x:v>
      </x:c>
      <x:c r="B153" s="25" t="str">
        <x:v>Application</x:v>
      </x:c>
      <x:c r="C153" s="25" t="str">
        <x:v>qualification.test_measurement::test_approved_plan_reserves_source_key_across_indicators</x:v>
      </x:c>
      <x:c r="D153" s="25" t="str">
        <x:v>Pass</x:v>
      </x:c>
      <x:c r="E153" s="25" t="str">
        <x:v>docs/evidence/application-tests.xml</x:v>
      </x:c>
      <x:c r="F153" s="25" t="str">
        <x:v>FR-CAL-001; FR-CAL-002; FR-CAL-003; FR-CAL-005; FR-CAL-008; FR-CAL-009; FR-CAL-010; FR-CAL-015; FR-DAT-008; FR-ANA-004</x:v>
      </x:c>
      <x:c r="G153" s="25" t="str">
        <x:v>Automated assertion only; requirement-level mapping is partial</x:v>
      </x:c>
      <x:c r="H153" s="25" t="n">
        <x:v>46292.90018603009</x:v>
      </x:c>
    </x:row>
    <x:row r="154" ht="76" customHeight="1">
      <x:c r="A154" s="25" t="str">
        <x:v>APP-148</x:v>
      </x:c>
      <x:c r="B154" s="25" t="str">
        <x:v>Application</x:v>
      </x:c>
      <x:c r="C154" s="25" t="str">
        <x:v>qualification.test_measurement::test_plan_approval_detects_indicator_change_after_submission</x:v>
      </x:c>
      <x:c r="D154" s="25" t="str">
        <x:v>Pass</x:v>
      </x:c>
      <x:c r="E154" s="25" t="str">
        <x:v>docs/evidence/application-tests.xml</x:v>
      </x:c>
      <x:c r="F154" s="25" t="str">
        <x:v>FR-CAL-001; FR-CAL-002; FR-CAL-003; FR-CAL-005; FR-CAL-008; FR-CAL-009; FR-CAL-010; FR-CAL-015; FR-DAT-008; FR-ANA-004</x:v>
      </x:c>
      <x:c r="G154" s="25" t="str">
        <x:v>Automated assertion only; requirement-level mapping is partial</x:v>
      </x:c>
      <x:c r="H154" s="25" t="n">
        <x:v>46292.90018603009</x:v>
      </x:c>
    </x:row>
    <x:row r="155" ht="76" customHeight="1">
      <x:c r="A155" s="25" t="str">
        <x:v>APP-149</x:v>
      </x:c>
      <x:c r="B155" s="25" t="str">
        <x:v>Application</x:v>
      </x:c>
      <x:c r="C155" s="25" t="str">
        <x:v>qualification.test_measurement::test_indicator_change_after_plan_approval_blocks_activation</x:v>
      </x:c>
      <x:c r="D155" s="25" t="str">
        <x:v>Pass</x:v>
      </x:c>
      <x:c r="E155" s="25" t="str">
        <x:v>docs/evidence/application-tests.xml</x:v>
      </x:c>
      <x:c r="F155" s="25" t="str">
        <x:v>FR-CAL-001; FR-CAL-002; FR-CAL-003; FR-CAL-005; FR-CAL-008; FR-CAL-009; FR-CAL-010; FR-CAL-015; FR-DAT-008; FR-ANA-004</x:v>
      </x:c>
      <x:c r="G155" s="25" t="str">
        <x:v>Automated assertion only; requirement-level mapping is partial</x:v>
      </x:c>
      <x:c r="H155" s="25" t="n">
        <x:v>46292.90018603009</x:v>
      </x:c>
    </x:row>
    <x:row r="156" ht="76" customHeight="1">
      <x:c r="A156" s="25" t="str">
        <x:v>APP-150</x:v>
      </x:c>
      <x:c r="B156" s="25" t="str">
        <x:v>Application</x:v>
      </x:c>
      <x:c r="C156" s="25" t="str">
        <x:v>qualification.test_measurement::test_plan_server_pin_and_same_tenant_scope_denials</x:v>
      </x:c>
      <x:c r="D156" s="25" t="str">
        <x:v>Pass</x:v>
      </x:c>
      <x:c r="E156" s="25" t="str">
        <x:v>docs/evidence/application-tests.xml</x:v>
      </x:c>
      <x:c r="F156" s="25" t="str">
        <x:v>FR-CAL-001; FR-CAL-002; FR-CAL-003; FR-CAL-005; FR-CAL-008; FR-CAL-009; FR-CAL-010; FR-CAL-015; FR-DAT-008; FR-ANA-004</x:v>
      </x:c>
      <x:c r="G156" s="25" t="str">
        <x:v>Automated assertion only; requirement-level mapping is partial</x:v>
      </x:c>
      <x:c r="H156" s="25" t="n">
        <x:v>46292.90018603009</x:v>
      </x:c>
    </x:row>
    <x:row r="157" ht="76" customHeight="1">
      <x:c r="A157" s="25" t="str">
        <x:v>APP-151</x:v>
      </x:c>
      <x:c r="B157" s="25" t="str">
        <x:v>Application</x:v>
      </x:c>
      <x:c r="C157" s="25" t="str">
        <x:v>qualification.test_measurement::test_readiness_rechecks_assignment_suspension</x:v>
      </x:c>
      <x:c r="D157" s="25" t="str">
        <x:v>Pass</x:v>
      </x:c>
      <x:c r="E157" s="25" t="str">
        <x:v>docs/evidence/application-tests.xml</x:v>
      </x:c>
      <x:c r="F157" s="25" t="str">
        <x:v>FR-CAL-001; FR-CAL-002; FR-CAL-003; FR-CAL-005; FR-CAL-008; FR-CAL-009; FR-CAL-010; FR-CAL-015; FR-DAT-008; FR-ANA-004</x:v>
      </x:c>
      <x:c r="G157" s="25" t="str">
        <x:v>Automated assertion only; requirement-level mapping is partial</x:v>
      </x:c>
      <x:c r="H157" s="25" t="n">
        <x:v>46292.90018603009</x:v>
      </x:c>
    </x:row>
    <x:row r="158" ht="76" customHeight="1">
      <x:c r="A158" s="25" t="str">
        <x:v>APP-152</x:v>
      </x:c>
      <x:c r="B158" s="25" t="str">
        <x:v>Application</x:v>
      </x:c>
      <x:c r="C158" s="25" t="str">
        <x:v>qualification.test_measurement::test_end_to_end_activation_and_fsd_coverage</x:v>
      </x:c>
      <x:c r="D158" s="25" t="str">
        <x:v>Pass</x:v>
      </x:c>
      <x:c r="E158" s="25" t="str">
        <x:v>docs/evidence/application-tests.xml</x:v>
      </x:c>
      <x:c r="F158" s="25" t="str">
        <x:v>FR-CAL-001; FR-CAL-002; FR-CAL-003; FR-CAL-005; FR-CAL-008; FR-CAL-009; FR-CAL-010; FR-CAL-015; FR-DAT-008; FR-ANA-004</x:v>
      </x:c>
      <x:c r="G158" s="25" t="str">
        <x:v>Automated assertion only; requirement-level mapping is partial</x:v>
      </x:c>
      <x:c r="H158" s="25" t="n">
        <x:v>46292.90018603009</x:v>
      </x:c>
    </x:row>
    <x:row r="159" ht="76" customHeight="1">
      <x:c r="A159" s="25" t="str">
        <x:v>APP-153</x:v>
      </x:c>
      <x:c r="B159" s="25" t="str">
        <x:v>Application</x:v>
      </x:c>
      <x:c r="C159" s="25" t="str">
        <x:v>qualification.test_measurement::test_draft_readiness_explains_blockers_and_denies_activation</x:v>
      </x:c>
      <x:c r="D159" s="25" t="str">
        <x:v>Pass</x:v>
      </x:c>
      <x:c r="E159" s="25" t="str">
        <x:v>docs/evidence/application-tests.xml</x:v>
      </x:c>
      <x:c r="F159" s="25" t="str">
        <x:v>FR-CAL-001; FR-CAL-002; FR-CAL-003; FR-CAL-005; FR-CAL-008; FR-CAL-009; FR-CAL-010; FR-CAL-015; FR-DAT-008; FR-ANA-004</x:v>
      </x:c>
      <x:c r="G159" s="25" t="str">
        <x:v>Automated assertion only; requirement-level mapping is partial</x:v>
      </x:c>
      <x:c r="H159" s="25" t="n">
        <x:v>46292.90018603009</x:v>
      </x:c>
    </x:row>
    <x:row r="160" ht="76" customHeight="1">
      <x:c r="A160" s="25" t="str">
        <x:v>APP-154</x:v>
      </x:c>
      <x:c r="B160" s="25" t="str">
        <x:v>Application</x:v>
      </x:c>
      <x:c r="C160" s="25" t="str">
        <x:v>qualification.test_measurement::test_plan_independence_typed_review_and_immutable_approval</x:v>
      </x:c>
      <x:c r="D160" s="25" t="str">
        <x:v>Pass</x:v>
      </x:c>
      <x:c r="E160" s="25" t="str">
        <x:v>docs/evidence/application-tests.xml</x:v>
      </x:c>
      <x:c r="F160" s="25" t="str">
        <x:v>FR-CAL-001; FR-CAL-002; FR-CAL-003; FR-CAL-005; FR-CAL-008; FR-CAL-009; FR-CAL-010; FR-CAL-015; FR-DAT-008; FR-ANA-004</x:v>
      </x:c>
      <x:c r="G160" s="25" t="str">
        <x:v>Automated assertion only; requirement-level mapping is partial</x:v>
      </x:c>
      <x:c r="H160" s="25" t="n">
        <x:v>46292.90018603009</x:v>
      </x:c>
    </x:row>
    <x:row r="161" ht="76" customHeight="1">
      <x:c r="A161" s="25" t="str">
        <x:v>APP-155</x:v>
      </x:c>
      <x:c r="B161" s="25" t="str">
        <x:v>Application</x:v>
      </x:c>
      <x:c r="C161" s="25" t="str">
        <x:v>qualification.test_measurement::test_duplicate_plan_competes_at_approval_and_rolls_back</x:v>
      </x:c>
      <x:c r="D161" s="25" t="str">
        <x:v>Pass</x:v>
      </x:c>
      <x:c r="E161" s="25" t="str">
        <x:v>docs/evidence/application-tests.xml</x:v>
      </x:c>
      <x:c r="F161" s="25" t="str">
        <x:v>FR-CAL-001; FR-CAL-002; FR-CAL-003; FR-CAL-005; FR-CAL-008; FR-CAL-009; FR-CAL-010; FR-CAL-015; FR-DAT-008; FR-ANA-004</x:v>
      </x:c>
      <x:c r="G161" s="25" t="str">
        <x:v>Automated assertion only; requirement-level mapping is partial</x:v>
      </x:c>
      <x:c r="H161" s="25" t="n">
        <x:v>46292.90018603009</x:v>
      </x:c>
    </x:row>
    <x:row r="162" ht="76" customHeight="1">
      <x:c r="A162" s="25" t="str">
        <x:v>APP-156</x:v>
      </x:c>
      <x:c r="B162" s="25" t="str">
        <x:v>Application</x:v>
      </x:c>
      <x:c r="C162" s="25" t="str">
        <x:v>qualification.test_measurement::test_return_edit_and_resubmit_creates_new_candidate</x:v>
      </x:c>
      <x:c r="D162" s="25" t="str">
        <x:v>Pass</x:v>
      </x:c>
      <x:c r="E162" s="25" t="str">
        <x:v>docs/evidence/application-tests.xml</x:v>
      </x:c>
      <x:c r="F162" s="25" t="str">
        <x:v>FR-CAL-001; FR-CAL-002; FR-CAL-003; FR-CAL-005; FR-CAL-008; FR-CAL-009; FR-CAL-010; FR-CAL-015; FR-DAT-008; FR-ANA-004</x:v>
      </x:c>
      <x:c r="G162" s="25" t="str">
        <x:v>Automated assertion only; requirement-level mapping is partial</x:v>
      </x:c>
      <x:c r="H162" s="25" t="n">
        <x:v>46292.90018603009</x:v>
      </x:c>
    </x:row>
    <x:row r="163" ht="76" customHeight="1">
      <x:c r="A163" s="25" t="str">
        <x:v>APP-157</x:v>
      </x:c>
      <x:c r="B163" s="25" t="str">
        <x:v>Application</x:v>
      </x:c>
      <x:c r="C163" s="25" t="str">
        <x:v>qualification.test_measurement::test_invalid_plan_inputs_rejected[change0]</x:v>
      </x:c>
      <x:c r="D163" s="25" t="str">
        <x:v>Pass</x:v>
      </x:c>
      <x:c r="E163" s="25" t="str">
        <x:v>docs/evidence/application-tests.xml</x:v>
      </x:c>
      <x:c r="F163" s="25" t="str">
        <x:v>FR-CAL-001; FR-CAL-002; FR-CAL-003; FR-CAL-005; FR-CAL-008; FR-CAL-009; FR-CAL-010; FR-CAL-015; FR-DAT-008; FR-ANA-004</x:v>
      </x:c>
      <x:c r="G163" s="25" t="str">
        <x:v>Automated assertion only; requirement-level mapping is partial</x:v>
      </x:c>
      <x:c r="H163" s="25" t="n">
        <x:v>46292.90018603009</x:v>
      </x:c>
    </x:row>
    <x:row r="164" ht="76" customHeight="1">
      <x:c r="A164" s="25" t="str">
        <x:v>APP-158</x:v>
      </x:c>
      <x:c r="B164" s="25" t="str">
        <x:v>Application</x:v>
      </x:c>
      <x:c r="C164" s="25" t="str">
        <x:v>qualification.test_measurement::test_invalid_plan_inputs_rejected[change1]</x:v>
      </x:c>
      <x:c r="D164" s="25" t="str">
        <x:v>Pass</x:v>
      </x:c>
      <x:c r="E164" s="25" t="str">
        <x:v>docs/evidence/application-tests.xml</x:v>
      </x:c>
      <x:c r="F164" s="25" t="str">
        <x:v>FR-CAL-001; FR-CAL-002; FR-CAL-003; FR-CAL-005; FR-CAL-008; FR-CAL-009; FR-CAL-010; FR-CAL-015; FR-DAT-008; FR-ANA-004</x:v>
      </x:c>
      <x:c r="G164" s="25" t="str">
        <x:v>Automated assertion only; requirement-level mapping is partial</x:v>
      </x:c>
      <x:c r="H164" s="25" t="n">
        <x:v>46292.90018603009</x:v>
      </x:c>
    </x:row>
    <x:row r="165" ht="76" customHeight="1">
      <x:c r="A165" s="25" t="str">
        <x:v>APP-159</x:v>
      </x:c>
      <x:c r="B165" s="25" t="str">
        <x:v>Application</x:v>
      </x:c>
      <x:c r="C165" s="25" t="str">
        <x:v>qualification.test_measurement::test_invalid_plan_inputs_rejected[change2]</x:v>
      </x:c>
      <x:c r="D165" s="25" t="str">
        <x:v>Pass</x:v>
      </x:c>
      <x:c r="E165" s="25" t="str">
        <x:v>docs/evidence/application-tests.xml</x:v>
      </x:c>
      <x:c r="F165" s="25" t="str">
        <x:v>FR-CAL-001; FR-CAL-002; FR-CAL-003; FR-CAL-005; FR-CAL-008; FR-CAL-009; FR-CAL-010; FR-CAL-015; FR-DAT-008; FR-ANA-004</x:v>
      </x:c>
      <x:c r="G165" s="25" t="str">
        <x:v>Automated assertion only; requirement-level mapping is partial</x:v>
      </x:c>
      <x:c r="H165" s="25" t="n">
        <x:v>46292.90018603009</x:v>
      </x:c>
    </x:row>
    <x:row r="166" ht="76" customHeight="1">
      <x:c r="A166" s="25" t="str">
        <x:v>APP-160</x:v>
      </x:c>
      <x:c r="B166" s="25" t="str">
        <x:v>Application</x:v>
      </x:c>
      <x:c r="C166" s="25" t="str">
        <x:v>qualification.test_measurement::test_plan_duplicate_source_and_period_bounds</x:v>
      </x:c>
      <x:c r="D166" s="25" t="str">
        <x:v>Pass</x:v>
      </x:c>
      <x:c r="E166" s="25" t="str">
        <x:v>docs/evidence/application-tests.xml</x:v>
      </x:c>
      <x:c r="F166" s="25" t="str">
        <x:v>FR-CAL-001; FR-CAL-002; FR-CAL-003; FR-CAL-005; FR-CAL-008; FR-CAL-009; FR-CAL-010; FR-CAL-015; FR-DAT-008; FR-ANA-004</x:v>
      </x:c>
      <x:c r="G166" s="25" t="str">
        <x:v>Automated assertion only; requirement-level mapping is partial</x:v>
      </x:c>
      <x:c r="H166" s="25" t="n">
        <x:v>46292.90018603009</x:v>
      </x:c>
    </x:row>
    <x:row r="167" ht="76" customHeight="1">
      <x:c r="A167" s="25" t="str">
        <x:v>APP-161</x:v>
      </x:c>
      <x:c r="B167" s="25" t="str">
        <x:v>Application</x:v>
      </x:c>
      <x:c r="C167" s="25" t="str">
        <x:v>qualification.test_measurement::test_activation_requires_approved_plan_and_independent_assignments</x:v>
      </x:c>
      <x:c r="D167" s="25" t="str">
        <x:v>Pass</x:v>
      </x:c>
      <x:c r="E167" s="25" t="str">
        <x:v>docs/evidence/application-tests.xml</x:v>
      </x:c>
      <x:c r="F167" s="25" t="str">
        <x:v>FR-CAL-001; FR-CAL-002; FR-CAL-003; FR-CAL-005; FR-CAL-008; FR-CAL-009; FR-CAL-010; FR-CAL-015; FR-DAT-008; FR-ANA-004</x:v>
      </x:c>
      <x:c r="G167" s="25" t="str">
        <x:v>Automated assertion only; requirement-level mapping is partial</x:v>
      </x:c>
      <x:c r="H167" s="25" t="n">
        <x:v>46292.90018603009</x:v>
      </x:c>
    </x:row>
    <x:row r="168" ht="76" customHeight="1">
      <x:c r="A168" s="25" t="str">
        <x:v>APP-162</x:v>
      </x:c>
      <x:c r="B168" s="25" t="str">
        <x:v>Application</x:v>
      </x:c>
      <x:c r="C168" s="25" t="str">
        <x:v>qualification.test_measurement::test_not_active_measurement_cannot_submit_or_calculate</x:v>
      </x:c>
      <x:c r="D168" s="25" t="str">
        <x:v>Pass</x:v>
      </x:c>
      <x:c r="E168" s="25" t="str">
        <x:v>docs/evidence/application-tests.xml</x:v>
      </x:c>
      <x:c r="F168" s="25" t="str">
        <x:v>FR-CAL-001; FR-CAL-002; FR-CAL-003; FR-CAL-005; FR-CAL-008; FR-CAL-009; FR-CAL-010; FR-CAL-015; FR-DAT-008; FR-ANA-004</x:v>
      </x:c>
      <x:c r="G168" s="25" t="str">
        <x:v>Automated assertion only; requirement-level mapping is partial</x:v>
      </x:c>
      <x:c r="H168" s="25" t="n">
        <x:v>46292.90018603009</x:v>
      </x:c>
    </x:row>
    <x:row r="169" ht="76" customHeight="1">
      <x:c r="A169" s="25" t="str">
        <x:v>APP-163</x:v>
      </x:c>
      <x:c r="B169" s="25" t="str">
        <x:v>Application</x:v>
      </x:c>
      <x:c r="C169" s="25" t="str">
        <x:v>qualification.test_measurement::test_ready_revision_recheck_and_idempotency</x:v>
      </x:c>
      <x:c r="D169" s="25" t="str">
        <x:v>Pass</x:v>
      </x:c>
      <x:c r="E169" s="25" t="str">
        <x:v>docs/evidence/application-tests.xml</x:v>
      </x:c>
      <x:c r="F169" s="25" t="str">
        <x:v>FR-CAL-001; FR-CAL-002; FR-CAL-003; FR-CAL-005; FR-CAL-008; FR-CAL-009; FR-CAL-010; FR-CAL-015; FR-DAT-008; FR-ANA-004</x:v>
      </x:c>
      <x:c r="G169" s="25" t="str">
        <x:v>Automated assertion only; requirement-level mapping is partial</x:v>
      </x:c>
      <x:c r="H169" s="25" t="n">
        <x:v>46292.90018603009</x:v>
      </x:c>
    </x:row>
    <x:row r="170" ht="76" customHeight="1">
      <x:c r="A170" s="25" t="str">
        <x:v>APP-164</x:v>
      </x:c>
      <x:c r="B170" s="25" t="str">
        <x:v>Application</x:v>
      </x:c>
      <x:c r="C170" s="25" t="str">
        <x:v>qualification.test_measurement::test_new_plan_invalidates_pre_plan_result</x:v>
      </x:c>
      <x:c r="D170" s="25" t="str">
        <x:v>Pass</x:v>
      </x:c>
      <x:c r="E170" s="25" t="str">
        <x:v>docs/evidence/application-tests.xml</x:v>
      </x:c>
      <x:c r="F170" s="25" t="str">
        <x:v>FR-CAL-001; FR-CAL-002; FR-CAL-003; FR-CAL-005; FR-CAL-008; FR-CAL-009; FR-CAL-010; FR-CAL-015; FR-DAT-008; FR-ANA-004</x:v>
      </x:c>
      <x:c r="G170" s="25" t="str">
        <x:v>Automated assertion only; requirement-level mapping is partial</x:v>
      </x:c>
      <x:c r="H170" s="25" t="n">
        <x:v>46292.90018603009</x:v>
      </x:c>
    </x:row>
    <x:row r="171" ht="76" customHeight="1">
      <x:c r="A171" s="25" t="str">
        <x:v>APP-165</x:v>
      </x:c>
      <x:c r="B171" s="25" t="str">
        <x:v>Application</x:v>
      </x:c>
      <x:c r="C171" s="25" t="str">
        <x:v>qualification.test_measurement::test_members_directory_minimal_fields_and_capability_gate</x:v>
      </x:c>
      <x:c r="D171" s="25" t="str">
        <x:v>Pass</x:v>
      </x:c>
      <x:c r="E171" s="25" t="str">
        <x:v>docs/evidence/application-tests.xml</x:v>
      </x:c>
      <x:c r="F171" s="25" t="str">
        <x:v>FR-CAL-001; FR-CAL-002; FR-CAL-003; FR-CAL-005; FR-CAL-008; FR-CAL-009; FR-CAL-010; FR-CAL-015; FR-DAT-008; FR-ANA-004</x:v>
      </x:c>
      <x:c r="G171" s="25" t="str">
        <x:v>Automated assertion only; requirement-level mapping is partial</x:v>
      </x:c>
      <x:c r="H171" s="25" t="n">
        <x:v>46292.90018603009</x:v>
      </x:c>
    </x:row>
    <x:row r="172" ht="76" customHeight="1">
      <x:c r="A172" s="25" t="str">
        <x:v>APP-166</x:v>
      </x:c>
      <x:c r="B172" s="25" t="str">
        <x:v>Application</x:v>
      </x:c>
      <x:c r="C172" s="25" t="str">
        <x:v>qualification.test_measurement::test_cross_tenant_plan_and_readiness_hidden</x:v>
      </x:c>
      <x:c r="D172" s="25" t="str">
        <x:v>Pass</x:v>
      </x:c>
      <x:c r="E172" s="25" t="str">
        <x:v>docs/evidence/application-tests.xml</x:v>
      </x:c>
      <x:c r="F172" s="25" t="str">
        <x:v>FR-CAL-001; FR-CAL-002; FR-CAL-003; FR-CAL-005; FR-CAL-008; FR-CAL-009; FR-CAL-010; FR-CAL-015; FR-DAT-008; FR-ANA-004</x:v>
      </x:c>
      <x:c r="G172" s="25" t="str">
        <x:v>Automated assertion only; requirement-level mapping is partial</x:v>
      </x:c>
      <x:c r="H172" s="25" t="n">
        <x:v>46292.90018603009</x:v>
      </x:c>
    </x:row>
    <x:row r="173" ht="76" customHeight="1">
      <x:c r="A173" s="25" t="str">
        <x:v>APP-167</x:v>
      </x:c>
      <x:c r="B173" s="25" t="str">
        <x:v>Application</x:v>
      </x:c>
      <x:c r="C173" s="25" t="str">
        <x:v>qualification.test_measurement::test_collection_binding_forced_rls</x:v>
      </x:c>
      <x:c r="D173" s="25" t="str">
        <x:v>Pass</x:v>
      </x:c>
      <x:c r="E173" s="25" t="str">
        <x:v>docs/evidence/application-tests.xml</x:v>
      </x:c>
      <x:c r="F173" s="25" t="str">
        <x:v>FR-CAL-001; FR-CAL-002; FR-CAL-003; FR-CAL-005; FR-CAL-008; FR-CAL-009; FR-CAL-010; FR-CAL-015; FR-DAT-008; FR-ANA-004</x:v>
      </x:c>
      <x:c r="G173" s="25" t="str">
        <x:v>Automated assertion only; requirement-level mapping is partial</x:v>
      </x:c>
      <x:c r="H173" s="25" t="n">
        <x:v>46292.90018603009</x:v>
      </x:c>
    </x:row>
    <x:row r="174" ht="76" customHeight="1">
      <x:c r="A174" s="25" t="str">
        <x:v>APP-168</x:v>
      </x:c>
      <x:c r="B174" s="25" t="str">
        <x:v>Application</x:v>
      </x:c>
      <x:c r="C174" s="25" t="str">
        <x:v>qualification.test_measurement_unit::test_fsd_five_contributors_three_approved_one_pending_one_missing</x:v>
      </x:c>
      <x:c r="D174" s="25" t="str">
        <x:v>Pass</x:v>
      </x:c>
      <x:c r="E174" s="25" t="str">
        <x:v>docs/evidence/application-tests.xml</x:v>
      </x:c>
      <x:c r="F174" s="25" t="str"/>
      <x:c r="G174" s="25" t="str">
        <x:v>Automated assertion only; requirement-level mapping is partial</x:v>
      </x:c>
      <x:c r="H174" s="25" t="n">
        <x:v>46292.90018603009</x:v>
      </x:c>
    </x:row>
    <x:row r="175" ht="76" customHeight="1">
      <x:c r="A175" s="25" t="str">
        <x:v>APP-169</x:v>
      </x:c>
      <x:c r="B175" s="25" t="str">
        <x:v>Application</x:v>
      </x:c>
      <x:c r="C175" s="25" t="str">
        <x:v>qualification.test_measurement_unit::test_non_present_never_reduces_expected[MISSING-MISSING]</x:v>
      </x:c>
      <x:c r="D175" s="25" t="str">
        <x:v>Pass</x:v>
      </x:c>
      <x:c r="E175" s="25" t="str">
        <x:v>docs/evidence/application-tests.xml</x:v>
      </x:c>
      <x:c r="F175" s="25" t="str"/>
      <x:c r="G175" s="25" t="str">
        <x:v>Automated assertion only; requirement-level mapping is partial</x:v>
      </x:c>
      <x:c r="H175" s="25" t="n">
        <x:v>46292.90018603009</x:v>
      </x:c>
    </x:row>
    <x:row r="176" ht="76" customHeight="1">
      <x:c r="A176" s="25" t="str">
        <x:v>APP-170</x:v>
      </x:c>
      <x:c r="B176" s="25" t="str">
        <x:v>Application</x:v>
      </x:c>
      <x:c r="C176" s="25" t="str">
        <x:v>qualification.test_measurement_unit::test_non_present_never_reduces_expected[NOT_COLLECTED-MISSING]</x:v>
      </x:c>
      <x:c r="D176" s="25" t="str">
        <x:v>Pass</x:v>
      </x:c>
      <x:c r="E176" s="25" t="str">
        <x:v>docs/evidence/application-tests.xml</x:v>
      </x:c>
      <x:c r="F176" s="25" t="str"/>
      <x:c r="G176" s="25" t="str">
        <x:v>Automated assertion only; requirement-level mapping is partial</x:v>
      </x:c>
      <x:c r="H176" s="25" t="n">
        <x:v>46292.90018603009</x:v>
      </x:c>
    </x:row>
    <x:row r="177" ht="76" customHeight="1">
      <x:c r="A177" s="25" t="str">
        <x:v>APP-171</x:v>
      </x:c>
      <x:c r="B177" s="25" t="str">
        <x:v>Application</x:v>
      </x:c>
      <x:c r="C177" s="25" t="str">
        <x:v>qualification.test_measurement_unit::test_non_present_never_reduces_expected[NOT_APPLICABLE-EXCLUDED]</x:v>
      </x:c>
      <x:c r="D177" s="25" t="str">
        <x:v>Pass</x:v>
      </x:c>
      <x:c r="E177" s="25" t="str">
        <x:v>docs/evidence/application-tests.xml</x:v>
      </x:c>
      <x:c r="F177" s="25" t="str"/>
      <x:c r="G177" s="25" t="str">
        <x:v>Automated assertion only; requirement-level mapping is partial</x:v>
      </x:c>
      <x:c r="H177" s="25" t="n">
        <x:v>46292.90018603009</x:v>
      </x:c>
    </x:row>
    <x:row r="178" ht="76" customHeight="1">
      <x:c r="A178" s="25" t="str">
        <x:v>APP-172</x:v>
      </x:c>
      <x:c r="B178" s="25" t="str">
        <x:v>Application</x:v>
      </x:c>
      <x:c r="C178" s="25" t="str">
        <x:v>qualification.test_measurement_unit::test_non_present_never_reduces_expected[INVALID-EXCLUDED]</x:v>
      </x:c>
      <x:c r="D178" s="25" t="str">
        <x:v>Pass</x:v>
      </x:c>
      <x:c r="E178" s="25" t="str">
        <x:v>docs/evidence/application-tests.xml</x:v>
      </x:c>
      <x:c r="F178" s="25" t="str"/>
      <x:c r="G178" s="25" t="str">
        <x:v>Automated assertion only; requirement-level mapping is partial</x:v>
      </x:c>
      <x:c r="H178" s="25" t="n">
        <x:v>46292.90018603009</x:v>
      </x:c>
    </x:row>
    <x:row r="179" ht="76" customHeight="1">
      <x:c r="A179" s="25" t="str">
        <x:v>APP-173</x:v>
      </x:c>
      <x:c r="B179" s="25" t="str">
        <x:v>Application</x:v>
      </x:c>
      <x:c r="C179" s="25" t="str">
        <x:v>qualification.test_measurement_unit::test_zero_is_valid_and_unplanned_does_not_fill_gap</x:v>
      </x:c>
      <x:c r="D179" s="25" t="str">
        <x:v>Pass</x:v>
      </x:c>
      <x:c r="E179" s="25" t="str">
        <x:v>docs/evidence/application-tests.xml</x:v>
      </x:c>
      <x:c r="F179" s="25" t="str"/>
      <x:c r="G179" s="25" t="str">
        <x:v>Automated assertion only; requirement-level mapping is partial</x:v>
      </x:c>
      <x:c r="H179" s="25" t="n">
        <x:v>46292.90018603009</x:v>
      </x:c>
    </x:row>
    <x:row r="180" ht="76" customHeight="1">
      <x:c r="A180" s="25" t="str">
        <x:v>APP-174</x:v>
      </x:c>
      <x:c r="B180" s="25" t="str">
        <x:v>Application</x:v>
      </x:c>
      <x:c r="C180" s="25" t="str">
        <x:v>qualification.test_measurement_unit::test_unsupported_or_incomplete_definitions_blocked[changes0]</x:v>
      </x:c>
      <x:c r="D180" s="25" t="str">
        <x:v>Pass</x:v>
      </x:c>
      <x:c r="E180" s="25" t="str">
        <x:v>docs/evidence/application-tests.xml</x:v>
      </x:c>
      <x:c r="F180" s="25" t="str"/>
      <x:c r="G180" s="25" t="str">
        <x:v>Automated assertion only; requirement-level mapping is partial</x:v>
      </x:c>
      <x:c r="H180" s="25" t="n">
        <x:v>46292.90018603009</x:v>
      </x:c>
    </x:row>
    <x:row r="181" ht="76" customHeight="1">
      <x:c r="A181" s="25" t="str">
        <x:v>APP-175</x:v>
      </x:c>
      <x:c r="B181" s="25" t="str">
        <x:v>Application</x:v>
      </x:c>
      <x:c r="C181" s="25" t="str">
        <x:v>qualification.test_measurement_unit::test_unsupported_or_incomplete_definitions_blocked[changes1]</x:v>
      </x:c>
      <x:c r="D181" s="25" t="str">
        <x:v>Pass</x:v>
      </x:c>
      <x:c r="E181" s="25" t="str">
        <x:v>docs/evidence/application-tests.xml</x:v>
      </x:c>
      <x:c r="F181" s="25" t="str"/>
      <x:c r="G181" s="25" t="str">
        <x:v>Automated assertion only; requirement-level mapping is partial</x:v>
      </x:c>
      <x:c r="H181" s="25" t="n">
        <x:v>46292.90018603009</x:v>
      </x:c>
    </x:row>
    <x:row r="182" ht="76" customHeight="1">
      <x:c r="A182" s="25" t="str">
        <x:v>APP-176</x:v>
      </x:c>
      <x:c r="B182" s="25" t="str">
        <x:v>Application</x:v>
      </x:c>
      <x:c r="C182" s="25" t="str">
        <x:v>qualification.test_measurement_unit::test_unsupported_or_incomplete_definitions_blocked[changes2]</x:v>
      </x:c>
      <x:c r="D182" s="25" t="str">
        <x:v>Pass</x:v>
      </x:c>
      <x:c r="E182" s="25" t="str">
        <x:v>docs/evidence/application-tests.xml</x:v>
      </x:c>
      <x:c r="F182" s="25" t="str"/>
      <x:c r="G182" s="25" t="str">
        <x:v>Automated assertion only; requirement-level mapping is partial</x:v>
      </x:c>
      <x:c r="H182" s="25" t="n">
        <x:v>46292.90018603009</x:v>
      </x:c>
    </x:row>
    <x:row r="183" ht="76" customHeight="1">
      <x:c r="A183" s="25" t="str">
        <x:v>APP-177</x:v>
      </x:c>
      <x:c r="B183" s="25" t="str">
        <x:v>Application</x:v>
      </x:c>
      <x:c r="C183" s="25" t="str">
        <x:v>qualification.test_measurement_unit::test_unsupported_or_incomplete_definitions_blocked[changes3]</x:v>
      </x:c>
      <x:c r="D183" s="25" t="str">
        <x:v>Pass</x:v>
      </x:c>
      <x:c r="E183" s="25" t="str">
        <x:v>docs/evidence/application-tests.xml</x:v>
      </x:c>
      <x:c r="F183" s="25" t="str"/>
      <x:c r="G183" s="25" t="str">
        <x:v>Automated assertion only; requirement-level mapping is partial</x:v>
      </x:c>
      <x:c r="H183" s="25" t="n">
        <x:v>46292.90018603009</x:v>
      </x:c>
    </x:row>
    <x:row r="184" ht="76" customHeight="1">
      <x:c r="A184" s="25" t="str">
        <x:v>APP-178</x:v>
      </x:c>
      <x:c r="B184" s="25" t="str">
        <x:v>Application</x:v>
      </x:c>
      <x:c r="C184" s="25" t="str">
        <x:v>qualification.test_measurement_unit::test_unsupported_or_incomplete_definitions_blocked[changes4]</x:v>
      </x:c>
      <x:c r="D184" s="25" t="str">
        <x:v>Pass</x:v>
      </x:c>
      <x:c r="E184" s="25" t="str">
        <x:v>docs/evidence/application-tests.xml</x:v>
      </x:c>
      <x:c r="F184" s="25" t="str"/>
      <x:c r="G184" s="25" t="str">
        <x:v>Automated assertion only; requirement-level mapping is partial</x:v>
      </x:c>
      <x:c r="H184" s="25" t="n">
        <x:v>46292.90018603009</x:v>
      </x:c>
    </x:row>
    <x:row r="185" ht="76" customHeight="1">
      <x:c r="A185" s="25" t="str">
        <x:v>APP-179</x:v>
      </x:c>
      <x:c r="B185" s="25" t="str">
        <x:v>Application</x:v>
      </x:c>
      <x:c r="C185" s="25" t="str">
        <x:v>qualification.test_measurement_unit::test_unsupported_or_incomplete_definitions_blocked[changes5]</x:v>
      </x:c>
      <x:c r="D185" s="25" t="str">
        <x:v>Pass</x:v>
      </x:c>
      <x:c r="E185" s="25" t="str">
        <x:v>docs/evidence/application-tests.xml</x:v>
      </x:c>
      <x:c r="F185" s="25" t="str"/>
      <x:c r="G185" s="25" t="str">
        <x:v>Automated assertion only; requirement-level mapping is partial</x:v>
      </x:c>
      <x:c r="H185" s="25" t="n">
        <x:v>46292.90018603009</x:v>
      </x:c>
    </x:row>
    <x:row r="186" ht="76" customHeight="1">
      <x:c r="A186" s="25" t="str">
        <x:v>APP-180</x:v>
      </x:c>
      <x:c r="B186" s="25" t="str">
        <x:v>Application</x:v>
      </x:c>
      <x:c r="C186" s="25" t="str">
        <x:v>qualification.test_measurement_unit::test_supported_definition_contract[changes0]</x:v>
      </x:c>
      <x:c r="D186" s="25" t="str">
        <x:v>Pass</x:v>
      </x:c>
      <x:c r="E186" s="25" t="str">
        <x:v>docs/evidence/application-tests.xml</x:v>
      </x:c>
      <x:c r="F186" s="25" t="str"/>
      <x:c r="G186" s="25" t="str">
        <x:v>Automated assertion only; requirement-level mapping is partial</x:v>
      </x:c>
      <x:c r="H186" s="25" t="n">
        <x:v>46292.90018603009</x:v>
      </x:c>
    </x:row>
    <x:row r="187" ht="76" customHeight="1">
      <x:c r="A187" s="25" t="str">
        <x:v>APP-181</x:v>
      </x:c>
      <x:c r="B187" s="25" t="str">
        <x:v>Application</x:v>
      </x:c>
      <x:c r="C187" s="25" t="str">
        <x:v>qualification.test_measurement_unit::test_supported_definition_contract[changes1]</x:v>
      </x:c>
      <x:c r="D187" s="25" t="str">
        <x:v>Pass</x:v>
      </x:c>
      <x:c r="E187" s="25" t="str">
        <x:v>docs/evidence/application-tests.xml</x:v>
      </x:c>
      <x:c r="F187" s="25" t="str"/>
      <x:c r="G187" s="25" t="str">
        <x:v>Automated assertion only; requirement-level mapping is partial</x:v>
      </x:c>
      <x:c r="H187" s="25" t="n">
        <x:v>46292.90018603009</x:v>
      </x:c>
    </x:row>
    <x:row r="188" ht="76" customHeight="1">
      <x:c r="A188" s="25" t="str">
        <x:v>APP-182</x:v>
      </x:c>
      <x:c r="B188" s="25" t="str">
        <x:v>Application</x:v>
      </x:c>
      <x:c r="C188" s="25" t="str">
        <x:v>qualification.test_measurement_unit::test_supported_definition_contract[changes2]</x:v>
      </x:c>
      <x:c r="D188" s="25" t="str">
        <x:v>Pass</x:v>
      </x:c>
      <x:c r="E188" s="25" t="str">
        <x:v>docs/evidence/application-tests.xml</x:v>
      </x:c>
      <x:c r="F188" s="25" t="str"/>
      <x:c r="G188" s="25" t="str">
        <x:v>Automated assertion only; requirement-level mapping is partial</x:v>
      </x:c>
      <x:c r="H188" s="25" t="n">
        <x:v>46292.90018603009</x:v>
      </x:c>
    </x:row>
    <x:row r="189" ht="76" customHeight="1">
      <x:c r="A189" s="25" t="str">
        <x:v>APP-183</x:v>
      </x:c>
      <x:c r="B189" s="25" t="str">
        <x:v>Application</x:v>
      </x:c>
      <x:c r="C189" s="25" t="str">
        <x:v>qualification.test_measurement_unit::test_supported_definition_contract[changes3]</x:v>
      </x:c>
      <x:c r="D189" s="25" t="str">
        <x:v>Pass</x:v>
      </x:c>
      <x:c r="E189" s="25" t="str">
        <x:v>docs/evidence/application-tests.xml</x:v>
      </x:c>
      <x:c r="F189" s="25" t="str"/>
      <x:c r="G189" s="25" t="str">
        <x:v>Automated assertion only; requirement-level mapping is partial</x:v>
      </x:c>
      <x:c r="H189" s="25" t="n">
        <x:v>46292.90018603009</x:v>
      </x:c>
    </x:row>
    <x:row r="190" ht="76" customHeight="1">
      <x:c r="A190" s="25" t="str">
        <x:v>APP-184</x:v>
      </x:c>
      <x:c r="B190" s="25" t="str">
        <x:v>Application</x:v>
      </x:c>
      <x:c r="C190" s="25" t="str">
        <x:v>qualification.test_measurement_unit::test_count_qualification[0-True]</x:v>
      </x:c>
      <x:c r="D190" s="25" t="str">
        <x:v>Pass</x:v>
      </x:c>
      <x:c r="E190" s="25" t="str">
        <x:v>docs/evidence/application-tests.xml</x:v>
      </x:c>
      <x:c r="F190" s="25" t="str"/>
      <x:c r="G190" s="25" t="str">
        <x:v>Automated assertion only; requirement-level mapping is partial</x:v>
      </x:c>
      <x:c r="H190" s="25" t="n">
        <x:v>46292.90018603009</x:v>
      </x:c>
    </x:row>
    <x:row r="191" ht="76" customHeight="1">
      <x:c r="A191" s="25" t="str">
        <x:v>APP-185</x:v>
      </x:c>
      <x:c r="B191" s="25" t="str">
        <x:v>Application</x:v>
      </x:c>
      <x:c r="C191" s="25" t="str">
        <x:v>qualification.test_measurement_unit::test_count_qualification[10-True]</x:v>
      </x:c>
      <x:c r="D191" s="25" t="str">
        <x:v>Pass</x:v>
      </x:c>
      <x:c r="E191" s="25" t="str">
        <x:v>docs/evidence/application-tests.xml</x:v>
      </x:c>
      <x:c r="F191" s="25" t="str"/>
      <x:c r="G191" s="25" t="str">
        <x:v>Automated assertion only; requirement-level mapping is partial</x:v>
      </x:c>
      <x:c r="H191" s="25" t="n">
        <x:v>46292.90018603009</x:v>
      </x:c>
    </x:row>
    <x:row r="192" ht="76" customHeight="1">
      <x:c r="A192" s="25" t="str">
        <x:v>APP-186</x:v>
      </x:c>
      <x:c r="B192" s="25" t="str">
        <x:v>Application</x:v>
      </x:c>
      <x:c r="C192" s="25" t="str">
        <x:v>qualification.test_measurement_unit::test_count_qualification[-1-False]</x:v>
      </x:c>
      <x:c r="D192" s="25" t="str">
        <x:v>Pass</x:v>
      </x:c>
      <x:c r="E192" s="25" t="str">
        <x:v>docs/evidence/application-tests.xml</x:v>
      </x:c>
      <x:c r="F192" s="25" t="str"/>
      <x:c r="G192" s="25" t="str">
        <x:v>Automated assertion only; requirement-level mapping is partial</x:v>
      </x:c>
      <x:c r="H192" s="25" t="n">
        <x:v>46292.90018603009</x:v>
      </x:c>
    </x:row>
    <x:row r="193" ht="76" customHeight="1">
      <x:c r="A193" s="25" t="str">
        <x:v>APP-187</x:v>
      </x:c>
      <x:c r="B193" s="25" t="str">
        <x:v>Application</x:v>
      </x:c>
      <x:c r="C193" s="25" t="str">
        <x:v>qualification.test_measurement_unit::test_count_qualification[1.5-False]</x:v>
      </x:c>
      <x:c r="D193" s="25" t="str">
        <x:v>Pass</x:v>
      </x:c>
      <x:c r="E193" s="25" t="str">
        <x:v>docs/evidence/application-tests.xml</x:v>
      </x:c>
      <x:c r="F193" s="25" t="str"/>
      <x:c r="G193" s="25" t="str">
        <x:v>Automated assertion only; requirement-level mapping is partial</x:v>
      </x:c>
      <x:c r="H193" s="25" t="n">
        <x:v>46292.90018603009</x:v>
      </x:c>
    </x:row>
    <x:row r="194" ht="76" customHeight="1">
      <x:c r="A194" s="25" t="str">
        <x:v>APP-188</x:v>
      </x:c>
      <x:c r="B194" s="25" t="str">
        <x:v>Application</x:v>
      </x:c>
      <x:c r="C194" s="25" t="str">
        <x:v>qualification.test_measurement_unit::test_count_qualification[NaN-False]</x:v>
      </x:c>
      <x:c r="D194" s="25" t="str">
        <x:v>Pass</x:v>
      </x:c>
      <x:c r="E194" s="25" t="str">
        <x:v>docs/evidence/application-tests.xml</x:v>
      </x:c>
      <x:c r="F194" s="25" t="str"/>
      <x:c r="G194" s="25" t="str">
        <x:v>Automated assertion only; requirement-level mapping is partial</x:v>
      </x:c>
      <x:c r="H194" s="25" t="n">
        <x:v>46292.90018603009</x:v>
      </x:c>
    </x:row>
    <x:row r="195" ht="76" customHeight="1">
      <x:c r="A195" s="25" t="str">
        <x:v>APP-189</x:v>
      </x:c>
      <x:c r="B195" s="25" t="str">
        <x:v>Application</x:v>
      </x:c>
      <x:c r="C195" s="25" t="str">
        <x:v>qualification.test_measurement_unit::test_count_qualification[None-False]</x:v>
      </x:c>
      <x:c r="D195" s="25" t="str">
        <x:v>Pass</x:v>
      </x:c>
      <x:c r="E195" s="25" t="str">
        <x:v>docs/evidence/application-tests.xml</x:v>
      </x:c>
      <x:c r="F195" s="25" t="str"/>
      <x:c r="G195" s="25" t="str">
        <x:v>Automated assertion only; requirement-level mapping is partial</x:v>
      </x:c>
      <x:c r="H195" s="25" t="n">
        <x:v>46292.90018603009</x:v>
      </x:c>
    </x:row>
    <x:row r="196" ht="76" customHeight="1">
      <x:c r="A196" s="25" t="str">
        <x:v>APP-190</x:v>
      </x:c>
      <x:c r="B196" s="25" t="str">
        <x:v>Application</x:v>
      </x:c>
      <x:c r="C196" s="25" t="str">
        <x:v>qualification.test_measurement_unit::test_plan_contract_rejects_invalid_or_authority_fields[bad0]</x:v>
      </x:c>
      <x:c r="D196" s="25" t="str">
        <x:v>Pass</x:v>
      </x:c>
      <x:c r="E196" s="25" t="str">
        <x:v>docs/evidence/application-tests.xml</x:v>
      </x:c>
      <x:c r="F196" s="25" t="str"/>
      <x:c r="G196" s="25" t="str">
        <x:v>Automated assertion only; requirement-level mapping is partial</x:v>
      </x:c>
      <x:c r="H196" s="25" t="n">
        <x:v>46292.90018603009</x:v>
      </x:c>
    </x:row>
    <x:row r="197" ht="76" customHeight="1">
      <x:c r="A197" s="25" t="str">
        <x:v>APP-191</x:v>
      </x:c>
      <x:c r="B197" s="25" t="str">
        <x:v>Application</x:v>
      </x:c>
      <x:c r="C197" s="25" t="str">
        <x:v>qualification.test_measurement_unit::test_plan_contract_rejects_invalid_or_authority_fields[bad1]</x:v>
      </x:c>
      <x:c r="D197" s="25" t="str">
        <x:v>Pass</x:v>
      </x:c>
      <x:c r="E197" s="25" t="str">
        <x:v>docs/evidence/application-tests.xml</x:v>
      </x:c>
      <x:c r="F197" s="25" t="str"/>
      <x:c r="G197" s="25" t="str">
        <x:v>Automated assertion only; requirement-level mapping is partial</x:v>
      </x:c>
      <x:c r="H197" s="25" t="n">
        <x:v>46292.90018603009</x:v>
      </x:c>
    </x:row>
    <x:row r="198" ht="76" customHeight="1">
      <x:c r="A198" s="25" t="str">
        <x:v>APP-192</x:v>
      </x:c>
      <x:c r="B198" s="25" t="str">
        <x:v>Application</x:v>
      </x:c>
      <x:c r="C198" s="25" t="str">
        <x:v>qualification.test_measurement_unit::test_plan_contract_rejects_invalid_or_authority_fields[bad2]</x:v>
      </x:c>
      <x:c r="D198" s="25" t="str">
        <x:v>Pass</x:v>
      </x:c>
      <x:c r="E198" s="25" t="str">
        <x:v>docs/evidence/application-tests.xml</x:v>
      </x:c>
      <x:c r="F198" s="25" t="str"/>
      <x:c r="G198" s="25" t="str">
        <x:v>Automated assertion only; requirement-level mapping is partial</x:v>
      </x:c>
      <x:c r="H198" s="25" t="n">
        <x:v>46292.90018603009</x:v>
      </x:c>
    </x:row>
    <x:row r="199" ht="76" customHeight="1">
      <x:c r="A199" s="25" t="str">
        <x:v>APP-193</x:v>
      </x:c>
      <x:c r="B199" s="25" t="str">
        <x:v>Application</x:v>
      </x:c>
      <x:c r="C199" s="25" t="str">
        <x:v>qualification.test_measurement_unit::test_plan_contract_rejects_invalid_or_authority_fields[bad3]</x:v>
      </x:c>
      <x:c r="D199" s="25" t="str">
        <x:v>Pass</x:v>
      </x:c>
      <x:c r="E199" s="25" t="str">
        <x:v>docs/evidence/application-tests.xml</x:v>
      </x:c>
      <x:c r="F199" s="25" t="str"/>
      <x:c r="G199" s="25" t="str">
        <x:v>Automated assertion only; requirement-level mapping is partial</x:v>
      </x:c>
      <x:c r="H199" s="25" t="n">
        <x:v>46292.90018603009</x:v>
      </x:c>
    </x:row>
    <x:row r="200" ht="76" customHeight="1">
      <x:c r="A200" s="25" t="str">
        <x:v>APP-194</x:v>
      </x:c>
      <x:c r="B200" s="25" t="str">
        <x:v>Application</x:v>
      </x:c>
      <x:c r="C200" s="25" t="str">
        <x:v>qualification.test_measurement_unit::test_completion_and_cutoff_are_snapshot_properties</x:v>
      </x:c>
      <x:c r="D200" s="25" t="str">
        <x:v>Pass</x:v>
      </x:c>
      <x:c r="E200" s="25" t="str">
        <x:v>docs/evidence/application-tests.xml</x:v>
      </x:c>
      <x:c r="F200" s="25" t="str"/>
      <x:c r="G200" s="25" t="str">
        <x:v>Automated assertion only; requirement-level mapping is partial</x:v>
      </x:c>
      <x:c r="H200" s="25" t="n">
        <x:v>46292.90018603009</x:v>
      </x:c>
    </x:row>
    <x:row r="201" ht="76" customHeight="1">
      <x:c r="A201" s="25" t="str">
        <x:v>APP-195</x:v>
      </x:c>
      <x:c r="B201" s="25" t="str">
        <x:v>Application</x:v>
      </x:c>
      <x:c r="C201" s="25" t="str">
        <x:v>qualification.test_measurement_unit::test_reviewed_exception_retains_expected_count_but_changes_required_denominator</x:v>
      </x:c>
      <x:c r="D201" s="25" t="str">
        <x:v>Pass</x:v>
      </x:c>
      <x:c r="E201" s="25" t="str">
        <x:v>docs/evidence/application-tests.xml</x:v>
      </x:c>
      <x:c r="F201" s="25" t="str"/>
      <x:c r="G201" s="25" t="str">
        <x:v>Automated assertion only; requirement-level mapping is partial</x:v>
      </x:c>
      <x:c r="H201" s="25" t="n">
        <x:v>46292.90018603009</x:v>
      </x:c>
    </x:row>
    <x:row r="202" ht="76" customHeight="1">
      <x:c r="A202" s="25" t="str">
        <x:v>APP-196</x:v>
      </x:c>
      <x:c r="B202" s="25" t="str">
        <x:v>Application</x:v>
      </x:c>
      <x:c r="C202" s="25" t="str">
        <x:v>qualification.test_period_governance::test_close_creates_immutable_snapshot_and_official_results</x:v>
      </x:c>
      <x:c r="D202" s="25" t="str">
        <x:v>Pass</x:v>
      </x:c>
      <x:c r="E202" s="25" t="str">
        <x:v>docs/evidence/application-tests.xml</x:v>
      </x:c>
      <x:c r="F202" s="25" t="str">
        <x:v>FR-WFL-007; FR-WFL-008</x:v>
      </x:c>
      <x:c r="G202" s="25" t="str">
        <x:v>Automated assertion only; requirement-level mapping is partial</x:v>
      </x:c>
      <x:c r="H202" s="25" t="n">
        <x:v>46292.90018603009</x:v>
      </x:c>
    </x:row>
    <x:row r="203" ht="76" customHeight="1">
      <x:c r="A203" s="25" t="str">
        <x:v>APP-197</x:v>
      </x:c>
      <x:c r="B203" s="25" t="str">
        <x:v>Application</x:v>
      </x:c>
      <x:c r="C203" s="25" t="str">
        <x:v>qualification.test_period_governance::test_blocked_close_is_reviewable_but_cannot_lock</x:v>
      </x:c>
      <x:c r="D203" s="25" t="str">
        <x:v>Pass</x:v>
      </x:c>
      <x:c r="E203" s="25" t="str">
        <x:v>docs/evidence/application-tests.xml</x:v>
      </x:c>
      <x:c r="F203" s="25" t="str">
        <x:v>FR-WFL-007; FR-WFL-008</x:v>
      </x:c>
      <x:c r="G203" s="25" t="str">
        <x:v>Automated assertion only; requirement-level mapping is partial</x:v>
      </x:c>
      <x:c r="H203" s="25" t="n">
        <x:v>46292.90018603009</x:v>
      </x:c>
    </x:row>
    <x:row r="204" ht="76" customHeight="1">
      <x:c r="A204" s="25" t="str">
        <x:v>APP-198</x:v>
      </x:c>
      <x:c r="B204" s="25" t="str">
        <x:v>Application</x:v>
      </x:c>
      <x:c r="C204" s="25" t="str">
        <x:v>qualification.test_period_governance::test_source_change_after_preview_requires_new_preview</x:v>
      </x:c>
      <x:c r="D204" s="25" t="str">
        <x:v>Pass</x:v>
      </x:c>
      <x:c r="E204" s="25" t="str">
        <x:v>docs/evidence/application-tests.xml</x:v>
      </x:c>
      <x:c r="F204" s="25" t="str">
        <x:v>FR-WFL-007; FR-WFL-008</x:v>
      </x:c>
      <x:c r="G204" s="25" t="str">
        <x:v>Automated assertion only; requirement-level mapping is partial</x:v>
      </x:c>
      <x:c r="H204" s="25" t="n">
        <x:v>46292.90018603009</x:v>
      </x:c>
    </x:row>
    <x:row r="205" ht="76" customHeight="1">
      <x:c r="A205" s="25" t="str">
        <x:v>APP-199</x:v>
      </x:c>
      <x:c r="B205" s="25" t="str">
        <x:v>Application</x:v>
      </x:c>
      <x:c r="C205" s="25" t="str">
        <x:v>qualification.test_period_governance::test_restatement_limits_correction_and_supersedes_without_overwrite</x:v>
      </x:c>
      <x:c r="D205" s="25" t="str">
        <x:v>Pass</x:v>
      </x:c>
      <x:c r="E205" s="25" t="str">
        <x:v>docs/evidence/application-tests.xml</x:v>
      </x:c>
      <x:c r="F205" s="25" t="str">
        <x:v>FR-WFL-007; FR-WFL-008</x:v>
      </x:c>
      <x:c r="G205" s="25" t="str">
        <x:v>Automated assertion only; requirement-level mapping is partial</x:v>
      </x:c>
      <x:c r="H205" s="25" t="n">
        <x:v>46292.90018603009</x:v>
      </x:c>
    </x:row>
    <x:row r="206" ht="76" customHeight="1">
      <x:c r="A206" s="25" t="str">
        <x:v>APP-200</x:v>
      </x:c>
      <x:c r="B206" s="25" t="str">
        <x:v>Application</x:v>
      </x:c>
      <x:c r="C206" s="25" t="str">
        <x:v>qualification.test_period_governance::test_restatement_rejects_source_not_in_snapshot_and_rls_hides_bindings</x:v>
      </x:c>
      <x:c r="D206" s="25" t="str">
        <x:v>Pass</x:v>
      </x:c>
      <x:c r="E206" s="25" t="str">
        <x:v>docs/evidence/application-tests.xml</x:v>
      </x:c>
      <x:c r="F206" s="25" t="str">
        <x:v>FR-WFL-007; FR-WFL-008</x:v>
      </x:c>
      <x:c r="G206" s="25" t="str">
        <x:v>Automated assertion only; requirement-level mapping is partial</x:v>
      </x:c>
      <x:c r="H206" s="25" t="n">
        <x:v>46292.90018603009</x:v>
      </x:c>
    </x:row>
    <x:row r="207" ht="76" customHeight="1">
      <x:c r="A207" s="25" t="str">
        <x:v>APP-201</x:v>
      </x:c>
      <x:c r="B207" s="25" t="str">
        <x:v>Application</x:v>
      </x:c>
      <x:c r="C207" s="25" t="str">
        <x:v>qualification.test_publication::test_narrative_numbers_require_exact_bindings_and_csv_is_deterministic</x:v>
      </x:c>
      <x:c r="D207" s="25" t="str">
        <x:v>Pass</x:v>
      </x:c>
      <x:c r="E207" s="25" t="str">
        <x:v>docs/evidence/application-tests.xml</x:v>
      </x:c>
      <x:c r="F207" s="25" t="str">
        <x:v>FR-RPT-003; FR-RPT-005; FR-RPT-007; FR-RPT-009; FR-RPT-010</x:v>
      </x:c>
      <x:c r="G207" s="25" t="str">
        <x:v>Automated assertion only; requirement-level mapping is partial</x:v>
      </x:c>
      <x:c r="H207" s="25" t="n">
        <x:v>46292.90018603009</x:v>
      </x:c>
    </x:row>
    <x:row r="208" ht="76" customHeight="1">
      <x:c r="A208" s="25" t="str">
        <x:v>APP-202</x:v>
      </x:c>
      <x:c r="B208" s="25" t="str">
        <x:v>Application</x:v>
      </x:c>
      <x:c r="C208" s="25" t="str">
        <x:v>qualification.test_publication::test_controlled_publication_is_independently_reviewed_recipient_only_and_idempotent</x:v>
      </x:c>
      <x:c r="D208" s="25" t="str">
        <x:v>Pass</x:v>
      </x:c>
      <x:c r="E208" s="25" t="str">
        <x:v>docs/evidence/application-tests.xml</x:v>
      </x:c>
      <x:c r="F208" s="25" t="str">
        <x:v>FR-RPT-003; FR-RPT-005; FR-RPT-007; FR-RPT-009; FR-RPT-010</x:v>
      </x:c>
      <x:c r="G208" s="25" t="str">
        <x:v>Automated assertion only; requirement-level mapping is partial</x:v>
      </x:c>
      <x:c r="H208" s="25" t="n">
        <x:v>46292.90018603009</x:v>
      </x:c>
    </x:row>
    <x:row r="209" ht="76" customHeight="1">
      <x:c r="A209" s="25" t="str">
        <x:v>APP-203</x:v>
      </x:c>
      <x:c r="B209" s="25" t="str">
        <x:v>Application</x:v>
      </x:c>
      <x:c r="C209" s="25" t="str">
        <x:v>qualification.test_publication::test_download_right_expiry_recipient_state_and_withdrawal_are_enforced</x:v>
      </x:c>
      <x:c r="D209" s="25" t="str">
        <x:v>Pass</x:v>
      </x:c>
      <x:c r="E209" s="25" t="str">
        <x:v>docs/evidence/application-tests.xml</x:v>
      </x:c>
      <x:c r="F209" s="25" t="str">
        <x:v>FR-RPT-003; FR-RPT-005; FR-RPT-007; FR-RPT-009; FR-RPT-010</x:v>
      </x:c>
      <x:c r="G209" s="25" t="str">
        <x:v>Automated assertion only; requirement-level mapping is partial</x:v>
      </x:c>
      <x:c r="H209" s="25" t="n">
        <x:v>46292.90018603009</x:v>
      </x:c>
    </x:row>
    <x:row r="210" ht="76" customHeight="1">
      <x:c r="A210" s="25" t="str">
        <x:v>APP-204</x:v>
      </x:c>
      <x:c r="B210" s="25" t="str">
        <x:v>Application</x:v>
      </x:c>
      <x:c r="C210" s="25" t="str">
        <x:v>qualification.test_publication::test_disclosure_rejects_public_expired_duplicate_and_inactive_recipients</x:v>
      </x:c>
      <x:c r="D210" s="25" t="str">
        <x:v>Pass</x:v>
      </x:c>
      <x:c r="E210" s="25" t="str">
        <x:v>docs/evidence/application-tests.xml</x:v>
      </x:c>
      <x:c r="F210" s="25" t="str">
        <x:v>FR-RPT-003; FR-RPT-005; FR-RPT-007; FR-RPT-009; FR-RPT-010</x:v>
      </x:c>
      <x:c r="G210" s="25" t="str">
        <x:v>Automated assertion only; requirement-level mapping is partial</x:v>
      </x:c>
      <x:c r="H210" s="25" t="n">
        <x:v>46292.90018603009</x:v>
      </x:c>
    </x:row>
    <x:row r="211" ht="76" customHeight="1">
      <x:c r="A211" s="25" t="str">
        <x:v>APP-205</x:v>
      </x:c>
      <x:c r="B211" s="25" t="str">
        <x:v>Application</x:v>
      </x:c>
      <x:c r="C211" s="25" t="str">
        <x:v>qualification.test_recovery_contacts::test_verified_contact_is_required_before_activation_and_grants_no_access</x:v>
      </x:c>
      <x:c r="D211" s="25" t="str">
        <x:v>Pass</x:v>
      </x:c>
      <x:c r="E211" s="25" t="str">
        <x:v>docs/evidence/application-tests.xml</x:v>
      </x:c>
      <x:c r="F211" s="25" t="str">
        <x:v>FR-TEN-001</x:v>
      </x:c>
      <x:c r="G211" s="25" t="str">
        <x:v>Automated assertion only; requirement-level mapping is partial</x:v>
      </x:c>
      <x:c r="H211" s="25" t="n">
        <x:v>46292.90018603009</x:v>
      </x:c>
    </x:row>
    <x:row r="212" ht="76" customHeight="1">
      <x:c r="A212" s="25" t="str">
        <x:v>APP-206</x:v>
      </x:c>
      <x:c r="B212" s="25" t="str">
        <x:v>Application</x:v>
      </x:c>
      <x:c r="C212" s="25" t="str">
        <x:v>qualification.test_recovery_contacts::test_owner_only_nomination_and_private_identity_bound_inbox</x:v>
      </x:c>
      <x:c r="D212" s="25" t="str">
        <x:v>Pass</x:v>
      </x:c>
      <x:c r="E212" s="25" t="str">
        <x:v>docs/evidence/application-tests.xml</x:v>
      </x:c>
      <x:c r="F212" s="25" t="str">
        <x:v>FR-TEN-001</x:v>
      </x:c>
      <x:c r="G212" s="25" t="str">
        <x:v>Automated assertion only; requirement-level mapping is partial</x:v>
      </x:c>
      <x:c r="H212" s="25" t="n">
        <x:v>46292.90018603009</x:v>
      </x:c>
    </x:row>
    <x:row r="213" ht="76" customHeight="1">
      <x:c r="A213" s="25" t="str">
        <x:v>APP-207</x:v>
      </x:c>
      <x:c r="B213" s="25" t="str">
        <x:v>Application</x:v>
      </x:c>
      <x:c r="C213" s="25" t="str">
        <x:v>qualification.test_recovery_contacts::test_nomination_contract_and_expiry_limits[changes0-422]</x:v>
      </x:c>
      <x:c r="D213" s="25" t="str">
        <x:v>Pass</x:v>
      </x:c>
      <x:c r="E213" s="25" t="str">
        <x:v>docs/evidence/application-tests.xml</x:v>
      </x:c>
      <x:c r="F213" s="25" t="str">
        <x:v>FR-TEN-001</x:v>
      </x:c>
      <x:c r="G213" s="25" t="str">
        <x:v>Automated assertion only; requirement-level mapping is partial</x:v>
      </x:c>
      <x:c r="H213" s="25" t="n">
        <x:v>46292.90018603009</x:v>
      </x:c>
    </x:row>
    <x:row r="214" ht="76" customHeight="1">
      <x:c r="A214" s="25" t="str">
        <x:v>APP-208</x:v>
      </x:c>
      <x:c r="B214" s="25" t="str">
        <x:v>Application</x:v>
      </x:c>
      <x:c r="C214" s="25" t="str">
        <x:v>qualification.test_recovery_contacts::test_nomination_contract_and_expiry_limits[changes1-422]</x:v>
      </x:c>
      <x:c r="D214" s="25" t="str">
        <x:v>Pass</x:v>
      </x:c>
      <x:c r="E214" s="25" t="str">
        <x:v>docs/evidence/application-tests.xml</x:v>
      </x:c>
      <x:c r="F214" s="25" t="str">
        <x:v>FR-TEN-001</x:v>
      </x:c>
      <x:c r="G214" s="25" t="str">
        <x:v>Automated assertion only; requirement-level mapping is partial</x:v>
      </x:c>
      <x:c r="H214" s="25" t="n">
        <x:v>46292.90018603009</x:v>
      </x:c>
    </x:row>
    <x:row r="215" ht="76" customHeight="1">
      <x:c r="A215" s="25" t="str">
        <x:v>APP-209</x:v>
      </x:c>
      <x:c r="B215" s="25" t="str">
        <x:v>Application</x:v>
      </x:c>
      <x:c r="C215" s="25" t="str">
        <x:v>qualification.test_recovery_contacts::test_nomination_contract_and_expiry_limits[changes2-404]</x:v>
      </x:c>
      <x:c r="D215" s="25" t="str">
        <x:v>Pass</x:v>
      </x:c>
      <x:c r="E215" s="25" t="str">
        <x:v>docs/evidence/application-tests.xml</x:v>
      </x:c>
      <x:c r="F215" s="25" t="str">
        <x:v>FR-TEN-001</x:v>
      </x:c>
      <x:c r="G215" s="25" t="str">
        <x:v>Automated assertion only; requirement-level mapping is partial</x:v>
      </x:c>
      <x:c r="H215" s="25" t="n">
        <x:v>46292.90018603009</x:v>
      </x:c>
    </x:row>
    <x:row r="216" ht="76" customHeight="1">
      <x:c r="A216" s="25" t="str">
        <x:v>APP-210</x:v>
      </x:c>
      <x:c r="B216" s="25" t="str">
        <x:v>Application</x:v>
      </x:c>
      <x:c r="C216" s="25" t="str">
        <x:v>qualification.test_recovery_contacts::test_nomination_contract_and_expiry_limits[changes3-422]</x:v>
      </x:c>
      <x:c r="D216" s="25" t="str">
        <x:v>Pass</x:v>
      </x:c>
      <x:c r="E216" s="25" t="str">
        <x:v>docs/evidence/application-tests.xml</x:v>
      </x:c>
      <x:c r="F216" s="25" t="str">
        <x:v>FR-TEN-001</x:v>
      </x:c>
      <x:c r="G216" s="25" t="str">
        <x:v>Automated assertion only; requirement-level mapping is partial</x:v>
      </x:c>
      <x:c r="H216" s="25" t="n">
        <x:v>46292.90018603009</x:v>
      </x:c>
    </x:row>
    <x:row r="217" ht="76" customHeight="1">
      <x:c r="A217" s="25" t="str">
        <x:v>APP-211</x:v>
      </x:c>
      <x:c r="B217" s="25" t="str">
        <x:v>Application</x:v>
      </x:c>
      <x:c r="C217" s="25" t="str">
        <x:v>qualification.test_recovery_contacts::test_nomination_contract_and_expiry_limits[changes4-409]</x:v>
      </x:c>
      <x:c r="D217" s="25" t="str">
        <x:v>Pass</x:v>
      </x:c>
      <x:c r="E217" s="25" t="str">
        <x:v>docs/evidence/application-tests.xml</x:v>
      </x:c>
      <x:c r="F217" s="25" t="str">
        <x:v>FR-TEN-001</x:v>
      </x:c>
      <x:c r="G217" s="25" t="str">
        <x:v>Automated assertion only; requirement-level mapping is partial</x:v>
      </x:c>
      <x:c r="H217" s="25" t="n">
        <x:v>46292.90018603009</x:v>
      </x:c>
    </x:row>
    <x:row r="218" ht="76" customHeight="1">
      <x:c r="A218" s="25" t="str">
        <x:v>APP-212</x:v>
      </x:c>
      <x:c r="B218" s="25" t="str">
        <x:v>Application</x:v>
      </x:c>
      <x:c r="C218" s="25" t="str">
        <x:v>qualification.test_recovery_contacts::test_owner_alias_cannot_be_recovery_contact</x:v>
      </x:c>
      <x:c r="D218" s="25" t="str">
        <x:v>Pass</x:v>
      </x:c>
      <x:c r="E218" s="25" t="str">
        <x:v>docs/evidence/application-tests.xml</x:v>
      </x:c>
      <x:c r="F218" s="25" t="str">
        <x:v>FR-TEN-001</x:v>
      </x:c>
      <x:c r="G218" s="25" t="str">
        <x:v>Automated assertion only; requirement-level mapping is partial</x:v>
      </x:c>
      <x:c r="H218" s="25" t="n">
        <x:v>46292.90018603009</x:v>
      </x:c>
    </x:row>
    <x:row r="219" ht="76" customHeight="1">
      <x:c r="A219" s="25" t="str">
        <x:v>APP-213</x:v>
      </x:c>
      <x:c r="B219" s="25" t="str">
        <x:v>Application</x:v>
      </x:c>
      <x:c r="C219" s="25" t="str">
        <x:v>qualification.test_recovery_contacts::test_reviewer_must_be_a_different_natural_person</x:v>
      </x:c>
      <x:c r="D219" s="25" t="str">
        <x:v>Pass</x:v>
      </x:c>
      <x:c r="E219" s="25" t="str">
        <x:v>docs/evidence/application-tests.xml</x:v>
      </x:c>
      <x:c r="F219" s="25" t="str">
        <x:v>FR-TEN-001</x:v>
      </x:c>
      <x:c r="G219" s="25" t="str">
        <x:v>Automated assertion only; requirement-level mapping is partial</x:v>
      </x:c>
      <x:c r="H219" s="25" t="n">
        <x:v>46292.90018603009</x:v>
      </x:c>
    </x:row>
    <x:row r="220" ht="76" customHeight="1">
      <x:c r="A220" s="25" t="str">
        <x:v>APP-214</x:v>
      </x:c>
      <x:c r="B220" s="25" t="str">
        <x:v>Application</x:v>
      </x:c>
      <x:c r="C220" s="25" t="str">
        <x:v>qualification.test_recovery_contacts::test_fresh_assurance_and_exact_retry</x:v>
      </x:c>
      <x:c r="D220" s="25" t="str">
        <x:v>Pass</x:v>
      </x:c>
      <x:c r="E220" s="25" t="str">
        <x:v>docs/evidence/application-tests.xml</x:v>
      </x:c>
      <x:c r="F220" s="25" t="str">
        <x:v>FR-TEN-001</x:v>
      </x:c>
      <x:c r="G220" s="25" t="str">
        <x:v>Automated assertion only; requirement-level mapping is partial</x:v>
      </x:c>
      <x:c r="H220" s="25" t="n">
        <x:v>46292.90018603009</x:v>
      </x:c>
    </x:row>
    <x:row r="221" ht="76" customHeight="1">
      <x:c r="A221" s="25" t="str">
        <x:v>APP-215</x:v>
      </x:c>
      <x:c r="B221" s="25" t="str">
        <x:v>Application</x:v>
      </x:c>
      <x:c r="C221" s="25" t="str">
        <x:v>qualification.test_recovery_contacts::test_replacement_preserves_old_contact_until_atomic_approval</x:v>
      </x:c>
      <x:c r="D221" s="25" t="str">
        <x:v>Pass</x:v>
      </x:c>
      <x:c r="E221" s="25" t="str">
        <x:v>docs/evidence/application-tests.xml</x:v>
      </x:c>
      <x:c r="F221" s="25" t="str">
        <x:v>FR-TEN-001</x:v>
      </x:c>
      <x:c r="G221" s="25" t="str">
        <x:v>Automated assertion only; requirement-level mapping is partial</x:v>
      </x:c>
      <x:c r="H221" s="25" t="n">
        <x:v>46292.90018603009</x:v>
      </x:c>
    </x:row>
    <x:row r="222" ht="76" customHeight="1">
      <x:c r="A222" s="25" t="str">
        <x:v>APP-216</x:v>
      </x:c>
      <x:c r="B222" s="25" t="str">
        <x:v>Application</x:v>
      </x:c>
      <x:c r="C222" s="25" t="str">
        <x:v>qualification.test_recovery_contacts::test_terminal_proposals_do_not_displace_existing_contact[decline-partner]</x:v>
      </x:c>
      <x:c r="D222" s="25" t="str">
        <x:v>Pass</x:v>
      </x:c>
      <x:c r="E222" s="25" t="str">
        <x:v>docs/evidence/application-tests.xml</x:v>
      </x:c>
      <x:c r="F222" s="25" t="str">
        <x:v>FR-TEN-001</x:v>
      </x:c>
      <x:c r="G222" s="25" t="str">
        <x:v>Automated assertion only; requirement-level mapping is partial</x:v>
      </x:c>
      <x:c r="H222" s="25" t="n">
        <x:v>46292.90018603009</x:v>
      </x:c>
    </x:row>
    <x:row r="223" ht="76" customHeight="1">
      <x:c r="A223" s="25" t="str">
        <x:v>APP-217</x:v>
      </x:c>
      <x:c r="B223" s="25" t="str">
        <x:v>Application</x:v>
      </x:c>
      <x:c r="C223" s="25" t="str">
        <x:v>qualification.test_recovery_contacts::test_terminal_proposals_do_not_displace_existing_contact[cancel-author]</x:v>
      </x:c>
      <x:c r="D223" s="25" t="str">
        <x:v>Pass</x:v>
      </x:c>
      <x:c r="E223" s="25" t="str">
        <x:v>docs/evidence/application-tests.xml</x:v>
      </x:c>
      <x:c r="F223" s="25" t="str">
        <x:v>FR-TEN-001</x:v>
      </x:c>
      <x:c r="G223" s="25" t="str">
        <x:v>Automated assertion only; requirement-level mapping is partial</x:v>
      </x:c>
      <x:c r="H223" s="25" t="n">
        <x:v>46292.90018603009</x:v>
      </x:c>
    </x:row>
    <x:row r="224" ht="76" customHeight="1">
      <x:c r="A224" s="25" t="str">
        <x:v>APP-218</x:v>
      </x:c>
      <x:c r="B224" s="25" t="str">
        <x:v>Application</x:v>
      </x:c>
      <x:c r="C224" s="25" t="str">
        <x:v>qualification.test_recovery_contacts::test_terminal_proposals_do_not_displace_existing_contact[reject-admin]</x:v>
      </x:c>
      <x:c r="D224" s="25" t="str">
        <x:v>Pass</x:v>
      </x:c>
      <x:c r="E224" s="25" t="str">
        <x:v>docs/evidence/application-tests.xml</x:v>
      </x:c>
      <x:c r="F224" s="25" t="str">
        <x:v>FR-TEN-001</x:v>
      </x:c>
      <x:c r="G224" s="25" t="str">
        <x:v>Automated assertion only; requirement-level mapping is partial</x:v>
      </x:c>
      <x:c r="H224" s="25" t="n">
        <x:v>46292.90018603009</x:v>
      </x:c>
    </x:row>
    <x:row r="225" ht="76" customHeight="1">
      <x:c r="A225" s="25" t="str">
        <x:v>APP-219</x:v>
      </x:c>
      <x:c r="B225" s="25" t="str">
        <x:v>Application</x:v>
      </x:c>
      <x:c r="C225" s="25" t="str">
        <x:v>qualification.test_recovery_contacts::test_revocation_blocks_activation_without_resurrecting_on_retry</x:v>
      </x:c>
      <x:c r="D225" s="25" t="str">
        <x:v>Pass</x:v>
      </x:c>
      <x:c r="E225" s="25" t="str">
        <x:v>docs/evidence/application-tests.xml</x:v>
      </x:c>
      <x:c r="F225" s="25" t="str">
        <x:v>FR-TEN-001</x:v>
      </x:c>
      <x:c r="G225" s="25" t="str">
        <x:v>Automated assertion only; requirement-level mapping is partial</x:v>
      </x:c>
      <x:c r="H225" s="25" t="n">
        <x:v>46292.90018603009</x:v>
      </x:c>
    </x:row>
    <x:row r="226" ht="76" customHeight="1">
      <x:c r="A226" s="25" t="str">
        <x:v>APP-220</x:v>
      </x:c>
      <x:c r="B226" s="25" t="str">
        <x:v>Application</x:v>
      </x:c>
      <x:c r="C226" s="25" t="str">
        <x:v>qualification.test_recovery_contacts::test_approval_rechecks_every_evidence_pin[tenant-409]</x:v>
      </x:c>
      <x:c r="D226" s="25" t="str">
        <x:v>Pass</x:v>
      </x:c>
      <x:c r="E226" s="25" t="str">
        <x:v>docs/evidence/application-tests.xml</x:v>
      </x:c>
      <x:c r="F226" s="25" t="str">
        <x:v>FR-TEN-001</x:v>
      </x:c>
      <x:c r="G226" s="25" t="str">
        <x:v>Automated assertion only; requirement-level mapping is partial</x:v>
      </x:c>
      <x:c r="H226" s="25" t="n">
        <x:v>46292.90018603009</x:v>
      </x:c>
    </x:row>
    <x:row r="227" ht="76" customHeight="1">
      <x:c r="A227" s="25" t="str">
        <x:v>APP-221</x:v>
      </x:c>
      <x:c r="B227" s="25" t="str">
        <x:v>Application</x:v>
      </x:c>
      <x:c r="C227" s="25" t="str">
        <x:v>qualification.test_recovery_contacts::test_approval_rechecks_every_evidence_pin[owner-409]</x:v>
      </x:c>
      <x:c r="D227" s="25" t="str">
        <x:v>Pass</x:v>
      </x:c>
      <x:c r="E227" s="25" t="str">
        <x:v>docs/evidence/application-tests.xml</x:v>
      </x:c>
      <x:c r="F227" s="25" t="str">
        <x:v>FR-TEN-001</x:v>
      </x:c>
      <x:c r="G227" s="25" t="str">
        <x:v>Automated assertion only; requirement-level mapping is partial</x:v>
      </x:c>
      <x:c r="H227" s="25" t="n">
        <x:v>46292.90018603009</x:v>
      </x:c>
    </x:row>
    <x:row r="228" ht="76" customHeight="1">
      <x:c r="A228" s="25" t="str">
        <x:v>APP-222</x:v>
      </x:c>
      <x:c r="B228" s="25" t="str">
        <x:v>Application</x:v>
      </x:c>
      <x:c r="C228" s="25" t="str">
        <x:v>qualification.test_recovery_contacts::test_approval_rechecks_every_evidence_pin[expiry-403]</x:v>
      </x:c>
      <x:c r="D228" s="25" t="str">
        <x:v>Pass</x:v>
      </x:c>
      <x:c r="E228" s="25" t="str">
        <x:v>docs/evidence/application-tests.xml</x:v>
      </x:c>
      <x:c r="F228" s="25" t="str">
        <x:v>FR-TEN-001</x:v>
      </x:c>
      <x:c r="G228" s="25" t="str">
        <x:v>Automated assertion only; requirement-level mapping is partial</x:v>
      </x:c>
      <x:c r="H228" s="25" t="n">
        <x:v>46292.90018603009</x:v>
      </x:c>
    </x:row>
    <x:row r="229" ht="76" customHeight="1">
      <x:c r="A229" s="25" t="str">
        <x:v>APP-223</x:v>
      </x:c>
      <x:c r="B229" s="25" t="str">
        <x:v>Application</x:v>
      </x:c>
      <x:c r="C229" s="25" t="str">
        <x:v>qualification.test_recovery_contacts::test_approval_rechecks_every_evidence_pin[verification-403]</x:v>
      </x:c>
      <x:c r="D229" s="25" t="str">
        <x:v>Pass</x:v>
      </x:c>
      <x:c r="E229" s="25" t="str">
        <x:v>docs/evidence/application-tests.xml</x:v>
      </x:c>
      <x:c r="F229" s="25" t="str">
        <x:v>FR-TEN-001</x:v>
      </x:c>
      <x:c r="G229" s="25" t="str">
        <x:v>Automated assertion only; requirement-level mapping is partial</x:v>
      </x:c>
      <x:c r="H229" s="25" t="n">
        <x:v>46292.90018603009</x:v>
      </x:c>
    </x:row>
    <x:row r="230" ht="76" customHeight="1">
      <x:c r="A230" s="25" t="str">
        <x:v>APP-224</x:v>
      </x:c>
      <x:c r="B230" s="25" t="str">
        <x:v>Application</x:v>
      </x:c>
      <x:c r="C230" s="25" t="str">
        <x:v>qualification.test_recovery_contacts::test_approval_rechecks_every_evidence_pin[identity-403]</x:v>
      </x:c>
      <x:c r="D230" s="25" t="str">
        <x:v>Pass</x:v>
      </x:c>
      <x:c r="E230" s="25" t="str">
        <x:v>docs/evidence/application-tests.xml</x:v>
      </x:c>
      <x:c r="F230" s="25" t="str">
        <x:v>FR-TEN-001</x:v>
      </x:c>
      <x:c r="G230" s="25" t="str">
        <x:v>Automated assertion only; requirement-level mapping is partial</x:v>
      </x:c>
      <x:c r="H230" s="25" t="n">
        <x:v>46292.90018603009</x:v>
      </x:c>
    </x:row>
    <x:row r="231" ht="76" customHeight="1">
      <x:c r="A231" s="25" t="str">
        <x:v>APP-225</x:v>
      </x:c>
      <x:c r="B231" s="25" t="str">
        <x:v>Application</x:v>
      </x:c>
      <x:c r="C231" s="25" t="str">
        <x:v>qualification.test_recovery_contacts::test_approval_rechecks_every_evidence_pin[cutoff-403]</x:v>
      </x:c>
      <x:c r="D231" s="25" t="str">
        <x:v>Pass</x:v>
      </x:c>
      <x:c r="E231" s="25" t="str">
        <x:v>docs/evidence/application-tests.xml</x:v>
      </x:c>
      <x:c r="F231" s="25" t="str">
        <x:v>FR-TEN-001</x:v>
      </x:c>
      <x:c r="G231" s="25" t="str">
        <x:v>Automated assertion only; requirement-level mapping is partial</x:v>
      </x:c>
      <x:c r="H231" s="25" t="n">
        <x:v>46292.90018603009</x:v>
      </x:c>
    </x:row>
    <x:row r="232" ht="76" customHeight="1">
      <x:c r="A232" s="25" t="str">
        <x:v>APP-226</x:v>
      </x:c>
      <x:c r="B232" s="25" t="str">
        <x:v>Application</x:v>
      </x:c>
      <x:c r="C232" s="25" t="str">
        <x:v>qualification.test_recovery_contacts::test_expired_contact_blocks_reactivation_without_suspending_active_business</x:v>
      </x:c>
      <x:c r="D232" s="25" t="str">
        <x:v>Pass</x:v>
      </x:c>
      <x:c r="E232" s="25" t="str">
        <x:v>docs/evidence/application-tests.xml</x:v>
      </x:c>
      <x:c r="F232" s="25" t="str">
        <x:v>FR-TEN-001</x:v>
      </x:c>
      <x:c r="G232" s="25" t="str">
        <x:v>Automated assertion only; requirement-level mapping is partial</x:v>
      </x:c>
      <x:c r="H232" s="25" t="n">
        <x:v>46292.90018603009</x:v>
      </x:c>
    </x:row>
    <x:row r="233" ht="76" customHeight="1">
      <x:c r="A233" s="25" t="str">
        <x:v>APP-227</x:v>
      </x:c>
      <x:c r="B233" s="25" t="str">
        <x:v>Application</x:v>
      </x:c>
      <x:c r="C233" s="25" t="str">
        <x:v>qualification.test_recovery_contacts::test_changed_current_contact_invalidates_pending_replacement</x:v>
      </x:c>
      <x:c r="D233" s="25" t="str">
        <x:v>Pass</x:v>
      </x:c>
      <x:c r="E233" s="25" t="str">
        <x:v>docs/evidence/application-tests.xml</x:v>
      </x:c>
      <x:c r="F233" s="25" t="str">
        <x:v>FR-TEN-001</x:v>
      </x:c>
      <x:c r="G233" s="25" t="str">
        <x:v>Automated assertion only; requirement-level mapping is partial</x:v>
      </x:c>
      <x:c r="H233" s="25" t="n">
        <x:v>46292.90018603009</x:v>
      </x:c>
    </x:row>
    <x:row r="234" ht="76" customHeight="1">
      <x:c r="A234" s="25" t="str">
        <x:v>APP-228</x:v>
      </x:c>
      <x:c r="B234" s="25" t="str">
        <x:v>Application</x:v>
      </x:c>
      <x:c r="C234" s="25" t="str">
        <x:v>qualification.test_recovery_contacts::test_runtime_roles_cannot_read_contact_evidence_or_rewrite_audit</x:v>
      </x:c>
      <x:c r="D234" s="25" t="str">
        <x:v>Pass</x:v>
      </x:c>
      <x:c r="E234" s="25" t="str">
        <x:v>docs/evidence/application-tests.xml</x:v>
      </x:c>
      <x:c r="F234" s="25" t="str">
        <x:v>FR-TEN-001</x:v>
      </x:c>
      <x:c r="G234" s="25" t="str">
        <x:v>Automated assertion only; requirement-level mapping is partial</x:v>
      </x:c>
      <x:c r="H234" s="25" t="n">
        <x:v>46292.90018603009</x:v>
      </x:c>
    </x:row>
    <x:row r="235" ht="76" customHeight="1">
      <x:c r="A235" s="25" t="str">
        <x:v>APP-229</x:v>
      </x:c>
      <x:c r="B235" s="25" t="str">
        <x:v>Application</x:v>
      </x:c>
      <x:c r="C235" s="25" t="str">
        <x:v>qualification.test_recovery_contacts::test_account_revocation_invalidates_contact_and_fresh_renewal_restores_readiness</x:v>
      </x:c>
      <x:c r="D235" s="25" t="str">
        <x:v>Pass</x:v>
      </x:c>
      <x:c r="E235" s="25" t="str">
        <x:v>docs/evidence/application-tests.xml</x:v>
      </x:c>
      <x:c r="F235" s="25" t="str">
        <x:v>FR-TEN-001</x:v>
      </x:c>
      <x:c r="G235" s="25" t="str">
        <x:v>Automated assertion only; requirement-level mapping is partial</x:v>
      </x:c>
      <x:c r="H235" s="25" t="n">
        <x:v>46292.90018603009</x:v>
      </x:c>
    </x:row>
    <x:row r="236" ht="76" customHeight="1">
      <x:c r="A236" s="25" t="str">
        <x:v>APP-230</x:v>
      </x:c>
      <x:c r="B236" s="25" t="str">
        <x:v>Application</x:v>
      </x:c>
      <x:c r="C236" s="25" t="str">
        <x:v>qualification.test_recovery_contacts::test_active_contact_eligibility_rechecks_identity_and_custody[email-IDENTITY_CHANGED]</x:v>
      </x:c>
      <x:c r="D236" s="25" t="str">
        <x:v>Pass</x:v>
      </x:c>
      <x:c r="E236" s="25" t="str">
        <x:v>docs/evidence/application-tests.xml</x:v>
      </x:c>
      <x:c r="F236" s="25" t="str">
        <x:v>FR-TEN-001</x:v>
      </x:c>
      <x:c r="G236" s="25" t="str">
        <x:v>Automated assertion only; requirement-level mapping is partial</x:v>
      </x:c>
      <x:c r="H236" s="25" t="n">
        <x:v>46292.90018603009</x:v>
      </x:c>
    </x:row>
    <x:row r="237" ht="76" customHeight="1">
      <x:c r="A237" s="25" t="str">
        <x:v>APP-231</x:v>
      </x:c>
      <x:c r="B237" s="25" t="str">
        <x:v>Application</x:v>
      </x:c>
      <x:c r="C237" s="25" t="str">
        <x:v>qualification.test_recovery_contacts::test_active_contact_eligibility_rechecks_identity_and_custody[owner-OWNER_CHANGED]</x:v>
      </x:c>
      <x:c r="D237" s="25" t="str">
        <x:v>Pass</x:v>
      </x:c>
      <x:c r="E237" s="25" t="str">
        <x:v>docs/evidence/application-tests.xml</x:v>
      </x:c>
      <x:c r="F237" s="25" t="str">
        <x:v>FR-TEN-001</x:v>
      </x:c>
      <x:c r="G237" s="25" t="str">
        <x:v>Automated assertion only; requirement-level mapping is partial</x:v>
      </x:c>
      <x:c r="H237" s="25" t="n">
        <x:v>46292.90018603009</x:v>
      </x:c>
    </x:row>
    <x:row r="238" ht="76" customHeight="1">
      <x:c r="A238" s="25" t="str">
        <x:v>APP-232</x:v>
      </x:c>
      <x:c r="B238" s="25" t="str">
        <x:v>Application</x:v>
      </x:c>
      <x:c r="C238" s="25" t="str">
        <x:v>qualification.test_recovery_contacts::test_replacement_failure_restores_old_contact_and_all_evidence</x:v>
      </x:c>
      <x:c r="D238" s="25" t="str">
        <x:v>Pass</x:v>
      </x:c>
      <x:c r="E238" s="25" t="str">
        <x:v>docs/evidence/application-tests.xml</x:v>
      </x:c>
      <x:c r="F238" s="25" t="str">
        <x:v>FR-TEN-001</x:v>
      </x:c>
      <x:c r="G238" s="25" t="str">
        <x:v>Automated assertion only; requirement-level mapping is partial</x:v>
      </x:c>
      <x:c r="H238" s="25" t="n">
        <x:v>46292.90018603009</x:v>
      </x:c>
    </x:row>
    <x:row r="239" ht="76" customHeight="1">
      <x:c r="A239" s="25" t="str">
        <x:v>APP-233</x:v>
      </x:c>
      <x:c r="B239" s="25" t="str">
        <x:v>Application</x:v>
      </x:c>
      <x:c r="C239" s="25" t="str">
        <x:v>qualification.test_recovery_contacts::test_revoked_operator_loses_access_to_approval_receipt</x:v>
      </x:c>
      <x:c r="D239" s="25" t="str">
        <x:v>Pass</x:v>
      </x:c>
      <x:c r="E239" s="25" t="str">
        <x:v>docs/evidence/application-tests.xml</x:v>
      </x:c>
      <x:c r="F239" s="25" t="str">
        <x:v>FR-TEN-001</x:v>
      </x:c>
      <x:c r="G239" s="25" t="str">
        <x:v>Automated assertion only; requirement-level mapping is partial</x:v>
      </x:c>
      <x:c r="H239" s="25" t="n">
        <x:v>46292.90018603009</x:v>
      </x:c>
    </x:row>
    <x:row r="240" ht="76" customHeight="1">
      <x:c r="A240" s="25" t="str">
        <x:v>APP-234</x:v>
      </x:c>
      <x:c r="B240" s="25" t="str">
        <x:v>Application</x:v>
      </x:c>
      <x:c r="C240" s="25" t="str">
        <x:v>qualification.test_reporting::test_report_package_approval_freezes_binding_and_exports_escaped_html</x:v>
      </x:c>
      <x:c r="D240" s="25" t="str">
        <x:v>Pass</x:v>
      </x:c>
      <x:c r="E240" s="25" t="str">
        <x:v>docs/evidence/application-tests.xml</x:v>
      </x:c>
      <x:c r="F240" s="25" t="str">
        <x:v>FR-RPT-003; FR-RPT-005; FR-RPT-007; FR-RPT-009; FR-RPT-010</x:v>
      </x:c>
      <x:c r="G240" s="25" t="str">
        <x:v>Automated assertion only; requirement-level mapping is partial</x:v>
      </x:c>
      <x:c r="H240" s="25" t="n">
        <x:v>46292.90018603009</x:v>
      </x:c>
    </x:row>
    <x:row r="241" ht="76" customHeight="1">
      <x:c r="A241" s="25" t="str">
        <x:v>APP-235</x:v>
      </x:c>
      <x:c r="B241" s="25" t="str">
        <x:v>Application</x:v>
      </x:c>
      <x:c r="C241" s="25" t="str">
        <x:v>qualification.test_reporting::test_report_submit_requires_complete_snapshot_reconciled_package</x:v>
      </x:c>
      <x:c r="D241" s="25" t="str">
        <x:v>Pass</x:v>
      </x:c>
      <x:c r="E241" s="25" t="str">
        <x:v>docs/evidence/application-tests.xml</x:v>
      </x:c>
      <x:c r="F241" s="25" t="str">
        <x:v>FR-RPT-003; FR-RPT-005; FR-RPT-007; FR-RPT-009; FR-RPT-010</x:v>
      </x:c>
      <x:c r="G241" s="25" t="str">
        <x:v>Automated assertion only; requirement-level mapping is partial</x:v>
      </x:c>
      <x:c r="H241" s="25" t="n">
        <x:v>46292.90018603009</x:v>
      </x:c>
    </x:row>
    <x:row r="242" ht="76" customHeight="1">
      <x:c r="A242" s="25" t="str">
        <x:v>APP-236</x:v>
      </x:c>
      <x:c r="B242" s="25" t="str">
        <x:v>Application</x:v>
      </x:c>
      <x:c r="C242" s="25" t="str">
        <x:v>qualification.test_reporting::test_report_template_requirements_and_internal_audience_are_enforced</x:v>
      </x:c>
      <x:c r="D242" s="25" t="str">
        <x:v>Pass</x:v>
      </x:c>
      <x:c r="E242" s="25" t="str">
        <x:v>docs/evidence/application-tests.xml</x:v>
      </x:c>
      <x:c r="F242" s="25" t="str">
        <x:v>FR-RPT-003; FR-RPT-005; FR-RPT-007; FR-RPT-009; FR-RPT-010</x:v>
      </x:c>
      <x:c r="G242" s="25" t="str">
        <x:v>Automated assertion only; requirement-level mapping is partial</x:v>
      </x:c>
      <x:c r="H242" s="25" t="n">
        <x:v>46292.90018603009</x:v>
      </x:c>
    </x:row>
    <x:row r="243" ht="76" customHeight="1">
      <x:c r="A243" s="25" t="str">
        <x:v>APP-237</x:v>
      </x:c>
      <x:c r="B243" s="25" t="str">
        <x:v>Application</x:v>
      </x:c>
      <x:c r="C243" s="25" t="str">
        <x:v>qualification.test_reporting::test_report_export_requires_approved_binding_and_tenant_access</x:v>
      </x:c>
      <x:c r="D243" s="25" t="str">
        <x:v>Pass</x:v>
      </x:c>
      <x:c r="E243" s="25" t="str">
        <x:v>docs/evidence/application-tests.xml</x:v>
      </x:c>
      <x:c r="F243" s="25" t="str">
        <x:v>FR-RPT-003; FR-RPT-005; FR-RPT-007; FR-RPT-009; FR-RPT-010</x:v>
      </x:c>
      <x:c r="G243" s="25" t="str">
        <x:v>Automated assertion only; requirement-level mapping is partial</x:v>
      </x:c>
      <x:c r="H243" s="25" t="n">
        <x:v>46292.90018603009</x:v>
      </x:c>
    </x:row>
    <x:row r="244" ht="76" customHeight="1">
      <x:c r="A244" s="25" t="str">
        <x:v>APP-238</x:v>
      </x:c>
      <x:c r="B244" s="25" t="str">
        <x:v>Application</x:v>
      </x:c>
      <x:c r="C244" s="25" t="str">
        <x:v>qualification.test_tenant_lifecycle::test_request_requires_separate_operator_authority</x:v>
      </x:c>
      <x:c r="D244" s="25" t="str">
        <x:v>Pass</x:v>
      </x:c>
      <x:c r="E244" s="25" t="str">
        <x:v>docs/evidence/application-tests.xml</x:v>
      </x:c>
      <x:c r="F244" s="25" t="str">
        <x:v>FR-TEN-001</x:v>
      </x:c>
      <x:c r="G244" s="25" t="str">
        <x:v>Automated assertion only; requirement-level mapping is partial</x:v>
      </x:c>
      <x:c r="H244" s="25" t="n">
        <x:v>46292.90018603009</x:v>
      </x:c>
    </x:row>
    <x:row r="245" ht="76" customHeight="1">
      <x:c r="A245" s="25" t="str">
        <x:v>APP-239</x:v>
      </x:c>
      <x:c r="B245" s="25" t="str">
        <x:v>Application</x:v>
      </x:c>
      <x:c r="C245" s="25" t="str">
        <x:v>qualification.test_tenant_lifecycle::test_owner_acceptance_activation_independence_and_no_implied_access</x:v>
      </x:c>
      <x:c r="D245" s="25" t="str">
        <x:v>Pass</x:v>
      </x:c>
      <x:c r="E245" s="25" t="str">
        <x:v>docs/evidence/application-tests.xml</x:v>
      </x:c>
      <x:c r="F245" s="25" t="str">
        <x:v>FR-TEN-001</x:v>
      </x:c>
      <x:c r="G245" s="25" t="str">
        <x:v>Automated assertion only; requirement-level mapping is partial</x:v>
      </x:c>
      <x:c r="H245" s="25" t="n">
        <x:v>46292.90018603009</x:v>
      </x:c>
    </x:row>
    <x:row r="246" ht="76" customHeight="1">
      <x:c r="A246" s="25" t="str">
        <x:v>APP-240</x:v>
      </x:c>
      <x:c r="B246" s="25" t="str">
        <x:v>Application</x:v>
      </x:c>
      <x:c r="C246" s="25" t="str">
        <x:v>qualification.test_tenant_lifecycle::test_closed_profile_and_qualified_policy[changes0]</x:v>
      </x:c>
      <x:c r="D246" s="25" t="str">
        <x:v>Pass</x:v>
      </x:c>
      <x:c r="E246" s="25" t="str">
        <x:v>docs/evidence/application-tests.xml</x:v>
      </x:c>
      <x:c r="F246" s="25" t="str">
        <x:v>FR-TEN-001</x:v>
      </x:c>
      <x:c r="G246" s="25" t="str">
        <x:v>Automated assertion only; requirement-level mapping is partial</x:v>
      </x:c>
      <x:c r="H246" s="25" t="n">
        <x:v>46292.90018603009</x:v>
      </x:c>
    </x:row>
    <x:row r="247" ht="76" customHeight="1">
      <x:c r="A247" s="25" t="str">
        <x:v>APP-241</x:v>
      </x:c>
      <x:c r="B247" s="25" t="str">
        <x:v>Application</x:v>
      </x:c>
      <x:c r="C247" s="25" t="str">
        <x:v>qualification.test_tenant_lifecycle::test_closed_profile_and_qualified_policy[changes1]</x:v>
      </x:c>
      <x:c r="D247" s="25" t="str">
        <x:v>Pass</x:v>
      </x:c>
      <x:c r="E247" s="25" t="str">
        <x:v>docs/evidence/application-tests.xml</x:v>
      </x:c>
      <x:c r="F247" s="25" t="str">
        <x:v>FR-TEN-001</x:v>
      </x:c>
      <x:c r="G247" s="25" t="str">
        <x:v>Automated assertion only; requirement-level mapping is partial</x:v>
      </x:c>
      <x:c r="H247" s="25" t="n">
        <x:v>46292.90018603009</x:v>
      </x:c>
    </x:row>
    <x:row r="248" ht="76" customHeight="1">
      <x:c r="A248" s="25" t="str">
        <x:v>APP-242</x:v>
      </x:c>
      <x:c r="B248" s="25" t="str">
        <x:v>Application</x:v>
      </x:c>
      <x:c r="C248" s="25" t="str">
        <x:v>qualification.test_tenant_lifecycle::test_closed_profile_and_qualified_policy[changes2]</x:v>
      </x:c>
      <x:c r="D248" s="25" t="str">
        <x:v>Pass</x:v>
      </x:c>
      <x:c r="E248" s="25" t="str">
        <x:v>docs/evidence/application-tests.xml</x:v>
      </x:c>
      <x:c r="F248" s="25" t="str">
        <x:v>FR-TEN-001</x:v>
      </x:c>
      <x:c r="G248" s="25" t="str">
        <x:v>Automated assertion only; requirement-level mapping is partial</x:v>
      </x:c>
      <x:c r="H248" s="25" t="n">
        <x:v>46292.90018603009</x:v>
      </x:c>
    </x:row>
    <x:row r="249" ht="76" customHeight="1">
      <x:c r="A249" s="25" t="str">
        <x:v>APP-243</x:v>
      </x:c>
      <x:c r="B249" s="25" t="str">
        <x:v>Application</x:v>
      </x:c>
      <x:c r="C249" s="25" t="str">
        <x:v>qualification.test_tenant_lifecycle::test_closed_profile_and_qualified_policy[changes3]</x:v>
      </x:c>
      <x:c r="D249" s="25" t="str">
        <x:v>Pass</x:v>
      </x:c>
      <x:c r="E249" s="25" t="str">
        <x:v>docs/evidence/application-tests.xml</x:v>
      </x:c>
      <x:c r="F249" s="25" t="str">
        <x:v>FR-TEN-001</x:v>
      </x:c>
      <x:c r="G249" s="25" t="str">
        <x:v>Automated assertion only; requirement-level mapping is partial</x:v>
      </x:c>
      <x:c r="H249" s="25" t="n">
        <x:v>46292.90018603009</x:v>
      </x:c>
    </x:row>
    <x:row r="250" ht="76" customHeight="1">
      <x:c r="A250" s="25" t="str">
        <x:v>APP-244</x:v>
      </x:c>
      <x:c r="B250" s="25" t="str">
        <x:v>Application</x:v>
      </x:c>
      <x:c r="C250" s="25" t="str">
        <x:v>qualification.test_tenant_lifecycle::test_closed_profile_and_qualified_policy[changes4]</x:v>
      </x:c>
      <x:c r="D250" s="25" t="str">
        <x:v>Pass</x:v>
      </x:c>
      <x:c r="E250" s="25" t="str">
        <x:v>docs/evidence/application-tests.xml</x:v>
      </x:c>
      <x:c r="F250" s="25" t="str">
        <x:v>FR-TEN-001</x:v>
      </x:c>
      <x:c r="G250" s="25" t="str">
        <x:v>Automated assertion only; requirement-level mapping is partial</x:v>
      </x:c>
      <x:c r="H250" s="25" t="n">
        <x:v>46292.90018603009</x:v>
      </x:c>
    </x:row>
    <x:row r="251" ht="76" customHeight="1">
      <x:c r="A251" s="25" t="str">
        <x:v>APP-245</x:v>
      </x:c>
      <x:c r="B251" s="25" t="str">
        <x:v>Application</x:v>
      </x:c>
      <x:c r="C251" s="25" t="str">
        <x:v>qualification.test_tenant_lifecycle::test_qualification_revision_drift_and_expired_acceptance</x:v>
      </x:c>
      <x:c r="D251" s="25" t="str">
        <x:v>Pass</x:v>
      </x:c>
      <x:c r="E251" s="25" t="str">
        <x:v>docs/evidence/application-tests.xml</x:v>
      </x:c>
      <x:c r="F251" s="25" t="str">
        <x:v>FR-TEN-001</x:v>
      </x:c>
      <x:c r="G251" s="25" t="str">
        <x:v>Automated assertion only; requirement-level mapping is partial</x:v>
      </x:c>
      <x:c r="H251" s="25" t="n">
        <x:v>46292.90018603009</x:v>
      </x:c>
    </x:row>
    <x:row r="252" ht="76" customHeight="1">
      <x:c r="A252" s="25" t="str">
        <x:v>APP-246</x:v>
      </x:c>
      <x:c r="B252" s="25" t="str">
        <x:v>Application</x:v>
      </x:c>
      <x:c r="C252" s="25" t="str">
        <x:v>qualification.test_tenant_lifecycle::test_operator_revocation_prevents_receipt_replay</x:v>
      </x:c>
      <x:c r="D252" s="25" t="str">
        <x:v>Pass</x:v>
      </x:c>
      <x:c r="E252" s="25" t="str">
        <x:v>docs/evidence/application-tests.xml</x:v>
      </x:c>
      <x:c r="F252" s="25" t="str">
        <x:v>FR-TEN-001</x:v>
      </x:c>
      <x:c r="G252" s="25" t="str">
        <x:v>Automated assertion only; requirement-level mapping is partial</x:v>
      </x:c>
      <x:c r="H252" s="25" t="n">
        <x:v>46292.90018603009</x:v>
      </x:c>
    </x:row>
    <x:row r="253" ht="76" customHeight="1">
      <x:c r="A253" s="25" t="str">
        <x:v>APP-247</x:v>
      </x:c>
      <x:c r="B253" s="25" t="str">
        <x:v>Application</x:v>
      </x:c>
      <x:c r="C253" s="25" t="str">
        <x:v>qualification.test_tenant_lifecycle::test_suspension_reactivation_and_closing_fence</x:v>
      </x:c>
      <x:c r="D253" s="25" t="str">
        <x:v>Pass</x:v>
      </x:c>
      <x:c r="E253" s="25" t="str">
        <x:v>docs/evidence/application-tests.xml</x:v>
      </x:c>
      <x:c r="F253" s="25" t="str">
        <x:v>FR-TEN-001</x:v>
      </x:c>
      <x:c r="G253" s="25" t="str">
        <x:v>Automated assertion only; requirement-level mapping is partial</x:v>
      </x:c>
      <x:c r="H253" s="25" t="n">
        <x:v>46292.90018603009</x:v>
      </x:c>
    </x:row>
    <x:row r="254" ht="76" customHeight="1">
      <x:c r="A254" s="25" t="str">
        <x:v>APP-248</x:v>
      </x:c>
      <x:c r="B254" s="25" t="str">
        <x:v>Application</x:v>
      </x:c>
      <x:c r="C254" s="25" t="str">
        <x:v>qualification.test_tenant_lifecycle::test_runtime_roles_cannot_manufacture_platform_authority_or_lifecycle</x:v>
      </x:c>
      <x:c r="D254" s="25" t="str">
        <x:v>Pass</x:v>
      </x:c>
      <x:c r="E254" s="25" t="str">
        <x:v>docs/evidence/application-tests.xml</x:v>
      </x:c>
      <x:c r="F254" s="25" t="str">
        <x:v>FR-TEN-001</x:v>
      </x:c>
      <x:c r="G254" s="25" t="str">
        <x:v>Automated assertion only; requirement-level mapping is partial</x:v>
      </x:c>
      <x:c r="H254" s="25" t="n">
        <x:v>46292.90018603009</x:v>
      </x:c>
    </x:row>
    <x:row r="255" ht="76" customHeight="1">
      <x:c r="A255" s="25" t="str">
        <x:v>APP-249</x:v>
      </x:c>
      <x:c r="B255" s="25" t="str">
        <x:v>Application</x:v>
      </x:c>
      <x:c r="C255" s="25" t="str">
        <x:v>qualification.test_tenant_lifecycle::test_recent_authentication_required</x:v>
      </x:c>
      <x:c r="D255" s="25" t="str">
        <x:v>Pass</x:v>
      </x:c>
      <x:c r="E255" s="25" t="str">
        <x:v>docs/evidence/application-tests.xml</x:v>
      </x:c>
      <x:c r="F255" s="25" t="str">
        <x:v>FR-TEN-001</x:v>
      </x:c>
      <x:c r="G255" s="25" t="str">
        <x:v>Automated assertion only; requirement-level mapping is partial</x:v>
      </x:c>
      <x:c r="H255" s="25" t="n">
        <x:v>46292.90018603009</x:v>
      </x:c>
    </x:row>
    <x:row r="256" ht="76" customHeight="1">
      <x:c r="A256" s="25" t="str">
        <x:v>APP-250</x:v>
      </x:c>
      <x:c r="B256" s="25" t="str">
        <x:v>Application</x:v>
      </x:c>
      <x:c r="C256" s="25" t="str">
        <x:v>qualification.test_tenant_lifecycle::test_suspension_holds_work_without_resurrection_or_cross_tenant_effect</x:v>
      </x:c>
      <x:c r="D256" s="25" t="str">
        <x:v>Pass</x:v>
      </x:c>
      <x:c r="E256" s="25" t="str">
        <x:v>docs/evidence/application-tests.xml</x:v>
      </x:c>
      <x:c r="F256" s="25" t="str">
        <x:v>FR-TEN-001</x:v>
      </x:c>
      <x:c r="G256" s="25" t="str">
        <x:v>Automated assertion only; requirement-level mapping is partial</x:v>
      </x:c>
      <x:c r="H256" s="25" t="n">
        <x:v>46292.90018603009</x:v>
      </x:c>
    </x:row>
    <x:row r="257" ht="76" customHeight="1">
      <x:c r="A257" s="25" t="str">
        <x:v>APP-251</x:v>
      </x:c>
      <x:c r="B257" s="25" t="str">
        <x:v>Application</x:v>
      </x:c>
      <x:c r="C257" s="25" t="str">
        <x:v>qualification.test_tenant_lifecycle::test_platform_record_projection_does_not_reveal_business_payloads</x:v>
      </x:c>
      <x:c r="D257" s="25" t="str">
        <x:v>Pass</x:v>
      </x:c>
      <x:c r="E257" s="25" t="str">
        <x:v>docs/evidence/application-tests.xml</x:v>
      </x:c>
      <x:c r="F257" s="25" t="str">
        <x:v>FR-TEN-001</x:v>
      </x:c>
      <x:c r="G257" s="25" t="str">
        <x:v>Automated assertion only; requirement-level mapping is partial</x:v>
      </x:c>
      <x:c r="H257" s="25" t="n">
        <x:v>46292.90018603009</x:v>
      </x:c>
    </x:row>
    <x:row r="258" ht="76" customHeight="1">
      <x:c r="A258" s="25" t="str">
        <x:v>APP-252</x:v>
      </x:c>
      <x:c r="B258" s="25" t="str">
        <x:v>Application</x:v>
      </x:c>
      <x:c r="C258" s="25" t="str">
        <x:v>qualification.test_unit::test_pooled_percentage</x:v>
      </x:c>
      <x:c r="D258" s="25" t="str">
        <x:v>Pass</x:v>
      </x:c>
      <x:c r="E258" s="25" t="str">
        <x:v>docs/evidence/application-tests.xml</x:v>
      </x:c>
      <x:c r="F258" s="25" t="str"/>
      <x:c r="G258" s="25" t="str">
        <x:v>Automated assertion only; requirement-level mapping is partial</x:v>
      </x:c>
      <x:c r="H258" s="25" t="n">
        <x:v>46292.90018603009</x:v>
      </x:c>
    </x:row>
    <x:row r="259" ht="76" customHeight="1">
      <x:c r="A259" s="25" t="str">
        <x:v>APP-253</x:v>
      </x:c>
      <x:c r="B259" s="25" t="str">
        <x:v>Application</x:v>
      </x:c>
      <x:c r="C259" s="25" t="str">
        <x:v>qualification.test_unit::test_excludes_unapproved</x:v>
      </x:c>
      <x:c r="D259" s="25" t="str">
        <x:v>Pass</x:v>
      </x:c>
      <x:c r="E259" s="25" t="str">
        <x:v>docs/evidence/application-tests.xml</x:v>
      </x:c>
      <x:c r="F259" s="25" t="str"/>
      <x:c r="G259" s="25" t="str">
        <x:v>Automated assertion only; requirement-level mapping is partial</x:v>
      </x:c>
      <x:c r="H259" s="25" t="n">
        <x:v>46292.90018603009</x:v>
      </x:c>
    </x:row>
    <x:row r="260" ht="76" customHeight="1">
      <x:c r="A260" s="25" t="str">
        <x:v>APP-254</x:v>
      </x:c>
      <x:c r="B260" s="25" t="str">
        <x:v>Application</x:v>
      </x:c>
      <x:c r="C260" s="25" t="str">
        <x:v>qualification.test_unit::test_zero_denominator</x:v>
      </x:c>
      <x:c r="D260" s="25" t="str">
        <x:v>Pass</x:v>
      </x:c>
      <x:c r="E260" s="25" t="str">
        <x:v>docs/evidence/application-tests.xml</x:v>
      </x:c>
      <x:c r="F260" s="25" t="str"/>
      <x:c r="G260" s="25" t="str">
        <x:v>Automated assertion only; requirement-level mapping is partial</x:v>
      </x:c>
      <x:c r="H260" s="25" t="n">
        <x:v>46292.90018603009</x:v>
      </x:c>
    </x:row>
    <x:row r="261" ht="76" customHeight="1">
      <x:c r="A261" s="25" t="str">
        <x:v>APP-255</x:v>
      </x:c>
      <x:c r="B261" s="25" t="str">
        <x:v>Application</x:v>
      </x:c>
      <x:c r="C261" s="25" t="str">
        <x:v>qualification.test_unit::test_decimal_input[1e2]</x:v>
      </x:c>
      <x:c r="D261" s="25" t="str">
        <x:v>Pass</x:v>
      </x:c>
      <x:c r="E261" s="25" t="str">
        <x:v>docs/evidence/application-tests.xml</x:v>
      </x:c>
      <x:c r="F261" s="25" t="str"/>
      <x:c r="G261" s="25" t="str">
        <x:v>Automated assertion only; requirement-level mapping is partial</x:v>
      </x:c>
      <x:c r="H261" s="25" t="n">
        <x:v>46292.90018603009</x:v>
      </x:c>
    </x:row>
    <x:row r="262" ht="76" customHeight="1">
      <x:c r="A262" s="25" t="str">
        <x:v>APP-256</x:v>
      </x:c>
      <x:c r="B262" s="25" t="str">
        <x:v>Application</x:v>
      </x:c>
      <x:c r="C262" s="25" t="str">
        <x:v>qualification.test_unit::test_decimal_input[NaN]</x:v>
      </x:c>
      <x:c r="D262" s="25" t="str">
        <x:v>Pass</x:v>
      </x:c>
      <x:c r="E262" s="25" t="str">
        <x:v>docs/evidence/application-tests.xml</x:v>
      </x:c>
      <x:c r="F262" s="25" t="str"/>
      <x:c r="G262" s="25" t="str">
        <x:v>Automated assertion only; requirement-level mapping is partial</x:v>
      </x:c>
      <x:c r="H262" s="25" t="n">
        <x:v>46292.90018603009</x:v>
      </x:c>
    </x:row>
    <x:row r="263" ht="76" customHeight="1">
      <x:c r="A263" s="25" t="str">
        <x:v>APP-257</x:v>
      </x:c>
      <x:c r="B263" s="25" t="str">
        <x:v>Application</x:v>
      </x:c>
      <x:c r="C263" s="25" t="str">
        <x:v>qualification.test_unit::test_decimal_input[Infinity]</x:v>
      </x:c>
      <x:c r="D263" s="25" t="str">
        <x:v>Pass</x:v>
      </x:c>
      <x:c r="E263" s="25" t="str">
        <x:v>docs/evidence/application-tests.xml</x:v>
      </x:c>
      <x:c r="F263" s="25" t="str"/>
      <x:c r="G263" s="25" t="str">
        <x:v>Automated assertion only; requirement-level mapping is partial</x:v>
      </x:c>
      <x:c r="H263" s="25" t="n">
        <x:v>46292.90018603009</x:v>
      </x:c>
    </x:row>
    <x:row r="264" ht="76" customHeight="1">
      <x:c r="A264" s="25" t="str">
        <x:v>APP-258</x:v>
      </x:c>
      <x:c r="B264" s="25" t="str">
        <x:v>Application</x:v>
      </x:c>
      <x:c r="C264" s="25" t="str">
        <x:v>qualification.test_unit::test_decimal_input[1]</x:v>
      </x:c>
      <x:c r="D264" s="25" t="str">
        <x:v>Pass</x:v>
      </x:c>
      <x:c r="E264" s="25" t="str">
        <x:v>docs/evidence/application-tests.xml</x:v>
      </x:c>
      <x:c r="F264" s="25" t="str"/>
      <x:c r="G264" s="25" t="str">
        <x:v>Automated assertion only; requirement-level mapping is partial</x:v>
      </x:c>
      <x:c r="H264" s="25" t="n">
        <x:v>46292.90018603009</x:v>
      </x:c>
    </x:row>
    <x:row r="265" ht="76" customHeight="1">
      <x:c r="A265" s="25" t="str">
        <x:v>APP-259</x:v>
      </x:c>
      <x:c r="B265" s="25" t="str">
        <x:v>Application</x:v>
      </x:c>
      <x:c r="C265" s="25" t="str">
        <x:v>qualification.test_unit::test_decimal_input[None]</x:v>
      </x:c>
      <x:c r="D265" s="25" t="str">
        <x:v>Pass</x:v>
      </x:c>
      <x:c r="E265" s="25" t="str">
        <x:v>docs/evidence/application-tests.xml</x:v>
      </x:c>
      <x:c r="F265" s="25" t="str"/>
      <x:c r="G265" s="25" t="str">
        <x:v>Automated assertion only; requirement-level mapping is partial</x:v>
      </x:c>
      <x:c r="H265" s="25" t="n">
        <x:v>46292.90018603009</x:v>
      </x:c>
    </x:row>
    <x:row r="266" ht="76" customHeight="1">
      <x:c r="A266" s="25" t="str">
        <x:v>APP-260</x:v>
      </x:c>
      <x:c r="B266" s="25" t="str">
        <x:v>Application</x:v>
      </x:c>
      <x:c r="C266" s="25" t="str">
        <x:v>qualification.test_unit::test_decimal_input[01]</x:v>
      </x:c>
      <x:c r="D266" s="25" t="str">
        <x:v>Pass</x:v>
      </x:c>
      <x:c r="E266" s="25" t="str">
        <x:v>docs/evidence/application-tests.xml</x:v>
      </x:c>
      <x:c r="F266" s="25" t="str"/>
      <x:c r="G266" s="25" t="str">
        <x:v>Automated assertion only; requirement-level mapping is partial</x:v>
      </x:c>
      <x:c r="H266" s="25" t="n">
        <x:v>46292.90018603009</x:v>
      </x:c>
    </x:row>
    <x:row r="267" ht="76" customHeight="1">
      <x:c r="A267" s="25" t="str">
        <x:v>APP-261</x:v>
      </x:c>
      <x:c r="B267" s="25" t="str">
        <x:v>Application</x:v>
      </x:c>
      <x:c r="C267" s="25" t="str">
        <x:v>qualification.test_unit::test_decimal_input[1.1234567890123]</x:v>
      </x:c>
      <x:c r="D267" s="25" t="str">
        <x:v>Pass</x:v>
      </x:c>
      <x:c r="E267" s="25" t="str">
        <x:v>docs/evidence/application-tests.xml</x:v>
      </x:c>
      <x:c r="F267" s="25" t="str"/>
      <x:c r="G267" s="25" t="str">
        <x:v>Automated assertion only; requirement-level mapping is partial</x:v>
      </x:c>
      <x:c r="H267" s="25" t="n">
        <x:v>46292.90018603009</x:v>
      </x:c>
    </x:row>
    <x:row r="268" ht="76" customHeight="1">
      <x:c r="A268" s="25" t="str">
        <x:v>APP-262</x:v>
      </x:c>
      <x:c r="B268" s="25" t="str">
        <x:v>Application</x:v>
      </x:c>
      <x:c r="C268" s="25" t="str">
        <x:v>qualification.test_unit::test_decimal_input[ 1]</x:v>
      </x:c>
      <x:c r="D268" s="25" t="str">
        <x:v>Pass</x:v>
      </x:c>
      <x:c r="E268" s="25" t="str">
        <x:v>docs/evidence/application-tests.xml</x:v>
      </x:c>
      <x:c r="F268" s="25" t="str"/>
      <x:c r="G268" s="25" t="str">
        <x:v>Automated assertion only; requirement-level mapping is partial</x:v>
      </x:c>
      <x:c r="H268" s="25" t="n">
        <x:v>46292.90018603009</x:v>
      </x:c>
    </x:row>
    <x:row r="269" ht="76" customHeight="1">
      <x:c r="A269" s="25" t="str">
        <x:v>APP-263</x:v>
      </x:c>
      <x:c r="B269" s="25" t="str">
        <x:v>Application</x:v>
      </x:c>
      <x:c r="C269" s="25" t="str">
        <x:v>qualification.test_unit::test_decimal_input[1.]</x:v>
      </x:c>
      <x:c r="D269" s="25" t="str">
        <x:v>Pass</x:v>
      </x:c>
      <x:c r="E269" s="25" t="str">
        <x:v>docs/evidence/application-tests.xml</x:v>
      </x:c>
      <x:c r="F269" s="25" t="str"/>
      <x:c r="G269" s="25" t="str">
        <x:v>Automated assertion only; requirement-level mapping is partial</x:v>
      </x:c>
      <x:c r="H269" s="25" t="n">
        <x:v>46292.90018603009</x:v>
      </x:c>
    </x:row>
    <x:row r="270" ht="76" customHeight="1">
      <x:c r="A270" s="25" t="str">
        <x:v>APP-264</x:v>
      </x:c>
      <x:c r="B270" s="25" t="str">
        <x:v>Application</x:v>
      </x:c>
      <x:c r="C270" s="25" t="str">
        <x:v>qualification.test_unit::test_invalid_components[-1-1]</x:v>
      </x:c>
      <x:c r="D270" s="25" t="str">
        <x:v>Pass</x:v>
      </x:c>
      <x:c r="E270" s="25" t="str">
        <x:v>docs/evidence/application-tests.xml</x:v>
      </x:c>
      <x:c r="F270" s="25" t="str"/>
      <x:c r="G270" s="25" t="str">
        <x:v>Automated assertion only; requirement-level mapping is partial</x:v>
      </x:c>
      <x:c r="H270" s="25" t="n">
        <x:v>46292.90018603009</x:v>
      </x:c>
    </x:row>
    <x:row r="271" ht="76" customHeight="1">
      <x:c r="A271" s="25" t="str">
        <x:v>APP-265</x:v>
      </x:c>
      <x:c r="B271" s="25" t="str">
        <x:v>Application</x:v>
      </x:c>
      <x:c r="C271" s="25" t="str">
        <x:v>qualification.test_unit::test_invalid_components[1--1]</x:v>
      </x:c>
      <x:c r="D271" s="25" t="str">
        <x:v>Pass</x:v>
      </x:c>
      <x:c r="E271" s="25" t="str">
        <x:v>docs/evidence/application-tests.xml</x:v>
      </x:c>
      <x:c r="F271" s="25" t="str"/>
      <x:c r="G271" s="25" t="str">
        <x:v>Automated assertion only; requirement-level mapping is partial</x:v>
      </x:c>
      <x:c r="H271" s="25" t="n">
        <x:v>46292.90018603009</x:v>
      </x:c>
    </x:row>
    <x:row r="272" ht="76" customHeight="1">
      <x:c r="A272" s="25" t="str">
        <x:v>APP-266</x:v>
      </x:c>
      <x:c r="B272" s="25" t="str">
        <x:v>Application</x:v>
      </x:c>
      <x:c r="C272" s="25" t="str">
        <x:v>qualification.test_unit::test_invalid_components[2-1]</x:v>
      </x:c>
      <x:c r="D272" s="25" t="str">
        <x:v>Pass</x:v>
      </x:c>
      <x:c r="E272" s="25" t="str">
        <x:v>docs/evidence/application-tests.xml</x:v>
      </x:c>
      <x:c r="F272" s="25" t="str"/>
      <x:c r="G272" s="25" t="str">
        <x:v>Automated assertion only; requirement-level mapping is partial</x:v>
      </x:c>
      <x:c r="H272" s="25" t="n">
        <x:v>46292.90018603009</x:v>
      </x:c>
    </x:row>
    <x:row r="273" ht="76" customHeight="1">
      <x:c r="A273" s="25" t="str">
        <x:v>APP-267</x:v>
      </x:c>
      <x:c r="B273" s="25" t="str">
        <x:v>Application</x:v>
      </x:c>
      <x:c r="C273" s="25" t="str">
        <x:v>qualification.test_unit::test_round_once</x:v>
      </x:c>
      <x:c r="D273" s="25" t="str">
        <x:v>Pass</x:v>
      </x:c>
      <x:c r="E273" s="25" t="str">
        <x:v>docs/evidence/application-tests.xml</x:v>
      </x:c>
      <x:c r="F273" s="25" t="str"/>
      <x:c r="G273" s="25" t="str">
        <x:v>Automated assertion only; requirement-level mapping is partial</x:v>
      </x:c>
      <x:c r="H273" s="25" t="n">
        <x:v>46292.90018603009</x:v>
      </x:c>
    </x:row>
    <x:row r="274" ht="76" customHeight="1">
      <x:c r="A274" s="25" t="str">
        <x:v>APP-268</x:v>
      </x:c>
      <x:c r="B274" s="25" t="str">
        <x:v>Application</x:v>
      </x:c>
      <x:c r="C274" s="25" t="str">
        <x:v>qualification.test_unit::test_stock_cannot_sum</x:v>
      </x:c>
      <x:c r="D274" s="25" t="str">
        <x:v>Pass</x:v>
      </x:c>
      <x:c r="E274" s="25" t="str">
        <x:v>docs/evidence/application-tests.xml</x:v>
      </x:c>
      <x:c r="F274" s="25" t="str"/>
      <x:c r="G274" s="25" t="str">
        <x:v>Automated assertion only; requirement-level mapping is partial</x:v>
      </x:c>
      <x:c r="H274" s="25" t="n">
        <x:v>46292.90018603009</x:v>
      </x:c>
    </x:row>
    <x:row r="275" ht="76" customHeight="1">
      <x:c r="A275" s="25" t="str">
        <x:v>APP-269</x:v>
      </x:c>
      <x:c r="B275" s="25" t="str">
        <x:v>Application</x:v>
      </x:c>
      <x:c r="C275" s="25" t="str">
        <x:v>qualification.test_unit::test_overflow</x:v>
      </x:c>
      <x:c r="D275" s="25" t="str">
        <x:v>Pass</x:v>
      </x:c>
      <x:c r="E275" s="25" t="str">
        <x:v>docs/evidence/application-tests.xml</x:v>
      </x:c>
      <x:c r="F275" s="25" t="str"/>
      <x:c r="G275" s="25" t="str">
        <x:v>Automated assertion only; requirement-level mapping is partial</x:v>
      </x:c>
      <x:c r="H275" s="25" t="n">
        <x:v>46292.90018603009</x:v>
      </x:c>
    </x:row>
    <x:row r="276" ht="76" customHeight="1">
      <x:c r="A276" s="25" t="str">
        <x:v>APP-270</x:v>
      </x:c>
      <x:c r="B276" s="25" t="str">
        <x:v>Application</x:v>
      </x:c>
      <x:c r="C276" s="25" t="str">
        <x:v>qualification.test_unit::test_server_owned_fields[data0]</x:v>
      </x:c>
      <x:c r="D276" s="25" t="str">
        <x:v>Pass</x:v>
      </x:c>
      <x:c r="E276" s="25" t="str">
        <x:v>docs/evidence/application-tests.xml</x:v>
      </x:c>
      <x:c r="F276" s="25" t="str"/>
      <x:c r="G276" s="25" t="str">
        <x:v>Automated assertion only; requirement-level mapping is partial</x:v>
      </x:c>
      <x:c r="H276" s="25" t="n">
        <x:v>46292.90018603009</x:v>
      </x:c>
    </x:row>
    <x:row r="277" ht="76" customHeight="1">
      <x:c r="A277" s="25" t="str">
        <x:v>APP-271</x:v>
      </x:c>
      <x:c r="B277" s="25" t="str">
        <x:v>Application</x:v>
      </x:c>
      <x:c r="C277" s="25" t="str">
        <x:v>qualification.test_unit::test_server_owned_fields[data1]</x:v>
      </x:c>
      <x:c r="D277" s="25" t="str">
        <x:v>Pass</x:v>
      </x:c>
      <x:c r="E277" s="25" t="str">
        <x:v>docs/evidence/application-tests.xml</x:v>
      </x:c>
      <x:c r="F277" s="25" t="str"/>
      <x:c r="G277" s="25" t="str">
        <x:v>Automated assertion only; requirement-level mapping is partial</x:v>
      </x:c>
      <x:c r="H277" s="25" t="n">
        <x:v>46292.90018603009</x:v>
      </x:c>
    </x:row>
    <x:row r="278" ht="76" customHeight="1">
      <x:c r="A278" s="25" t="str">
        <x:v>APP-272</x:v>
      </x:c>
      <x:c r="B278" s="25" t="str">
        <x:v>Application</x:v>
      </x:c>
      <x:c r="C278" s="25" t="str">
        <x:v>qualification.test_unit::test_server_owned_fields[data2]</x:v>
      </x:c>
      <x:c r="D278" s="25" t="str">
        <x:v>Pass</x:v>
      </x:c>
      <x:c r="E278" s="25" t="str">
        <x:v>docs/evidence/application-tests.xml</x:v>
      </x:c>
      <x:c r="F278" s="25" t="str"/>
      <x:c r="G278" s="25" t="str">
        <x:v>Automated assertion only; requirement-level mapping is partial</x:v>
      </x:c>
      <x:c r="H278" s="25" t="n">
        <x:v>46292.90018603009</x:v>
      </x:c>
    </x:row>
    <x:row r="279" ht="76" customHeight="1">
      <x:c r="A279" s="25" t="str">
        <x:v>APP-273</x:v>
      </x:c>
      <x:c r="B279" s="25" t="str">
        <x:v>Application</x:v>
      </x:c>
      <x:c r="C279" s="25" t="str">
        <x:v>qualification.test_unit::test_server_owned_fields[data3]</x:v>
      </x:c>
      <x:c r="D279" s="25" t="str">
        <x:v>Pass</x:v>
      </x:c>
      <x:c r="E279" s="25" t="str">
        <x:v>docs/evidence/application-tests.xml</x:v>
      </x:c>
      <x:c r="F279" s="25" t="str"/>
      <x:c r="G279" s="25" t="str">
        <x:v>Automated assertion only; requirement-level mapping is partial</x:v>
      </x:c>
      <x:c r="H279" s="25" t="n">
        <x:v>46292.90018603009</x:v>
      </x:c>
    </x:row>
    <x:row r="280" ht="76" customHeight="1">
      <x:c r="A280" s="25" t="str">
        <x:v>APP-274</x:v>
      </x:c>
      <x:c r="B280" s="25" t="str">
        <x:v>Application</x:v>
      </x:c>
      <x:c r="C280" s="25" t="str">
        <x:v>qualification.test_unit::test_present_requires_value</x:v>
      </x:c>
      <x:c r="D280" s="25" t="str">
        <x:v>Pass</x:v>
      </x:c>
      <x:c r="E280" s="25" t="str">
        <x:v>docs/evidence/application-tests.xml</x:v>
      </x:c>
      <x:c r="F280" s="25" t="str"/>
      <x:c r="G280" s="25" t="str">
        <x:v>Automated assertion only; requirement-level mapping is partial</x:v>
      </x:c>
      <x:c r="H280" s="25" t="n">
        <x:v>46292.90018603009</x:v>
      </x:c>
    </x:row>
    <x:row r="281" ht="76" customHeight="1">
      <x:c r="A281" s="25" t="str">
        <x:v>APP-275</x:v>
      </x:c>
      <x:c r="B281" s="25" t="str">
        <x:v>Application</x:v>
      </x:c>
      <x:c r="C281" s="25" t="str">
        <x:v>qualification.test_unit::test_patch_requires_revision</x:v>
      </x:c>
      <x:c r="D281" s="25" t="str">
        <x:v>Pass</x:v>
      </x:c>
      <x:c r="E281" s="25" t="str">
        <x:v>docs/evidence/application-tests.xml</x:v>
      </x:c>
      <x:c r="F281" s="25" t="str"/>
      <x:c r="G281" s="25" t="str">
        <x:v>Automated assertion only; requirement-level mapping is partial</x:v>
      </x:c>
      <x:c r="H281" s="25" t="n">
        <x:v>46292.90018603009</x:v>
      </x:c>
    </x:row>
    <x:row r="282" ht="76" customHeight="1">
      <x:c r="A282" s="25" t="str">
        <x:v>APP-276</x:v>
      </x:c>
      <x:c r="B282" s="25" t="str">
        <x:v>Application</x:v>
      </x:c>
      <x:c r="C282" s="25" t="str">
        <x:v>qualification.test_unit::test_additive_contracts</x:v>
      </x:c>
      <x:c r="D282" s="25" t="str">
        <x:v>Pass</x:v>
      </x:c>
      <x:c r="E282" s="25" t="str">
        <x:v>docs/evidence/application-tests.xml</x:v>
      </x:c>
      <x:c r="F282" s="25" t="str"/>
      <x:c r="G282" s="25" t="str">
        <x:v>Automated assertion only; requirement-level mapping is partial</x:v>
      </x:c>
      <x:c r="H282" s="25" t="n">
        <x:v>46292.90018603009</x:v>
      </x:c>
    </x:row>
    <x:row r="283" ht="76" customHeight="1">
      <x:c r="A283" s="25" t="str">
        <x:v>APP-277</x:v>
      </x:c>
      <x:c r="B283" s="25" t="str">
        <x:v>Application</x:v>
      </x:c>
      <x:c r="C283" s="25" t="str">
        <x:v>qualification.test_unit::test_canonical_negative_zero</x:v>
      </x:c>
      <x:c r="D283" s="25" t="str">
        <x:v>Pass</x:v>
      </x:c>
      <x:c r="E283" s="25" t="str">
        <x:v>docs/evidence/application-tests.xml</x:v>
      </x:c>
      <x:c r="F283" s="25" t="str"/>
      <x:c r="G283" s="25" t="str">
        <x:v>Automated assertion only; requirement-level mapping is partial</x:v>
      </x:c>
      <x:c r="H283" s="25" t="n">
        <x:v>46292.90018603009</x:v>
      </x:c>
    </x:row>
    <x:row r="284" ht="76" customHeight="1">
      <x:c r="A284" s="25" t="str">
        <x:v>APP-278</x:v>
      </x:c>
      <x:c r="B284" s="25" t="str">
        <x:v>Application</x:v>
      </x:c>
      <x:c r="C284" s="25" t="str">
        <x:v>qualification.test_unit::test_production_refuses_development_identity</x:v>
      </x:c>
      <x:c r="D284" s="25" t="str">
        <x:v>Pass</x:v>
      </x:c>
      <x:c r="E284" s="25" t="str">
        <x:v>docs/evidence/application-tests.xml</x:v>
      </x:c>
      <x:c r="F284" s="25" t="str"/>
      <x:c r="G284" s="25" t="str">
        <x:v>Automated assertion only; requirement-level mapping is partial</x:v>
      </x:c>
      <x:c r="H284" s="25" t="n">
        <x:v>46292.90018603009</x:v>
      </x:c>
    </x:row>
    <x:row r="285" ht="76" customHeight="1">
      <x:c r="A285" s="25" t="str">
        <x:v>APP-279</x:v>
      </x:c>
      <x:c r="B285" s="25" t="str">
        <x:v>Application</x:v>
      </x:c>
      <x:c r="C285" s="25" t="str">
        <x:v>qualification.test_work_center::test_reviewed_exclusion_preserves_denominator_history_and_allows_close</x:v>
      </x:c>
      <x:c r="D285" s="25" t="str">
        <x:v>Pass</x:v>
      </x:c>
      <x:c r="E285" s="25" t="str">
        <x:v>docs/evidence/application-tests.xml</x:v>
      </x:c>
      <x:c r="F285" s="25" t="str">
        <x:v>FR-PLN-006; FR-PRG-001; FR-PRG-005; FR-PRG-006; FR-PRG-007; FR-IND-001; FR-IND-002; FR-IND-005; FR-IND-007; FR-IND-008; FR-IND-009; FR-IND-010; FR-IND-012; FR-CAL-011; FR-DAT-009; FR-DQ-006; FR-WFL-001; FR-WFL-002; FR-WFL-003; FR-WFL-004; FR-WFL-010</x:v>
      </x:c>
      <x:c r="G285" s="25" t="str">
        <x:v>Automated assertion only; requirement-level mapping is partial</x:v>
      </x:c>
      <x:c r="H285" s="25" t="n">
        <x:v>46292.90018603009</x:v>
      </x:c>
    </x:row>
    <x:row r="286" ht="76" customHeight="1">
      <x:c r="A286" s="25" t="str">
        <x:v>APP-280</x:v>
      </x:c>
      <x:c r="B286" s="25" t="str">
        <x:v>Application</x:v>
      </x:c>
      <x:c r="C286" s="25" t="str">
        <x:v>qualification.test_work_center::test_exclusion_requires_justification_and_cannot_remove_every_requirement</x:v>
      </x:c>
      <x:c r="D286" s="25" t="str">
        <x:v>Pass</x:v>
      </x:c>
      <x:c r="E286" s="25" t="str">
        <x:v>docs/evidence/application-tests.xml</x:v>
      </x:c>
      <x:c r="F286" s="25" t="str">
        <x:v>FR-PLN-006; FR-PRG-001; FR-PRG-005; FR-PRG-006; FR-PRG-007; FR-IND-001; FR-IND-002; FR-IND-005; FR-IND-007; FR-IND-008; FR-IND-009; FR-IND-010; FR-IND-012; FR-CAL-011; FR-DAT-009; FR-DQ-006; FR-WFL-001; FR-WFL-002; FR-WFL-003; FR-WFL-004; FR-WFL-010</x:v>
      </x:c>
      <x:c r="G286" s="25" t="str">
        <x:v>Automated assertion only; requirement-level mapping is partial</x:v>
      </x:c>
      <x:c r="H286" s="25" t="n">
        <x:v>46292.90018603009</x:v>
      </x:c>
    </x:row>
    <x:row r="287" ht="76" customHeight="1">
      <x:c r="A287" s="25" t="str">
        <x:v>APP-281</x:v>
      </x:c>
      <x:c r="B287" s="25" t="str">
        <x:v>Application</x:v>
      </x:c>
      <x:c r="C287" s="25" t="str">
        <x:v>qualification.test_work_center::test_correction_creates_personal_work_notice_and_recalculation_resolves_it</x:v>
      </x:c>
      <x:c r="D287" s="25" t="str">
        <x:v>Pass</x:v>
      </x:c>
      <x:c r="E287" s="25" t="str">
        <x:v>docs/evidence/application-tests.xml</x:v>
      </x:c>
      <x:c r="F287" s="25" t="str">
        <x:v>FR-PLN-006; FR-PRG-001; FR-PRG-005; FR-PRG-006; FR-PRG-007; FR-IND-001; FR-IND-002; FR-IND-005; FR-IND-007; FR-IND-008; FR-IND-009; FR-IND-010; FR-IND-012; FR-CAL-011; FR-DAT-009; FR-DQ-006; FR-WFL-001; FR-WFL-002; FR-WFL-003; FR-WFL-004; FR-WFL-010</x:v>
      </x:c>
      <x:c r="G287" s="25" t="str">
        <x:v>Automated assertion only; requirement-level mapping is partial</x:v>
      </x:c>
      <x:c r="H287" s="25" t="n">
        <x:v>46292.90018603009</x:v>
      </x:c>
    </x:row>
    <x:row r="288" ht="76" customHeight="1">
      <x:c r="A288" s="25" t="str">
        <x:v>APP-282</x:v>
      </x:c>
      <x:c r="B288" s="25" t="str">
        <x:v>Application</x:v>
      </x:c>
      <x:c r="C288" s="25" t="str">
        <x:v>qualification.test_workspace_administration::test_closed_workspace_lists[access-groups-AccessGroupList]</x:v>
      </x:c>
      <x:c r="D288" s="25" t="str">
        <x:v>Pass</x:v>
      </x:c>
      <x:c r="E288" s="25" t="str">
        <x:v>docs/evidence/application-tests.xml</x:v>
      </x:c>
      <x:c r="F288" s="25" t="str">
        <x:v>FR-TEN-002; FR-TEN-010; FR-IAM-003; FR-IAM-006; FR-IAM-008; FR-IAM-010; FR-IAM-013; FR-ACC-002</x:v>
      </x:c>
      <x:c r="G288" s="25" t="str">
        <x:v>Automated assertion only; requirement-level mapping is partial</x:v>
      </x:c>
      <x:c r="H288" s="25" t="n">
        <x:v>46292.90018603009</x:v>
      </x:c>
    </x:row>
    <x:row r="289" ht="76" customHeight="1">
      <x:c r="A289" s="25" t="str">
        <x:v>APP-283</x:v>
      </x:c>
      <x:c r="B289" s="25" t="str">
        <x:v>Application</x:v>
      </x:c>
      <x:c r="C289" s="25" t="str">
        <x:v>qualification.test_workspace_administration::test_closed_workspace_lists[group-change-requests-GroupChangeList]</x:v>
      </x:c>
      <x:c r="D289" s="25" t="str">
        <x:v>Pass</x:v>
      </x:c>
      <x:c r="E289" s="25" t="str">
        <x:v>docs/evidence/application-tests.xml</x:v>
      </x:c>
      <x:c r="F289" s="25" t="str">
        <x:v>FR-TEN-002; FR-TEN-010; FR-IAM-003; FR-IAM-006; FR-IAM-008; FR-IAM-010; FR-IAM-013; FR-ACC-002</x:v>
      </x:c>
      <x:c r="G289" s="25" t="str">
        <x:v>Automated assertion only; requirement-level mapping is partial</x:v>
      </x:c>
      <x:c r="H289" s="25" t="n">
        <x:v>46292.90018603009</x:v>
      </x:c>
    </x:row>
    <x:row r="290" ht="76" customHeight="1">
      <x:c r="A290" s="25" t="str">
        <x:v>APP-284</x:v>
      </x:c>
      <x:c r="B290" s="25" t="str">
        <x:v>Application</x:v>
      </x:c>
      <x:c r="C290" s="25" t="str">
        <x:v>qualification.test_workspace_administration::test_closed_workspace_lists[organisation-units-UnitDirectoryList]</x:v>
      </x:c>
      <x:c r="D290" s="25" t="str">
        <x:v>Pass</x:v>
      </x:c>
      <x:c r="E290" s="25" t="str">
        <x:v>docs/evidence/application-tests.xml</x:v>
      </x:c>
      <x:c r="F290" s="25" t="str">
        <x:v>FR-TEN-002; FR-TEN-010; FR-IAM-003; FR-IAM-006; FR-IAM-008; FR-IAM-010; FR-IAM-013; FR-ACC-002</x:v>
      </x:c>
      <x:c r="G290" s="25" t="str">
        <x:v>Automated assertion only; requirement-level mapping is partial</x:v>
      </x:c>
      <x:c r="H290" s="25" t="n">
        <x:v>46292.90018603009</x:v>
      </x:c>
    </x:row>
    <x:row r="291" ht="76" customHeight="1">
      <x:c r="A291" s="25" t="str">
        <x:v>APP-285</x:v>
      </x:c>
      <x:c r="B291" s="25" t="str">
        <x:v>Application</x:v>
      </x:c>
      <x:c r="C291" s="25" t="str">
        <x:v>qualification.test_workspace_administration::test_closed_workspace_lists[renewal-requests-MembershipRenewalList]</x:v>
      </x:c>
      <x:c r="D291" s="25" t="str">
        <x:v>Pass</x:v>
      </x:c>
      <x:c r="E291" s="25" t="str">
        <x:v>docs/evidence/application-tests.xml</x:v>
      </x:c>
      <x:c r="F291" s="25" t="str">
        <x:v>FR-TEN-002; FR-TEN-010; FR-IAM-003; FR-IAM-006; FR-IAM-008; FR-IAM-010; FR-IAM-013; FR-ACC-002</x:v>
      </x:c>
      <x:c r="G291" s="25" t="str">
        <x:v>Automated assertion only; requirement-level mapping is partial</x:v>
      </x:c>
      <x:c r="H291" s="25" t="n">
        <x:v>46292.90018603009</x:v>
      </x:c>
    </x:row>
    <x:row r="292" ht="76" customHeight="1">
      <x:c r="A292" s="25" t="str">
        <x:v>APP-286</x:v>
      </x:c>
      <x:c r="B292" s="25" t="str">
        <x:v>Application</x:v>
      </x:c>
      <x:c r="C292" s="25" t="str">
        <x:v>qualification.test_workspace_administration::test_closed_workspace_lists[ownership-transfers-OwnershipTransferList]</x:v>
      </x:c>
      <x:c r="D292" s="25" t="str">
        <x:v>Pass</x:v>
      </x:c>
      <x:c r="E292" s="25" t="str">
        <x:v>docs/evidence/application-tests.xml</x:v>
      </x:c>
      <x:c r="F292" s="25" t="str">
        <x:v>FR-TEN-002; FR-TEN-010; FR-IAM-003; FR-IAM-006; FR-IAM-008; FR-IAM-010; FR-IAM-013; FR-ACC-002</x:v>
      </x:c>
      <x:c r="G292" s="25" t="str">
        <x:v>Automated assertion only; requirement-level mapping is partial</x:v>
      </x:c>
      <x:c r="H292" s="25" t="n">
        <x:v>46292.90018603009</x:v>
      </x:c>
    </x:row>
    <x:row r="293" ht="76" customHeight="1">
      <x:c r="A293" s="25" t="str">
        <x:v>APP-287</x:v>
      </x:c>
      <x:c r="B293" s="25" t="str">
        <x:v>Application</x:v>
      </x:c>
      <x:c r="C293" s="25" t="str">
        <x:v>qualification.test_workspace_administration::test_custom_role_ceiling_system_protection_and_immutable_versions</x:v>
      </x:c>
      <x:c r="D293" s="25" t="str">
        <x:v>Pass</x:v>
      </x:c>
      <x:c r="E293" s="25" t="str">
        <x:v>docs/evidence/application-tests.xml</x:v>
      </x:c>
      <x:c r="F293" s="25" t="str">
        <x:v>FR-TEN-002; FR-TEN-010; FR-IAM-003; FR-IAM-006; FR-IAM-008; FR-IAM-010; FR-IAM-013; FR-ACC-002</x:v>
      </x:c>
      <x:c r="G293" s="25" t="str">
        <x:v>Automated assertion only; requirement-level mapping is partial</x:v>
      </x:c>
      <x:c r="H293" s="25" t="n">
        <x:v>46292.90018603009</x:v>
      </x:c>
    </x:row>
    <x:row r="294" ht="76" customHeight="1">
      <x:c r="A294" s="25" t="str">
        <x:v>APP-288</x:v>
      </x:c>
      <x:c r="B294" s="25" t="str">
        <x:v>Application</x:v>
      </x:c>
      <x:c r="C294" s="25" t="str">
        <x:v>qualification.test_workspace_administration::test_organisation_cycle_cross_tenant_and_root_move_projection</x:v>
      </x:c>
      <x:c r="D294" s="25" t="str">
        <x:v>Pass</x:v>
      </x:c>
      <x:c r="E294" s="25" t="str">
        <x:v>docs/evidence/application-tests.xml</x:v>
      </x:c>
      <x:c r="F294" s="25" t="str">
        <x:v>FR-TEN-002; FR-TEN-010; FR-IAM-003; FR-IAM-006; FR-IAM-008; FR-IAM-010; FR-IAM-013; FR-ACC-002</x:v>
      </x:c>
      <x:c r="G294" s="25" t="str">
        <x:v>Automated assertion only; requirement-level mapping is partial</x:v>
      </x:c>
      <x:c r="H294" s="25" t="n">
        <x:v>46292.90018603009</x:v>
      </x:c>
    </x:row>
    <x:row r="295" ht="76" customHeight="1">
      <x:c r="A295" s="25" t="str">
        <x:v>APP-289</x:v>
      </x:c>
      <x:c r="B295" s="25" t="str">
        <x:v>Application</x:v>
      </x:c>
      <x:c r="C295" s="25" t="str">
        <x:v>qualification.test_workspace_administration::test_group_review_derived_access_removal_and_role_revision_pinning</x:v>
      </x:c>
      <x:c r="D295" s="25" t="str">
        <x:v>Pass</x:v>
      </x:c>
      <x:c r="E295" s="25" t="str">
        <x:v>docs/evidence/application-tests.xml</x:v>
      </x:c>
      <x:c r="F295" s="25" t="str">
        <x:v>FR-TEN-002; FR-TEN-010; FR-IAM-003; FR-IAM-006; FR-IAM-008; FR-IAM-010; FR-IAM-013; FR-ACC-002</x:v>
      </x:c>
      <x:c r="G295" s="25" t="str">
        <x:v>Automated assertion only; requirement-level mapping is partial</x:v>
      </x:c>
      <x:c r="H295" s="25" t="n">
        <x:v>46292.90018603009</x:v>
      </x:c>
    </x:row>
    <x:row r="296" ht="76" customHeight="1">
      <x:c r="A296" s="25" t="str">
        <x:v>APP-290</x:v>
      </x:c>
      <x:c r="B296" s="25" t="str">
        <x:v>Application</x:v>
      </x:c>
      <x:c r="C296" s="25" t="str">
        <x:v>qualification.test_workspace_administration::test_pending_group_approval_rejects_changed_role_and_group</x:v>
      </x:c>
      <x:c r="D296" s="25" t="str">
        <x:v>Pass</x:v>
      </x:c>
      <x:c r="E296" s="25" t="str">
        <x:v>docs/evidence/application-tests.xml</x:v>
      </x:c>
      <x:c r="F296" s="25" t="str">
        <x:v>FR-TEN-002; FR-TEN-010; FR-IAM-003; FR-IAM-006; FR-IAM-008; FR-IAM-010; FR-IAM-013; FR-ACC-002</x:v>
      </x:c>
      <x:c r="G296" s="25" t="str">
        <x:v>Automated assertion only; requirement-level mapping is partial</x:v>
      </x:c>
      <x:c r="H296" s="25" t="n">
        <x:v>46292.90018603009</x:v>
      </x:c>
    </x:row>
    <x:row r="297" ht="76" customHeight="1">
      <x:c r="A297" s="25" t="str">
        <x:v>APP-291</x:v>
      </x:c>
      <x:c r="B297" s="25" t="str">
        <x:v>Application</x:v>
      </x:c>
      <x:c r="C297" s="25" t="str">
        <x:v>qualification.test_workspace_administration::test_renewal_requires_independence_and_never_restores_old_permissions</x:v>
      </x:c>
      <x:c r="D297" s="25" t="str">
        <x:v>Pass</x:v>
      </x:c>
      <x:c r="E297" s="25" t="str">
        <x:v>docs/evidence/application-tests.xml</x:v>
      </x:c>
      <x:c r="F297" s="25" t="str">
        <x:v>FR-TEN-002; FR-TEN-010; FR-IAM-003; FR-IAM-006; FR-IAM-008; FR-IAM-010; FR-IAM-013; FR-ACC-002</x:v>
      </x:c>
      <x:c r="G297" s="25" t="str">
        <x:v>Automated assertion only; requirement-level mapping is partial</x:v>
      </x:c>
      <x:c r="H297" s="25" t="n">
        <x:v>46292.90018603009</x:v>
      </x:c>
    </x:row>
    <x:row r="298" ht="76" customHeight="1">
      <x:c r="A298" s="25" t="str">
        <x:v>APP-292</x:v>
      </x:c>
      <x:c r="B298" s="25" t="str">
        <x:v>Application</x:v>
      </x:c>
      <x:c r="C298" s="25" t="str">
        <x:v>qualification.test_workspace_administration::test_owner_transfer_requires_nominee_and_transfers_no_grants</x:v>
      </x:c>
      <x:c r="D298" s="25" t="str">
        <x:v>Pass</x:v>
      </x:c>
      <x:c r="E298" s="25" t="str">
        <x:v>docs/evidence/application-tests.xml</x:v>
      </x:c>
      <x:c r="F298" s="25" t="str">
        <x:v>FR-TEN-002; FR-TEN-010; FR-IAM-003; FR-IAM-006; FR-IAM-008; FR-IAM-010; FR-IAM-013; FR-ACC-002</x:v>
      </x:c>
      <x:c r="G298" s="25" t="str">
        <x:v>Automated assertion only; requirement-level mapping is partial</x:v>
      </x:c>
      <x:c r="H298" s="25" t="n">
        <x:v>46292.90018603009</x:v>
      </x:c>
    </x:row>
    <x:row r="299" ht="76" customHeight="1">
      <x:c r="A299" s="25" t="str">
        <x:v>APP-293</x:v>
      </x:c>
      <x:c r="B299" s="25" t="str">
        <x:v>Application</x:v>
      </x:c>
      <x:c r="C299" s="25" t="str">
        <x:v>qualification.test_workspace_administration::test_preferences_closed_identity_preserving_and_stale_write</x:v>
      </x:c>
      <x:c r="D299" s="25" t="str">
        <x:v>Pass</x:v>
      </x:c>
      <x:c r="E299" s="25" t="str">
        <x:v>docs/evidence/application-tests.xml</x:v>
      </x:c>
      <x:c r="F299" s="25" t="str">
        <x:v>FR-TEN-002; FR-TEN-010; FR-IAM-003; FR-IAM-006; FR-IAM-008; FR-IAM-010; FR-IAM-013; FR-ACC-002</x:v>
      </x:c>
      <x:c r="G299" s="25" t="str">
        <x:v>Automated assertion only; requirement-level mapping is partial</x:v>
      </x:c>
      <x:c r="H299" s="25" t="n">
        <x:v>46292.90018603009</x:v>
      </x:c>
    </x:row>
    <x:row r="300" ht="76" customHeight="1">
      <x:c r="A300" s="25" t="str">
        <x:v>APP-294</x:v>
      </x:c>
      <x:c r="B300" s="25" t="str">
        <x:v>Application</x:v>
      </x:c>
      <x:c r="C300" s="25" t="str">
        <x:v>qualification.test_workspace_administration::test_session_inventory_revoke_one_all_and_identity_isolation</x:v>
      </x:c>
      <x:c r="D300" s="25" t="str">
        <x:v>Pass</x:v>
      </x:c>
      <x:c r="E300" s="25" t="str">
        <x:v>docs/evidence/application-tests.xml</x:v>
      </x:c>
      <x:c r="F300" s="25" t="str">
        <x:v>FR-TEN-002; FR-TEN-010; FR-IAM-003; FR-IAM-006; FR-IAM-008; FR-IAM-010; FR-IAM-013; FR-ACC-002</x:v>
      </x:c>
      <x:c r="G300" s="25" t="str">
        <x:v>Automated assertion only; requirement-level mapping is partial</x:v>
      </x:c>
      <x:c r="H300" s="25" t="n">
        <x:v>46292.90018603009</x:v>
      </x:c>
    </x:row>
    <x:row r="301" ht="76" customHeight="1">
      <x:c r="A301" s="25" t="str">
        <x:v>APP-295</x:v>
      </x:c>
      <x:c r="B301" s="25" t="str">
        <x:v>Application</x:v>
      </x:c>
      <x:c r="C301" s="25" t="str">
        <x:v>qualification.test_workspace_administration::test_fifteen_minute_idle_and_csrf_revocation</x:v>
      </x:c>
      <x:c r="D301" s="25" t="str">
        <x:v>Pass</x:v>
      </x:c>
      <x:c r="E301" s="25" t="str">
        <x:v>docs/evidence/application-tests.xml</x:v>
      </x:c>
      <x:c r="F301" s="25" t="str">
        <x:v>FR-TEN-002; FR-TEN-010; FR-IAM-003; FR-IAM-006; FR-IAM-008; FR-IAM-010; FR-IAM-013; FR-ACC-002</x:v>
      </x:c>
      <x:c r="G301" s="25" t="str">
        <x:v>Automated assertion only; requirement-level mapping is partial</x:v>
      </x:c>
      <x:c r="H301" s="25" t="n">
        <x:v>46292.90018603009</x:v>
      </x:c>
    </x:row>
    <x:row r="302" ht="76" customHeight="1">
      <x:c r="A302" s="25" t="str">
        <x:v>APP-296</x:v>
      </x:c>
      <x:c r="B302" s="25" t="str">
        <x:v>Application</x:v>
      </x:c>
      <x:c r="C302" s="25" t="str">
        <x:v>qualification.test_workspace_administration::test_assurance_is_claimed_by_trusted_provider_not_token_issuance</x:v>
      </x:c>
      <x:c r="D302" s="25" t="str">
        <x:v>Pass</x:v>
      </x:c>
      <x:c r="E302" s="25" t="str">
        <x:v>docs/evidence/application-tests.xml</x:v>
      </x:c>
      <x:c r="F302" s="25" t="str">
        <x:v>FR-TEN-002; FR-TEN-010; FR-IAM-003; FR-IAM-006; FR-IAM-008; FR-IAM-010; FR-IAM-013; FR-ACC-002</x:v>
      </x:c>
      <x:c r="G302" s="25" t="str">
        <x:v>Automated assertion only; requirement-level mapping is partial</x:v>
      </x:c>
      <x:c r="H302" s="25" t="n">
        <x:v>46292.90018603009</x:v>
      </x:c>
    </x:row>
    <x:row r="303" ht="76" customHeight="1">
      <x:c r="A303" s="25" t="str">
        <x:v>APP-297</x:v>
      </x:c>
      <x:c r="B303" s="25" t="str">
        <x:v>Application</x:v>
      </x:c>
      <x:c r="C303" s="25" t="str">
        <x:v>specification.reference-v1.tests.test_smoke.Smoke::test_SM_001</x:v>
      </x:c>
      <x:c r="D303" s="25" t="str">
        <x:v>Pass</x:v>
      </x:c>
      <x:c r="E303" s="25" t="str">
        <x:v>docs/evidence/application-tests.xml</x:v>
      </x:c>
      <x:c r="F303" s="25" t="str"/>
      <x:c r="G303" s="25" t="str">
        <x:v>Automated assertion only; requirement-level mapping is partial</x:v>
      </x:c>
      <x:c r="H303" s="25" t="n">
        <x:v>46292.90018603009</x:v>
      </x:c>
    </x:row>
    <x:row r="304" ht="76" customHeight="1">
      <x:c r="A304" s="25" t="str">
        <x:v>APP-298</x:v>
      </x:c>
      <x:c r="B304" s="25" t="str">
        <x:v>Application</x:v>
      </x:c>
      <x:c r="C304" s="25" t="str">
        <x:v>specification.reference-v1.tests.test_smoke.Smoke::test_SM_002</x:v>
      </x:c>
      <x:c r="D304" s="25" t="str">
        <x:v>Pass</x:v>
      </x:c>
      <x:c r="E304" s="25" t="str">
        <x:v>docs/evidence/application-tests.xml</x:v>
      </x:c>
      <x:c r="F304" s="25" t="str"/>
      <x:c r="G304" s="25" t="str">
        <x:v>Automated assertion only; requirement-level mapping is partial</x:v>
      </x:c>
      <x:c r="H304" s="25" t="n">
        <x:v>46292.90018603009</x:v>
      </x:c>
    </x:row>
    <x:row r="305" ht="76" customHeight="1">
      <x:c r="A305" s="25" t="str">
        <x:v>APP-299</x:v>
      </x:c>
      <x:c r="B305" s="25" t="str">
        <x:v>Application</x:v>
      </x:c>
      <x:c r="C305" s="25" t="str">
        <x:v>specification.reference-v1.tests.test_smoke.Smoke::test_SM_003</x:v>
      </x:c>
      <x:c r="D305" s="25" t="str">
        <x:v>Pass</x:v>
      </x:c>
      <x:c r="E305" s="25" t="str">
        <x:v>docs/evidence/application-tests.xml</x:v>
      </x:c>
      <x:c r="F305" s="25" t="str"/>
      <x:c r="G305" s="25" t="str">
        <x:v>Automated assertion only; requirement-level mapping is partial</x:v>
      </x:c>
      <x:c r="H305" s="25" t="n">
        <x:v>46292.90018603009</x:v>
      </x:c>
    </x:row>
    <x:row r="306" ht="76" customHeight="1">
      <x:c r="A306" s="25" t="str">
        <x:v>APP-300</x:v>
      </x:c>
      <x:c r="B306" s="25" t="str">
        <x:v>Application</x:v>
      </x:c>
      <x:c r="C306" s="25" t="str">
        <x:v>specification.reference-v1.tests.test_smoke.Smoke::test_SM_004</x:v>
      </x:c>
      <x:c r="D306" s="25" t="str">
        <x:v>Pass</x:v>
      </x:c>
      <x:c r="E306" s="25" t="str">
        <x:v>docs/evidence/application-tests.xml</x:v>
      </x:c>
      <x:c r="F306" s="25" t="str"/>
      <x:c r="G306" s="25" t="str">
        <x:v>Automated assertion only; requirement-level mapping is partial</x:v>
      </x:c>
      <x:c r="H306" s="25" t="n">
        <x:v>46292.90018603009</x:v>
      </x:c>
    </x:row>
    <x:row r="307" ht="76" customHeight="1">
      <x:c r="A307" s="25" t="str">
        <x:v>APP-301</x:v>
      </x:c>
      <x:c r="B307" s="25" t="str">
        <x:v>Application</x:v>
      </x:c>
      <x:c r="C307" s="25" t="str">
        <x:v>specification.reference-v1.tests.test_smoke.Smoke::test_SM_005</x:v>
      </x:c>
      <x:c r="D307" s="25" t="str">
        <x:v>Pass</x:v>
      </x:c>
      <x:c r="E307" s="25" t="str">
        <x:v>docs/evidence/application-tests.xml</x:v>
      </x:c>
      <x:c r="F307" s="25" t="str"/>
      <x:c r="G307" s="25" t="str">
        <x:v>Automated assertion only; requirement-level mapping is partial</x:v>
      </x:c>
      <x:c r="H307" s="25" t="n">
        <x:v>46292.90018603009</x:v>
      </x:c>
    </x:row>
    <x:row r="308" ht="76" customHeight="1">
      <x:c r="A308" s="25" t="str">
        <x:v>APP-302</x:v>
      </x:c>
      <x:c r="B308" s="25" t="str">
        <x:v>Application</x:v>
      </x:c>
      <x:c r="C308" s="25" t="str">
        <x:v>specification.reference-v1.tests.test_smoke.Smoke::test_SM_006</x:v>
      </x:c>
      <x:c r="D308" s="25" t="str">
        <x:v>Pass</x:v>
      </x:c>
      <x:c r="E308" s="25" t="str">
        <x:v>docs/evidence/application-tests.xml</x:v>
      </x:c>
      <x:c r="F308" s="25" t="str"/>
      <x:c r="G308" s="25" t="str">
        <x:v>Automated assertion only; requirement-level mapping is partial</x:v>
      </x:c>
      <x:c r="H308" s="25" t="n">
        <x:v>46292.90018603009</x:v>
      </x:c>
    </x:row>
    <x:row r="309" ht="76" customHeight="1">
      <x:c r="A309" s="25" t="str">
        <x:v>APP-303</x:v>
      </x:c>
      <x:c r="B309" s="25" t="str">
        <x:v>Application</x:v>
      </x:c>
      <x:c r="C309" s="25" t="str">
        <x:v>specification.reference-v1.tests.test_smoke.Smoke::test_SM_007</x:v>
      </x:c>
      <x:c r="D309" s="25" t="str">
        <x:v>Pass</x:v>
      </x:c>
      <x:c r="E309" s="25" t="str">
        <x:v>docs/evidence/application-tests.xml</x:v>
      </x:c>
      <x:c r="F309" s="25" t="str"/>
      <x:c r="G309" s="25" t="str">
        <x:v>Automated assertion only; requirement-level mapping is partial</x:v>
      </x:c>
      <x:c r="H309" s="25" t="n">
        <x:v>46292.90018603009</x:v>
      </x:c>
    </x:row>
    <x:row r="310" ht="76" customHeight="1">
      <x:c r="A310" s="25" t="str">
        <x:v>APP-304</x:v>
      </x:c>
      <x:c r="B310" s="25" t="str">
        <x:v>Application</x:v>
      </x:c>
      <x:c r="C310" s="25" t="str">
        <x:v>specification.reference-v1.tests.test_smoke.Smoke::test_SM_008</x:v>
      </x:c>
      <x:c r="D310" s="25" t="str">
        <x:v>Pass</x:v>
      </x:c>
      <x:c r="E310" s="25" t="str">
        <x:v>docs/evidence/application-tests.xml</x:v>
      </x:c>
      <x:c r="F310" s="25" t="str"/>
      <x:c r="G310" s="25" t="str">
        <x:v>Automated assertion only; requirement-level mapping is partial</x:v>
      </x:c>
      <x:c r="H310" s="25" t="n">
        <x:v>46292.90018603009</x:v>
      </x:c>
    </x:row>
    <x:row r="311" ht="76" customHeight="1">
      <x:c r="A311" s="25" t="str">
        <x:v>APP-305</x:v>
      </x:c>
      <x:c r="B311" s="25" t="str">
        <x:v>Application</x:v>
      </x:c>
      <x:c r="C311" s="25" t="str">
        <x:v>specification.reference-v1.tests.test_smoke.Smoke::test_SM_009</x:v>
      </x:c>
      <x:c r="D311" s="25" t="str">
        <x:v>Pass</x:v>
      </x:c>
      <x:c r="E311" s="25" t="str">
        <x:v>docs/evidence/application-tests.xml</x:v>
      </x:c>
      <x:c r="F311" s="25" t="str"/>
      <x:c r="G311" s="25" t="str">
        <x:v>Automated assertion only; requirement-level mapping is partial</x:v>
      </x:c>
      <x:c r="H311" s="25" t="n">
        <x:v>46292.90018603009</x:v>
      </x:c>
    </x:row>
    <x:row r="312" ht="76" customHeight="1">
      <x:c r="A312" s="25" t="str">
        <x:v>APP-306</x:v>
      </x:c>
      <x:c r="B312" s="25" t="str">
        <x:v>Application</x:v>
      </x:c>
      <x:c r="C312" s="25" t="str">
        <x:v>specification.reference-v1.tests.test_smoke.Smoke::test_SM_010</x:v>
      </x:c>
      <x:c r="D312" s="25" t="str">
        <x:v>Pass</x:v>
      </x:c>
      <x:c r="E312" s="25" t="str">
        <x:v>docs/evidence/application-tests.xml</x:v>
      </x:c>
      <x:c r="F312" s="25" t="str"/>
      <x:c r="G312" s="25" t="str">
        <x:v>Automated assertion only; requirement-level mapping is partial</x:v>
      </x:c>
      <x:c r="H312" s="25" t="n">
        <x:v>46292.90018603009</x:v>
      </x:c>
    </x:row>
    <x:row r="313" ht="76" customHeight="1">
      <x:c r="A313" s="25" t="str">
        <x:v>APP-307</x:v>
      </x:c>
      <x:c r="B313" s="25" t="str">
        <x:v>Application</x:v>
      </x:c>
      <x:c r="C313" s="25" t="str">
        <x:v>specification.reference-v1.tests.test_smoke.Smoke::test_SM_011</x:v>
      </x:c>
      <x:c r="D313" s="25" t="str">
        <x:v>Pass</x:v>
      </x:c>
      <x:c r="E313" s="25" t="str">
        <x:v>docs/evidence/application-tests.xml</x:v>
      </x:c>
      <x:c r="F313" s="25" t="str"/>
      <x:c r="G313" s="25" t="str">
        <x:v>Automated assertion only; requirement-level mapping is partial</x:v>
      </x:c>
      <x:c r="H313" s="25" t="n">
        <x:v>46292.90018603009</x:v>
      </x:c>
    </x:row>
    <x:row r="314" ht="76" customHeight="1">
      <x:c r="A314" s="25" t="str">
        <x:v>APP-308</x:v>
      </x:c>
      <x:c r="B314" s="25" t="str">
        <x:v>Application</x:v>
      </x:c>
      <x:c r="C314" s="25" t="str">
        <x:v>specification.reference-v1.tests.test_smoke.Smoke::test_SM_012</x:v>
      </x:c>
      <x:c r="D314" s="25" t="str">
        <x:v>Pass</x:v>
      </x:c>
      <x:c r="E314" s="25" t="str">
        <x:v>docs/evidence/application-tests.xml</x:v>
      </x:c>
      <x:c r="F314" s="25" t="str"/>
      <x:c r="G314" s="25" t="str">
        <x:v>Automated assertion only; requirement-level mapping is partial</x:v>
      </x:c>
      <x:c r="H314" s="25" t="n">
        <x:v>46292.90018603009</x:v>
      </x:c>
    </x:row>
    <x:row r="315" ht="76" customHeight="1">
      <x:c r="A315" s="25" t="str">
        <x:v>APP-309</x:v>
      </x:c>
      <x:c r="B315" s="25" t="str">
        <x:v>Application</x:v>
      </x:c>
      <x:c r="C315" s="25" t="str">
        <x:v>specification.reference-v1.tests.test_integration.Integration::test_IT_001</x:v>
      </x:c>
      <x:c r="D315" s="25" t="str">
        <x:v>Pass</x:v>
      </x:c>
      <x:c r="E315" s="25" t="str">
        <x:v>docs/evidence/application-tests.xml</x:v>
      </x:c>
      <x:c r="F315" s="25" t="str"/>
      <x:c r="G315" s="25" t="str">
        <x:v>Automated assertion only; requirement-level mapping is partial</x:v>
      </x:c>
      <x:c r="H315" s="25" t="n">
        <x:v>46292.90018603009</x:v>
      </x:c>
    </x:row>
    <x:row r="316" ht="76" customHeight="1">
      <x:c r="A316" s="25" t="str">
        <x:v>APP-310</x:v>
      </x:c>
      <x:c r="B316" s="25" t="str">
        <x:v>Application</x:v>
      </x:c>
      <x:c r="C316" s="25" t="str">
        <x:v>specification.reference-v1.tests.test_integration.Integration::test_IT_002</x:v>
      </x:c>
      <x:c r="D316" s="25" t="str">
        <x:v>Pass</x:v>
      </x:c>
      <x:c r="E316" s="25" t="str">
        <x:v>docs/evidence/application-tests.xml</x:v>
      </x:c>
      <x:c r="F316" s="25" t="str"/>
      <x:c r="G316" s="25" t="str">
        <x:v>Automated assertion only; requirement-level mapping is partial</x:v>
      </x:c>
      <x:c r="H316" s="25" t="n">
        <x:v>46292.90018603009</x:v>
      </x:c>
    </x:row>
    <x:row r="317" ht="76" customHeight="1">
      <x:c r="A317" s="25" t="str">
        <x:v>APP-311</x:v>
      </x:c>
      <x:c r="B317" s="25" t="str">
        <x:v>Application</x:v>
      </x:c>
      <x:c r="C317" s="25" t="str">
        <x:v>specification.reference-v1.tests.test_integration.Integration::test_IT_003</x:v>
      </x:c>
      <x:c r="D317" s="25" t="str">
        <x:v>Pass</x:v>
      </x:c>
      <x:c r="E317" s="25" t="str">
        <x:v>docs/evidence/application-tests.xml</x:v>
      </x:c>
      <x:c r="F317" s="25" t="str"/>
      <x:c r="G317" s="25" t="str">
        <x:v>Automated assertion only; requirement-level mapping is partial</x:v>
      </x:c>
      <x:c r="H317" s="25" t="n">
        <x:v>46292.90018603009</x:v>
      </x:c>
    </x:row>
    <x:row r="318" ht="76" customHeight="1">
      <x:c r="A318" s="25" t="str">
        <x:v>APP-312</x:v>
      </x:c>
      <x:c r="B318" s="25" t="str">
        <x:v>Application</x:v>
      </x:c>
      <x:c r="C318" s="25" t="str">
        <x:v>specification.reference-v1.tests.test_integration.Integration::test_IT_004</x:v>
      </x:c>
      <x:c r="D318" s="25" t="str">
        <x:v>Pass</x:v>
      </x:c>
      <x:c r="E318" s="25" t="str">
        <x:v>docs/evidence/application-tests.xml</x:v>
      </x:c>
      <x:c r="F318" s="25" t="str"/>
      <x:c r="G318" s="25" t="str">
        <x:v>Automated assertion only; requirement-level mapping is partial</x:v>
      </x:c>
      <x:c r="H318" s="25" t="n">
        <x:v>46292.90018603009</x:v>
      </x:c>
    </x:row>
    <x:row r="319" ht="76" customHeight="1">
      <x:c r="A319" s="25" t="str">
        <x:v>APP-313</x:v>
      </x:c>
      <x:c r="B319" s="25" t="str">
        <x:v>Application</x:v>
      </x:c>
      <x:c r="C319" s="25" t="str">
        <x:v>specification.reference-v1.tests.test_integration.Integration::test_IT_005</x:v>
      </x:c>
      <x:c r="D319" s="25" t="str">
        <x:v>Pass</x:v>
      </x:c>
      <x:c r="E319" s="25" t="str">
        <x:v>docs/evidence/application-tests.xml</x:v>
      </x:c>
      <x:c r="F319" s="25" t="str"/>
      <x:c r="G319" s="25" t="str">
        <x:v>Automated assertion only; requirement-level mapping is partial</x:v>
      </x:c>
      <x:c r="H319" s="25" t="n">
        <x:v>46292.90018603009</x:v>
      </x:c>
    </x:row>
    <x:row r="320" ht="76" customHeight="1">
      <x:c r="A320" s="25" t="str">
        <x:v>APP-314</x:v>
      </x:c>
      <x:c r="B320" s="25" t="str">
        <x:v>Application</x:v>
      </x:c>
      <x:c r="C320" s="25" t="str">
        <x:v>specification.reference-v1.tests.test_integration.Integration::test_IT_006</x:v>
      </x:c>
      <x:c r="D320" s="25" t="str">
        <x:v>Pass</x:v>
      </x:c>
      <x:c r="E320" s="25" t="str">
        <x:v>docs/evidence/application-tests.xml</x:v>
      </x:c>
      <x:c r="F320" s="25" t="str"/>
      <x:c r="G320" s="25" t="str">
        <x:v>Automated assertion only; requirement-level mapping is partial</x:v>
      </x:c>
      <x:c r="H320" s="25" t="n">
        <x:v>46292.90018603009</x:v>
      </x:c>
    </x:row>
    <x:row r="321" ht="76" customHeight="1">
      <x:c r="A321" s="25" t="str">
        <x:v>APP-315</x:v>
      </x:c>
      <x:c r="B321" s="25" t="str">
        <x:v>Application</x:v>
      </x:c>
      <x:c r="C321" s="25" t="str">
        <x:v>specification.reference-v1.tests.test_integration.Integration::test_IT_007</x:v>
      </x:c>
      <x:c r="D321" s="25" t="str">
        <x:v>Pass</x:v>
      </x:c>
      <x:c r="E321" s="25" t="str">
        <x:v>docs/evidence/application-tests.xml</x:v>
      </x:c>
      <x:c r="F321" s="25" t="str"/>
      <x:c r="G321" s="25" t="str">
        <x:v>Automated assertion only; requirement-level mapping is partial</x:v>
      </x:c>
      <x:c r="H321" s="25" t="n">
        <x:v>46292.90018603009</x:v>
      </x:c>
    </x:row>
    <x:row r="322" ht="76" customHeight="1">
      <x:c r="A322" s="25" t="str">
        <x:v>APP-316</x:v>
      </x:c>
      <x:c r="B322" s="25" t="str">
        <x:v>Application</x:v>
      </x:c>
      <x:c r="C322" s="25" t="str">
        <x:v>specification.reference-v1.tests.test_integration.Integration::test_IT_008</x:v>
      </x:c>
      <x:c r="D322" s="25" t="str">
        <x:v>Pass</x:v>
      </x:c>
      <x:c r="E322" s="25" t="str">
        <x:v>docs/evidence/application-tests.xml</x:v>
      </x:c>
      <x:c r="F322" s="25" t="str"/>
      <x:c r="G322" s="25" t="str">
        <x:v>Automated assertion only; requirement-level mapping is partial</x:v>
      </x:c>
      <x:c r="H322" s="25" t="n">
        <x:v>46292.90018603009</x:v>
      </x:c>
    </x:row>
    <x:row r="323" ht="76" customHeight="1">
      <x:c r="A323" s="25" t="str">
        <x:v>APP-317</x:v>
      </x:c>
      <x:c r="B323" s="25" t="str">
        <x:v>Application</x:v>
      </x:c>
      <x:c r="C323" s="25" t="str">
        <x:v>specification.reference-v1.tests.test_integration.Integration::test_IT_009</x:v>
      </x:c>
      <x:c r="D323" s="25" t="str">
        <x:v>Pass</x:v>
      </x:c>
      <x:c r="E323" s="25" t="str">
        <x:v>docs/evidence/application-tests.xml</x:v>
      </x:c>
      <x:c r="F323" s="25" t="str"/>
      <x:c r="G323" s="25" t="str">
        <x:v>Automated assertion only; requirement-level mapping is partial</x:v>
      </x:c>
      <x:c r="H323" s="25" t="n">
        <x:v>46292.90018603009</x:v>
      </x:c>
    </x:row>
    <x:row r="324" ht="76" customHeight="1">
      <x:c r="A324" s="25" t="str">
        <x:v>APP-318</x:v>
      </x:c>
      <x:c r="B324" s="25" t="str">
        <x:v>Application</x:v>
      </x:c>
      <x:c r="C324" s="25" t="str">
        <x:v>specification.reference-v1.tests.test_integration.Integration::test_IT_010</x:v>
      </x:c>
      <x:c r="D324" s="25" t="str">
        <x:v>Pass</x:v>
      </x:c>
      <x:c r="E324" s="25" t="str">
        <x:v>docs/evidence/application-tests.xml</x:v>
      </x:c>
      <x:c r="F324" s="25" t="str"/>
      <x:c r="G324" s="25" t="str">
        <x:v>Automated assertion only; requirement-level mapping is partial</x:v>
      </x:c>
      <x:c r="H324" s="25" t="n">
        <x:v>46292.90018603009</x:v>
      </x:c>
    </x:row>
    <x:row r="325" ht="76" customHeight="1">
      <x:c r="A325" s="25" t="str">
        <x:v>APP-319</x:v>
      </x:c>
      <x:c r="B325" s="25" t="str">
        <x:v>Application</x:v>
      </x:c>
      <x:c r="C325" s="25" t="str">
        <x:v>specification.reference-v1.tests.test_integration.Integration::test_IT_011</x:v>
      </x:c>
      <x:c r="D325" s="25" t="str">
        <x:v>Pass</x:v>
      </x:c>
      <x:c r="E325" s="25" t="str">
        <x:v>docs/evidence/application-tests.xml</x:v>
      </x:c>
      <x:c r="F325" s="25" t="str"/>
      <x:c r="G325" s="25" t="str">
        <x:v>Automated assertion only; requirement-level mapping is partial</x:v>
      </x:c>
      <x:c r="H325" s="25" t="n">
        <x:v>46292.90018603009</x:v>
      </x:c>
    </x:row>
    <x:row r="326" ht="76" customHeight="1">
      <x:c r="A326" s="25" t="str">
        <x:v>APP-320</x:v>
      </x:c>
      <x:c r="B326" s="25" t="str">
        <x:v>Application</x:v>
      </x:c>
      <x:c r="C326" s="25" t="str">
        <x:v>specification.reference-v1.tests.test_integration.Integration::test_IT_012</x:v>
      </x:c>
      <x:c r="D326" s="25" t="str">
        <x:v>Pass</x:v>
      </x:c>
      <x:c r="E326" s="25" t="str">
        <x:v>docs/evidence/application-tests.xml</x:v>
      </x:c>
      <x:c r="F326" s="25" t="str"/>
      <x:c r="G326" s="25" t="str">
        <x:v>Automated assertion only; requirement-level mapping is partial</x:v>
      </x:c>
      <x:c r="H326" s="25" t="n">
        <x:v>46292.90018603009</x:v>
      </x:c>
    </x:row>
    <x:row r="327" ht="76" customHeight="1">
      <x:c r="A327" s="25" t="str">
        <x:v>APP-321</x:v>
      </x:c>
      <x:c r="B327" s="25" t="str">
        <x:v>Application</x:v>
      </x:c>
      <x:c r="C327" s="25" t="str">
        <x:v>specification.reference-v1.tests.test_integration.Integration::test_IT_013</x:v>
      </x:c>
      <x:c r="D327" s="25" t="str">
        <x:v>Pass</x:v>
      </x:c>
      <x:c r="E327" s="25" t="str">
        <x:v>docs/evidence/application-tests.xml</x:v>
      </x:c>
      <x:c r="F327" s="25" t="str"/>
      <x:c r="G327" s="25" t="str">
        <x:v>Automated assertion only; requirement-level mapping is partial</x:v>
      </x:c>
      <x:c r="H327" s="25" t="n">
        <x:v>46292.90018603009</x:v>
      </x:c>
    </x:row>
    <x:row r="328" ht="76" customHeight="1">
      <x:c r="A328" s="25" t="str">
        <x:v>APP-322</x:v>
      </x:c>
      <x:c r="B328" s="25" t="str">
        <x:v>Application</x:v>
      </x:c>
      <x:c r="C328" s="25" t="str">
        <x:v>specification.reference-v1.tests.test_integration.Integration::test_IT_014</x:v>
      </x:c>
      <x:c r="D328" s="25" t="str">
        <x:v>Pass</x:v>
      </x:c>
      <x:c r="E328" s="25" t="str">
        <x:v>docs/evidence/application-tests.xml</x:v>
      </x:c>
      <x:c r="F328" s="25" t="str"/>
      <x:c r="G328" s="25" t="str">
        <x:v>Automated assertion only; requirement-level mapping is partial</x:v>
      </x:c>
      <x:c r="H328" s="25" t="n">
        <x:v>46292.90018603009</x:v>
      </x:c>
    </x:row>
    <x:row r="329" ht="76" customHeight="1">
      <x:c r="A329" s="25" t="str">
        <x:v>APP-323</x:v>
      </x:c>
      <x:c r="B329" s="25" t="str">
        <x:v>Application</x:v>
      </x:c>
      <x:c r="C329" s="25" t="str">
        <x:v>specification.reference-v1.tests.test_integration.Integration::test_IT_015</x:v>
      </x:c>
      <x:c r="D329" s="25" t="str">
        <x:v>Pass</x:v>
      </x:c>
      <x:c r="E329" s="25" t="str">
        <x:v>docs/evidence/application-tests.xml</x:v>
      </x:c>
      <x:c r="F329" s="25" t="str"/>
      <x:c r="G329" s="25" t="str">
        <x:v>Automated assertion only; requirement-level mapping is partial</x:v>
      </x:c>
      <x:c r="H329" s="25" t="n">
        <x:v>46292.90018603009</x:v>
      </x:c>
    </x:row>
    <x:row r="330" ht="76" customHeight="1">
      <x:c r="A330" s="25" t="str">
        <x:v>APP-324</x:v>
      </x:c>
      <x:c r="B330" s="25" t="str">
        <x:v>Application</x:v>
      </x:c>
      <x:c r="C330" s="25" t="str">
        <x:v>specification.reference-v1.tests.test_integration.Integration::test_IT_016</x:v>
      </x:c>
      <x:c r="D330" s="25" t="str">
        <x:v>Pass</x:v>
      </x:c>
      <x:c r="E330" s="25" t="str">
        <x:v>docs/evidence/application-tests.xml</x:v>
      </x:c>
      <x:c r="F330" s="25" t="str"/>
      <x:c r="G330" s="25" t="str">
        <x:v>Automated assertion only; requirement-level mapping is partial</x:v>
      </x:c>
      <x:c r="H330" s="25" t="n">
        <x:v>46292.90018603009</x:v>
      </x:c>
    </x:row>
    <x:row r="331" ht="76" customHeight="1">
      <x:c r="A331" s="25" t="str">
        <x:v>APP-325</x:v>
      </x:c>
      <x:c r="B331" s="25" t="str">
        <x:v>Application</x:v>
      </x:c>
      <x:c r="C331" s="25" t="str">
        <x:v>specification.reference-v1.tests.test_integration.Integration::test_IT_017</x:v>
      </x:c>
      <x:c r="D331" s="25" t="str">
        <x:v>Pass</x:v>
      </x:c>
      <x:c r="E331" s="25" t="str">
        <x:v>docs/evidence/application-tests.xml</x:v>
      </x:c>
      <x:c r="F331" s="25" t="str"/>
      <x:c r="G331" s="25" t="str">
        <x:v>Automated assertion only; requirement-level mapping is partial</x:v>
      </x:c>
      <x:c r="H331" s="25" t="n">
        <x:v>46292.90018603009</x:v>
      </x:c>
    </x:row>
    <x:row r="332" ht="76" customHeight="1">
      <x:c r="A332" s="25" t="str">
        <x:v>WEB-001</x:v>
      </x:c>
      <x:c r="B332" s="25" t="str">
        <x:v>Browser</x:v>
      </x:c>
      <x:c r="C332" s="25" t="str">
        <x:v>Administrator loads the access-management workspace</x:v>
      </x:c>
      <x:c r="D332" s="25" t="str">
        <x:v>Pass</x:v>
      </x:c>
      <x:c r="E332" s="25" t="str">
        <x:v>docs/evidence/admin-browser-tests.json</x:v>
      </x:c>
      <x:c r="F332" s="25" t="str"/>
      <x:c r="G332" s="25" t="str">
        <x:v>Recorded compiled-client workflow; no automatic full-case equivalence</x:v>
      </x:c>
      <x:c r="H332" s="25" t="str">
        <x:v>2026-09-27</x:v>
      </x:c>
    </x:row>
    <x:row r="333" ht="76" customHeight="1">
      <x:c r="A333" s="25" t="str">
        <x:v>WEB-002</x:v>
      </x:c>
      <x:c r="B333" s="25" t="str">
        <x:v>Browser</x:v>
      </x:c>
      <x:c r="C333" s="25" t="str">
        <x:v>Designated owner has no ordinary offboarding controls</x:v>
      </x:c>
      <x:c r="D333" s="25" t="str">
        <x:v>Pass</x:v>
      </x:c>
      <x:c r="E333" s="25" t="str">
        <x:v>docs/evidence/admin-browser-tests.json</x:v>
      </x:c>
      <x:c r="F333" s="25" t="str"/>
      <x:c r="G333" s="25" t="str">
        <x:v>Recorded compiled-client workflow; no automatic full-case equivalence</x:v>
      </x:c>
      <x:c r="H333" s="25" t="str">
        <x:v>2026-09-27</x:v>
      </x:c>
    </x:row>
    <x:row r="334" ht="76" customHeight="1">
      <x:c r="A334" s="25" t="str">
        <x:v>WEB-003</x:v>
      </x:c>
      <x:c r="B334" s="25" t="str">
        <x:v>Browser</x:v>
      </x:c>
      <x:c r="C334" s="25" t="str">
        <x:v>Create an immutable exact-object access scope</x:v>
      </x:c>
      <x:c r="D334" s="25" t="str">
        <x:v>Pass</x:v>
      </x:c>
      <x:c r="E334" s="25" t="str">
        <x:v>docs/evidence/admin-browser-tests.json</x:v>
      </x:c>
      <x:c r="F334" s="25" t="str"/>
      <x:c r="G334" s="25" t="str">
        <x:v>Recorded compiled-client workflow; no automatic full-case equivalence</x:v>
      </x:c>
      <x:c r="H334" s="25" t="str">
        <x:v>2026-09-27</x:v>
      </x:c>
    </x:row>
    <x:row r="335" ht="76" customHeight="1">
      <x:c r="A335" s="25" t="str">
        <x:v>WEB-004</x:v>
      </x:c>
      <x:c r="B335" s="25" t="str">
        <x:v>Browser</x:v>
      </x:c>
      <x:c r="C335" s="25" t="str">
        <x:v>Create a time-bounded invitation with explicit manual delivery</x:v>
      </x:c>
      <x:c r="D335" s="25" t="str">
        <x:v>Pass</x:v>
      </x:c>
      <x:c r="E335" s="25" t="str">
        <x:v>docs/evidence/admin-browser-tests.json</x:v>
      </x:c>
      <x:c r="F335" s="25" t="str"/>
      <x:c r="G335" s="25" t="str">
        <x:v>Recorded compiled-client workflow; no automatic full-case equivalence</x:v>
      </x:c>
      <x:c r="H335" s="25" t="str">
        <x:v>2026-09-27</x:v>
      </x:c>
    </x:row>
    <x:row r="336" ht="76" customHeight="1">
      <x:c r="A336" s="25" t="str">
        <x:v>WEB-005</x:v>
      </x:c>
      <x:c r="B336" s="25" t="str">
        <x:v>Browser</x:v>
      </x:c>
      <x:c r="C336" s="25" t="str">
        <x:v>A forwarded invitation cannot be accepted by the wrong account</x:v>
      </x:c>
      <x:c r="D336" s="25" t="str">
        <x:v>Pass</x:v>
      </x:c>
      <x:c r="E336" s="25" t="str">
        <x:v>docs/evidence/admin-browser-tests.json</x:v>
      </x:c>
      <x:c r="F336" s="25" t="str"/>
      <x:c r="G336" s="25" t="str">
        <x:v>Recorded compiled-client workflow; no automatic full-case equivalence</x:v>
      </x:c>
      <x:c r="H336" s="25" t="str">
        <x:v>2026-09-27</x:v>
      </x:c>
    </x:row>
    <x:row r="337" ht="76" customHeight="1">
      <x:c r="A337" s="25" t="str">
        <x:v>WEB-006</x:v>
      </x:c>
      <x:c r="B337" s="25" t="str">
        <x:v>Browser</x:v>
      </x:c>
      <x:c r="C337" s="25" t="str">
        <x:v>Intended account accepts once and receives the granted workspace</x:v>
      </x:c>
      <x:c r="D337" s="25" t="str">
        <x:v>Pass</x:v>
      </x:c>
      <x:c r="E337" s="25" t="str">
        <x:v>docs/evidence/admin-browser-tests.json</x:v>
      </x:c>
      <x:c r="F337" s="25" t="str"/>
      <x:c r="G337" s="25" t="str">
        <x:v>Recorded compiled-client workflow; no automatic full-case equivalence</x:v>
      </x:c>
      <x:c r="H337" s="25" t="str">
        <x:v>2026-09-27</x:v>
      </x:c>
    </x:row>
    <x:row r="338" ht="76" customHeight="1">
      <x:c r="A338" s="25" t="str">
        <x:v>WEB-007</x:v>
      </x:c>
      <x:c r="B338" s="25" t="str">
        <x:v>Browser</x:v>
      </x:c>
      <x:c r="C338" s="25" t="str">
        <x:v>Role proposal is recorded and requester self-approval is denied</x:v>
      </x:c>
      <x:c r="D338" s="25" t="str">
        <x:v>Pass</x:v>
      </x:c>
      <x:c r="E338" s="25" t="str">
        <x:v>docs/evidence/admin-browser-tests.json</x:v>
      </x:c>
      <x:c r="F338" s="25" t="str"/>
      <x:c r="G338" s="25" t="str">
        <x:v>Recorded compiled-client workflow; no automatic full-case equivalence</x:v>
      </x:c>
      <x:c r="H338" s="25" t="str">
        <x:v>2026-09-27</x:v>
      </x:c>
    </x:row>
    <x:row r="339" ht="76" customHeight="1">
      <x:c r="A339" s="25" t="str">
        <x:v>WEB-008</x:v>
      </x:c>
      <x:c r="B339" s="25" t="str">
        <x:v>Browser</x:v>
      </x:c>
      <x:c r="C339" s="25" t="str">
        <x:v>Independent administrator approves the precise role request</x:v>
      </x:c>
      <x:c r="D339" s="25" t="str">
        <x:v>Pass</x:v>
      </x:c>
      <x:c r="E339" s="25" t="str">
        <x:v>docs/evidence/admin-browser-tests.json</x:v>
      </x:c>
      <x:c r="F339" s="25" t="str"/>
      <x:c r="G339" s="25" t="str">
        <x:v>Recorded compiled-client workflow; no automatic full-case equivalence</x:v>
      </x:c>
      <x:c r="H339" s="25" t="str">
        <x:v>2026-09-27</x:v>
      </x:c>
    </x:row>
    <x:row r="340" ht="76" customHeight="1">
      <x:c r="A340" s="25" t="str">
        <x:v>WEB-009</x:v>
      </x:c>
      <x:c r="B340" s="25" t="str">
        <x:v>Browser</x:v>
      </x:c>
      <x:c r="C340" s="25" t="str">
        <x:v>Suspension blocks the member's existing browser session</x:v>
      </x:c>
      <x:c r="D340" s="25" t="str">
        <x:v>Pass</x:v>
      </x:c>
      <x:c r="E340" s="25" t="str">
        <x:v>docs/evidence/admin-browser-tests.json</x:v>
      </x:c>
      <x:c r="F340" s="25" t="str"/>
      <x:c r="G340" s="25" t="str">
        <x:v>Recorded compiled-client workflow; no automatic full-case equivalence</x:v>
      </x:c>
      <x:c r="H340" s="25" t="str">
        <x:v>2026-09-27</x:v>
      </x:c>
    </x:row>
    <x:row r="341" ht="76" customHeight="1">
      <x:c r="A341" s="25" t="str">
        <x:v>WEB-010</x:v>
      </x:c>
      <x:c r="B341" s="25" t="str">
        <x:v>Browser</x:v>
      </x:c>
      <x:c r="C341" s="25" t="str">
        <x:v>Reactivation requires a fresh sign-in and clears stale client state</x:v>
      </x:c>
      <x:c r="D341" s="25" t="str">
        <x:v>Pass</x:v>
      </x:c>
      <x:c r="E341" s="25" t="str">
        <x:v>docs/evidence/admin-browser-tests.json</x:v>
      </x:c>
      <x:c r="F341" s="25" t="str"/>
      <x:c r="G341" s="25" t="str">
        <x:v>Recorded compiled-client workflow; no automatic full-case equivalence</x:v>
      </x:c>
      <x:c r="H341" s="25" t="str">
        <x:v>2026-09-27</x:v>
      </x:c>
    </x:row>
    <x:row r="342" ht="76" customHeight="1">
      <x:c r="A342" s="25" t="str">
        <x:v>WEB-011</x:v>
      </x:c>
      <x:c r="B342" s="25" t="str">
        <x:v>Browser</x:v>
      </x:c>
      <x:c r="C342" s="25" t="str">
        <x:v>Permanent offboarding revokes access and preserves history</x:v>
      </x:c>
      <x:c r="D342" s="25" t="str">
        <x:v>Pass</x:v>
      </x:c>
      <x:c r="E342" s="25" t="str">
        <x:v>docs/evidence/admin-browser-tests.json</x:v>
      </x:c>
      <x:c r="F342" s="25" t="str"/>
      <x:c r="G342" s="25" t="str">
        <x:v>Recorded compiled-client workflow; no automatic full-case equivalence</x:v>
      </x:c>
      <x:c r="H342" s="25" t="str">
        <x:v>2026-09-27</x:v>
      </x:c>
    </x:row>
    <x:row r="343" ht="76" customHeight="1">
      <x:c r="A343" s="25" t="str">
        <x:v>WEB-012</x:v>
      </x:c>
      <x:c r="B343" s="25" t="str">
        <x:v>Browser</x:v>
      </x:c>
      <x:c r="C343" s="25" t="str">
        <x:v>Access-management page fits a mobile viewport without script errors</x:v>
      </x:c>
      <x:c r="D343" s="25" t="str">
        <x:v>Pass</x:v>
      </x:c>
      <x:c r="E343" s="25" t="str">
        <x:v>docs/evidence/admin-browser-tests.json</x:v>
      </x:c>
      <x:c r="F343" s="25" t="str"/>
      <x:c r="G343" s="25" t="str">
        <x:v>Recorded compiled-client workflow; no automatic full-case equivalence</x:v>
      </x:c>
      <x:c r="H343" s="25" t="str">
        <x:v>2026-09-27</x:v>
      </x:c>
    </x:row>
    <x:row r="344" ht="76" customHeight="1">
      <x:c r="A344" s="25" t="str">
        <x:v>WEB-013</x:v>
      </x:c>
      <x:c r="B344" s="25" t="str">
        <x:v>Browser</x:v>
      </x:c>
      <x:c r="C344" s="25" t="str">
        <x:v>Owner proposes explicit administration and selected business delegation</x:v>
      </x:c>
      <x:c r="D344" s="25" t="str">
        <x:v>Pass</x:v>
      </x:c>
      <x:c r="E344" s="25" t="str">
        <x:v>docs/evidence/bootstrap-browser-tests.json</x:v>
      </x:c>
      <x:c r="F344" s="25" t="str"/>
      <x:c r="G344" s="25" t="str">
        <x:v>Recorded compiled-client workflow; no automatic full-case equivalence</x:v>
      </x:c>
      <x:c r="H344" s="25" t="str">
        <x:v>2026-09-27</x:v>
      </x:c>
    </x:row>
    <x:row r="345" ht="76" customHeight="1">
      <x:c r="A345" s="25" t="str">
        <x:v>WEB-014</x:v>
      </x:c>
      <x:c r="B345" s="25" t="str">
        <x:v>Browser</x:v>
      </x:c>
      <x:c r="C345" s="25" t="str">
        <x:v>Unrelated identity cannot see the access review</x:v>
      </x:c>
      <x:c r="D345" s="25" t="str">
        <x:v>Pass</x:v>
      </x:c>
      <x:c r="E345" s="25" t="str">
        <x:v>docs/evidence/bootstrap-browser-tests.json</x:v>
      </x:c>
      <x:c r="F345" s="25" t="str"/>
      <x:c r="G345" s="25" t="str">
        <x:v>Recorded compiled-client workflow; no automatic full-case equivalence</x:v>
      </x:c>
      <x:c r="H345" s="25" t="str">
        <x:v>2026-09-27</x:v>
      </x:c>
    </x:row>
    <x:row r="346" ht="76" customHeight="1">
      <x:c r="A346" s="25" t="str">
        <x:v>WEB-015</x:v>
      </x:c>
      <x:c r="B346" s="25" t="str">
        <x:v>Browser</x:v>
      </x:c>
      <x:c r="C346" s="25" t="str">
        <x:v>Nominated administrator accepts without receiving tenant access</x:v>
      </x:c>
      <x:c r="D346" s="25" t="str">
        <x:v>Pass</x:v>
      </x:c>
      <x:c r="E346" s="25" t="str">
        <x:v>docs/evidence/bootstrap-browser-tests.json</x:v>
      </x:c>
      <x:c r="F346" s="25" t="str"/>
      <x:c r="G346" s="25" t="str">
        <x:v>Recorded compiled-client workflow; no automatic full-case equivalence</x:v>
      </x:c>
      <x:c r="H346" s="25" t="str">
        <x:v>2026-09-27</x:v>
      </x:c>
    </x:row>
    <x:row r="347" ht="76" customHeight="1">
      <x:c r="A347" s="25" t="str">
        <x:v>WEB-016</x:v>
      </x:c>
      <x:c r="B347" s="25" t="str">
        <x:v>Browser</x:v>
      </x:c>
      <x:c r="C347" s="25" t="str">
        <x:v>Independent operator reviews and provisions the exact package</x:v>
      </x:c>
      <x:c r="D347" s="25" t="str">
        <x:v>Pass</x:v>
      </x:c>
      <x:c r="E347" s="25" t="str">
        <x:v>docs/evidence/bootstrap-browser-tests.json</x:v>
      </x:c>
      <x:c r="F347" s="25" t="str"/>
      <x:c r="G347" s="25" t="str">
        <x:v>Recorded compiled-client workflow; no automatic full-case equivalence</x:v>
      </x:c>
      <x:c r="H347" s="25" t="str">
        <x:v>2026-09-27</x:v>
      </x:c>
    </x:row>
    <x:row r="348" ht="76" customHeight="1">
      <x:c r="A348" s="25" t="str">
        <x:v>WEB-017</x:v>
      </x:c>
      <x:c r="B348" s="25" t="str">
        <x:v>Browser</x:v>
      </x:c>
      <x:c r="C348" s="25" t="str">
        <x:v>New administrators can manage access but cannot read programmes</x:v>
      </x:c>
      <x:c r="D348" s="25" t="str">
        <x:v>Pass</x:v>
      </x:c>
      <x:c r="E348" s="25" t="str">
        <x:v>docs/evidence/bootstrap-browser-tests.json</x:v>
      </x:c>
      <x:c r="F348" s="25" t="str"/>
      <x:c r="G348" s="25" t="str">
        <x:v>Recorded compiled-client workflow; no automatic full-case equivalence</x:v>
      </x:c>
      <x:c r="H348" s="25" t="str">
        <x:v>2026-09-27</x:v>
      </x:c>
    </x:row>
    <x:row r="349" ht="76" customHeight="1">
      <x:c r="A349" s="25" t="str">
        <x:v>WEB-018</x:v>
      </x:c>
      <x:c r="B349" s="25" t="str">
        <x:v>Browser</x:v>
      </x:c>
      <x:c r="C349" s="25" t="str">
        <x:v>Second administrator requests business access and owner approves</x:v>
      </x:c>
      <x:c r="D349" s="25" t="str">
        <x:v>Pass</x:v>
      </x:c>
      <x:c r="E349" s="25" t="str">
        <x:v>docs/evidence/bootstrap-browser-tests.json</x:v>
      </x:c>
      <x:c r="F349" s="25" t="str"/>
      <x:c r="G349" s="25" t="str">
        <x:v>Recorded compiled-client workflow; no automatic full-case equivalence</x:v>
      </x:c>
      <x:c r="H349" s="25" t="str">
        <x:v>2026-09-27</x:v>
      </x:c>
    </x:row>
    <x:row r="350" ht="76" customHeight="1">
      <x:c r="A350" s="25" t="str">
        <x:v>WEB-019</x:v>
      </x:c>
      <x:c r="B350" s="25" t="str">
        <x:v>Browser</x:v>
      </x:c>
      <x:c r="C350" s="25" t="str">
        <x:v>Reviewed programme manager creates the first programme in the new tenant</x:v>
      </x:c>
      <x:c r="D350" s="25" t="str">
        <x:v>Pass</x:v>
      </x:c>
      <x:c r="E350" s="25" t="str">
        <x:v>docs/evidence/bootstrap-browser-tests.json</x:v>
      </x:c>
      <x:c r="F350" s="25" t="str"/>
      <x:c r="G350" s="25" t="str">
        <x:v>Recorded compiled-client workflow; no automatic full-case equivalence</x:v>
      </x:c>
      <x:c r="H350" s="25" t="str">
        <x:v>2026-09-27</x:v>
      </x:c>
    </x:row>
    <x:row r="351" ht="76" customHeight="1">
      <x:c r="A351" s="25" t="str">
        <x:v>WEB-020</x:v>
      </x:c>
      <x:c r="B351" s="25" t="str">
        <x:v>Browser</x:v>
      </x:c>
      <x:c r="C351" s="25" t="str">
        <x:v>Initial access review fits a mobile viewport</x:v>
      </x:c>
      <x:c r="D351" s="25" t="str">
        <x:v>Pass</x:v>
      </x:c>
      <x:c r="E351" s="25" t="str">
        <x:v>docs/evidence/bootstrap-browser-tests.json</x:v>
      </x:c>
      <x:c r="F351" s="25" t="str"/>
      <x:c r="G351" s="25" t="str">
        <x:v>Recorded compiled-client workflow; no automatic full-case equivalence</x:v>
      </x:c>
      <x:c r="H351" s="25" t="str">
        <x:v>2026-09-27</x:v>
      </x:c>
    </x:row>
    <x:row r="352" ht="76" customHeight="1">
      <x:c r="A352" s="25" t="str">
        <x:v>WEB-021</x:v>
      </x:c>
      <x:c r="B352" s="25" t="str">
        <x:v>Browser</x:v>
      </x:c>
      <x:c r="C352" s="25" t="str">
        <x:v>Development sign-in and workspace load</x:v>
      </x:c>
      <x:c r="D352" s="25" t="str">
        <x:v>Pass</x:v>
      </x:c>
      <x:c r="E352" s="25" t="str">
        <x:v>docs/evidence/browser-tests.json</x:v>
      </x:c>
      <x:c r="F352" s="25" t="str"/>
      <x:c r="G352" s="25" t="str">
        <x:v>Recorded compiled-client workflow; no automatic full-case equivalence</x:v>
      </x:c>
      <x:c r="H352" s="25" t="str">
        <x:v>2026-09-27</x:v>
      </x:c>
    </x:row>
    <x:row r="353" ht="76" customHeight="1">
      <x:c r="A353" s="25" t="str">
        <x:v>WEB-022</x:v>
      </x:c>
      <x:c r="B353" s="25" t="str">
        <x:v>Browser</x:v>
      </x:c>
      <x:c r="C353" s="25" t="str">
        <x:v>Create programme and read its durable revision</x:v>
      </x:c>
      <x:c r="D353" s="25" t="str">
        <x:v>Pass</x:v>
      </x:c>
      <x:c r="E353" s="25" t="str">
        <x:v>docs/evidence/browser-tests.json</x:v>
      </x:c>
      <x:c r="F353" s="25" t="str"/>
      <x:c r="G353" s="25" t="str">
        <x:v>Recorded compiled-client workflow; no automatic full-case equivalence</x:v>
      </x:c>
      <x:c r="H353" s="25" t="str">
        <x:v>2026-09-27</x:v>
      </x:c>
    </x:row>
    <x:row r="354" ht="76" customHeight="1">
      <x:c r="A354" s="25" t="str">
        <x:v>WEB-023</x:v>
      </x:c>
      <x:c r="B354" s="25" t="str">
        <x:v>Browser</x:v>
      </x:c>
      <x:c r="C354" s="25" t="str">
        <x:v>Capture and submit a manual observation</x:v>
      </x:c>
      <x:c r="D354" s="25" t="str">
        <x:v>Pass</x:v>
      </x:c>
      <x:c r="E354" s="25" t="str">
        <x:v>docs/evidence/browser-tests.json</x:v>
      </x:c>
      <x:c r="F354" s="25" t="str"/>
      <x:c r="G354" s="25" t="str">
        <x:v>Recorded compiled-client workflow; no automatic full-case equivalence</x:v>
      </x:c>
      <x:c r="H354" s="25" t="str">
        <x:v>2026-09-27</x:v>
      </x:c>
    </x:row>
    <x:row r="355" ht="76" customHeight="1">
      <x:c r="A355" s="25" t="str">
        <x:v>WEB-024</x:v>
      </x:c>
      <x:c r="B355" s="25" t="str">
        <x:v>Browser</x:v>
      </x:c>
      <x:c r="C355" s="25" t="str">
        <x:v>Author cannot approve their submitted record</x:v>
      </x:c>
      <x:c r="D355" s="25" t="str">
        <x:v>Pass</x:v>
      </x:c>
      <x:c r="E355" s="25" t="str">
        <x:v>docs/evidence/browser-tests.json</x:v>
      </x:c>
      <x:c r="F355" s="25" t="str"/>
      <x:c r="G355" s="25" t="str">
        <x:v>Recorded compiled-client workflow; no automatic full-case equivalence</x:v>
      </x:c>
      <x:c r="H355" s="25" t="str">
        <x:v>2026-09-27</x:v>
      </x:c>
    </x:row>
    <x:row r="356" ht="76" customHeight="1">
      <x:c r="A356" s="25" t="str">
        <x:v>WEB-025</x:v>
      </x:c>
      <x:c r="B356" s="25" t="str">
        <x:v>Browser</x:v>
      </x:c>
      <x:c r="C356" s="25" t="str">
        <x:v>Independent reviewer approves the submitted revision</x:v>
      </x:c>
      <x:c r="D356" s="25" t="str">
        <x:v>Pass</x:v>
      </x:c>
      <x:c r="E356" s="25" t="str">
        <x:v>docs/evidence/browser-tests.json</x:v>
      </x:c>
      <x:c r="F356" s="25" t="str"/>
      <x:c r="G356" s="25" t="str">
        <x:v>Recorded compiled-client workflow; no automatic full-case equivalence</x:v>
      </x:c>
      <x:c r="H356" s="25" t="str">
        <x:v>2026-09-27</x:v>
      </x:c>
    </x:row>
    <x:row r="357" ht="76" customHeight="1">
      <x:c r="A357" s="25" t="str">
        <x:v>WEB-026</x:v>
      </x:c>
      <x:c r="B357" s="25" t="str">
        <x:v>Browser</x:v>
      </x:c>
      <x:c r="C357" s="25" t="str">
        <x:v>Calculate a provisional pooled result</x:v>
      </x:c>
      <x:c r="D357" s="25" t="str">
        <x:v>Pass</x:v>
      </x:c>
      <x:c r="E357" s="25" t="str">
        <x:v>docs/evidence/browser-tests.json</x:v>
      </x:c>
      <x:c r="F357" s="25" t="str"/>
      <x:c r="G357" s="25" t="str">
        <x:v>Recorded compiled-client workflow; no automatic full-case equivalence</x:v>
      </x:c>
      <x:c r="H357" s="25" t="str">
        <x:v>2026-09-27</x:v>
      </x:c>
    </x:row>
    <x:row r="358" ht="76" customHeight="1">
      <x:c r="A358" s="25" t="str">
        <x:v>WEB-027</x:v>
      </x:c>
      <x:c r="B358" s="25" t="str">
        <x:v>Browser</x:v>
      </x:c>
      <x:c r="C358" s="25" t="str">
        <x:v>Mobile navigation and bounded page width</x:v>
      </x:c>
      <x:c r="D358" s="25" t="str">
        <x:v>Pass</x:v>
      </x:c>
      <x:c r="E358" s="25" t="str">
        <x:v>docs/evidence/browser-tests.json</x:v>
      </x:c>
      <x:c r="F358" s="25" t="str"/>
      <x:c r="G358" s="25" t="str">
        <x:v>Recorded compiled-client workflow; no automatic full-case equivalence</x:v>
      </x:c>
      <x:c r="H358" s="25" t="str">
        <x:v>2026-09-27</x:v>
      </x:c>
    </x:row>
    <x:row r="359" ht="76" customHeight="1">
      <x:c r="A359" s="25" t="str">
        <x:v>WEB-028</x:v>
      </x:c>
      <x:c r="B359" s="25" t="str">
        <x:v>Browser</x:v>
      </x:c>
      <x:c r="C359" s="25" t="str">
        <x:v>Logout invalidates the browser session</x:v>
      </x:c>
      <x:c r="D359" s="25" t="str">
        <x:v>Pass</x:v>
      </x:c>
      <x:c r="E359" s="25" t="str">
        <x:v>docs/evidence/browser-tests.json</x:v>
      </x:c>
      <x:c r="F359" s="25" t="str"/>
      <x:c r="G359" s="25" t="str">
        <x:v>Recorded compiled-client workflow; no automatic full-case equivalence</x:v>
      </x:c>
      <x:c r="H359" s="25" t="str">
        <x:v>2026-09-27</x:v>
      </x:c>
    </x:row>
    <x:row r="360" ht="76" customHeight="1">
      <x:c r="A360" s="25" t="str">
        <x:v>WEB-029</x:v>
      </x:c>
      <x:c r="B360" s="25" t="str">
        <x:v>Browser</x:v>
      </x:c>
      <x:c r="C360" s="25" t="str">
        <x:v>Create programme with calendar and geography</x:v>
      </x:c>
      <x:c r="D360" s="25" t="str">
        <x:v>Pass</x:v>
      </x:c>
      <x:c r="E360" s="25" t="str">
        <x:v>docs/evidence/measurement-browser-tests.json</x:v>
      </x:c>
      <x:c r="F360" s="25" t="str"/>
      <x:c r="G360" s="25" t="str">
        <x:v>Recorded compiled-client workflow; no automatic full-case equivalence</x:v>
      </x:c>
      <x:c r="H360" s="25" t="str">
        <x:v>2026-09-27</x:v>
      </x:c>
    </x:row>
    <x:row r="361" ht="76" customHeight="1">
      <x:c r="A361" s="25" t="str">
        <x:v>WEB-030</x:v>
      </x:c>
      <x:c r="B361" s="25" t="str">
        <x:v>Browser</x:v>
      </x:c>
      <x:c r="C361" s="25" t="str">
        <x:v>Create and submit a complete indicator definition</x:v>
      </x:c>
      <x:c r="D361" s="25" t="str">
        <x:v>Pass</x:v>
      </x:c>
      <x:c r="E361" s="25" t="str">
        <x:v>docs/evidence/measurement-browser-tests.json</x:v>
      </x:c>
      <x:c r="F361" s="25" t="str"/>
      <x:c r="G361" s="25" t="str">
        <x:v>Recorded compiled-client workflow; no automatic full-case equivalence</x:v>
      </x:c>
      <x:c r="H361" s="25" t="str">
        <x:v>2026-09-27</x:v>
      </x:c>
    </x:row>
    <x:row r="362" ht="76" customHeight="1">
      <x:c r="A362" s="25" t="str">
        <x:v>WEB-031</x:v>
      </x:c>
      <x:c r="B362" s="25" t="str">
        <x:v>Browser</x:v>
      </x:c>
      <x:c r="C362" s="25" t="str">
        <x:v>Independent definition review renders the correct candidate</x:v>
      </x:c>
      <x:c r="D362" s="25" t="str">
        <x:v>Pass</x:v>
      </x:c>
      <x:c r="E362" s="25" t="str">
        <x:v>docs/evidence/measurement-browser-tests.json</x:v>
      </x:c>
      <x:c r="F362" s="25" t="str"/>
      <x:c r="G362" s="25" t="str">
        <x:v>Recorded compiled-client workflow; no automatic full-case equivalence</x:v>
      </x:c>
      <x:c r="H362" s="25" t="str">
        <x:v>2026-09-27</x:v>
      </x:c>
    </x:row>
    <x:row r="363" ht="76" customHeight="1">
      <x:c r="A363" s="25" t="str">
        <x:v>WEB-032</x:v>
      </x:c>
      <x:c r="B363" s="25" t="str">
        <x:v>Browser</x:v>
      </x:c>
      <x:c r="C363" s="25" t="str">
        <x:v>Create indicator with approved definition and independent assignments</x:v>
      </x:c>
      <x:c r="D363" s="25" t="str">
        <x:v>Pass</x:v>
      </x:c>
      <x:c r="E363" s="25" t="str">
        <x:v>docs/evidence/measurement-browser-tests.json</x:v>
      </x:c>
      <x:c r="F363" s="25" t="str"/>
      <x:c r="G363" s="25" t="str">
        <x:v>Recorded compiled-client workflow; no automatic full-case equivalence</x:v>
      </x:c>
      <x:c r="H363" s="25" t="str">
        <x:v>2026-09-27</x:v>
      </x:c>
    </x:row>
    <x:row r="364" ht="76" customHeight="1">
      <x:c r="A364" s="25" t="str">
        <x:v>WEB-033</x:v>
      </x:c>
      <x:c r="B364" s="25" t="str">
        <x:v>Browser</x:v>
      </x:c>
      <x:c r="C364" s="25" t="str">
        <x:v>Create explicit collection obligations and submit the plan</x:v>
      </x:c>
      <x:c r="D364" s="25" t="str">
        <x:v>Pass</x:v>
      </x:c>
      <x:c r="E364" s="25" t="str">
        <x:v>docs/evidence/measurement-browser-tests.json</x:v>
      </x:c>
      <x:c r="F364" s="25" t="str"/>
      <x:c r="G364" s="25" t="str">
        <x:v>Recorded compiled-client workflow; no automatic full-case equivalence</x:v>
      </x:c>
      <x:c r="H364" s="25" t="str">
        <x:v>2026-09-27</x:v>
      </x:c>
    </x:row>
    <x:row r="365" ht="76" customHeight="1">
      <x:c r="A365" s="25" t="str">
        <x:v>WEB-034</x:v>
      </x:c>
      <x:c r="B365" s="25" t="str">
        <x:v>Browser</x:v>
      </x:c>
      <x:c r="C365" s="25" t="str">
        <x:v>Plan approval freezes the reviewed obligations</x:v>
      </x:c>
      <x:c r="D365" s="25" t="str">
        <x:v>Pass</x:v>
      </x:c>
      <x:c r="E365" s="25" t="str">
        <x:v>docs/evidence/measurement-browser-tests.json</x:v>
      </x:c>
      <x:c r="F365" s="25" t="str"/>
      <x:c r="G365" s="25" t="str">
        <x:v>Recorded compiled-client workflow; no automatic full-case equivalence</x:v>
      </x:c>
      <x:c r="H365" s="25" t="str">
        <x:v>2026-09-27</x:v>
      </x:c>
    </x:row>
    <x:row r="366" ht="76" customHeight="1">
      <x:c r="A366" s="25" t="str">
        <x:v>WEB-035</x:v>
      </x:c>
      <x:c r="B366" s="25" t="str">
        <x:v>Browser</x:v>
      </x:c>
      <x:c r="C366" s="25" t="str">
        <x:v>Activate indicator and pass programme readiness</x:v>
      </x:c>
      <x:c r="D366" s="25" t="str">
        <x:v>Pass</x:v>
      </x:c>
      <x:c r="E366" s="25" t="str">
        <x:v>docs/evidence/measurement-browser-tests.json</x:v>
      </x:c>
      <x:c r="F366" s="25" t="str"/>
      <x:c r="G366" s="25" t="str">
        <x:v>Recorded compiled-client workflow; no automatic full-case equivalence</x:v>
      </x:c>
      <x:c r="H366" s="25" t="str">
        <x:v>2026-09-27</x:v>
      </x:c>
    </x:row>
    <x:row r="367" ht="76" customHeight="1">
      <x:c r="A367" s="25" t="str">
        <x:v>WEB-036</x:v>
      </x:c>
      <x:c r="B367" s="25" t="str">
        <x:v>Browser</x:v>
      </x:c>
      <x:c r="C367" s="25" t="str">
        <x:v>Capture a planned observation for the activated indicator</x:v>
      </x:c>
      <x:c r="D367" s="25" t="str">
        <x:v>Pass</x:v>
      </x:c>
      <x:c r="E367" s="25" t="str">
        <x:v>docs/evidence/measurement-browser-tests.json</x:v>
      </x:c>
      <x:c r="F367" s="25" t="str"/>
      <x:c r="G367" s="25" t="str">
        <x:v>Recorded compiled-client workflow; no automatic full-case equivalence</x:v>
      </x:c>
      <x:c r="H367" s="25" t="str">
        <x:v>2026-09-27</x:v>
      </x:c>
    </x:row>
    <x:row r="368" ht="76" customHeight="1">
      <x:c r="A368" s="25" t="str">
        <x:v>WEB-037</x:v>
      </x:c>
      <x:c r="B368" s="25" t="str">
        <x:v>Browser</x:v>
      </x:c>
      <x:c r="C368" s="25" t="str">
        <x:v>Assigned reviewer approves the planned observation</x:v>
      </x:c>
      <x:c r="D368" s="25" t="str">
        <x:v>Pass</x:v>
      </x:c>
      <x:c r="E368" s="25" t="str">
        <x:v>docs/evidence/measurement-browser-tests.json</x:v>
      </x:c>
      <x:c r="F368" s="25" t="str"/>
      <x:c r="G368" s="25" t="str">
        <x:v>Recorded compiled-client workflow; no automatic full-case equivalence</x:v>
      </x:c>
      <x:c r="H368" s="25" t="str">
        <x:v>2026-09-27</x:v>
      </x:c>
    </x:row>
    <x:row r="369" ht="76" customHeight="1">
      <x:c r="A369" s="25" t="str">
        <x:v>WEB-038</x:v>
      </x:c>
      <x:c r="B369" s="25" t="str">
        <x:v>Browser</x:v>
      </x:c>
      <x:c r="C369" s="25" t="str">
        <x:v>Calculate and inspect approved-versus-missing coverage</x:v>
      </x:c>
      <x:c r="D369" s="25" t="str">
        <x:v>Pass</x:v>
      </x:c>
      <x:c r="E369" s="25" t="str">
        <x:v>docs/evidence/measurement-browser-tests.json</x:v>
      </x:c>
      <x:c r="F369" s="25" t="str"/>
      <x:c r="G369" s="25" t="str">
        <x:v>Recorded compiled-client workflow; no automatic full-case equivalence</x:v>
      </x:c>
      <x:c r="H369" s="25" t="str">
        <x:v>2026-09-27</x:v>
      </x:c>
    </x:row>
    <x:row r="370" ht="76" customHeight="1">
      <x:c r="A370" s="25" t="str">
        <x:v>WEB-039</x:v>
      </x:c>
      <x:c r="B370" s="25" t="str">
        <x:v>Browser</x:v>
      </x:c>
      <x:c r="C370" s="25" t="str">
        <x:v>Submit a governed correction without replacing the approved value</x:v>
      </x:c>
      <x:c r="D370" s="25" t="str">
        <x:v>Pass</x:v>
      </x:c>
      <x:c r="E370" s="25" t="str">
        <x:v>docs/evidence/measurement-browser-tests.json</x:v>
      </x:c>
      <x:c r="F370" s="25" t="str"/>
      <x:c r="G370" s="25" t="str">
        <x:v>Recorded compiled-client workflow; no automatic full-case equivalence</x:v>
      </x:c>
      <x:c r="H370" s="25" t="str">
        <x:v>2026-09-27</x:v>
      </x:c>
    </x:row>
    <x:row r="371" ht="76" customHeight="1">
      <x:c r="A371" s="25" t="str">
        <x:v>WEB-040</x:v>
      </x:c>
      <x:c r="B371" s="25" t="str">
        <x:v>Browser</x:v>
      </x:c>
      <x:c r="C371" s="25" t="str">
        <x:v>Reviewer sees current and proposed records and approves the correction</x:v>
      </x:c>
      <x:c r="D371" s="25" t="str">
        <x:v>Pass</x:v>
      </x:c>
      <x:c r="E371" s="25" t="str">
        <x:v>docs/evidence/measurement-browser-tests.json</x:v>
      </x:c>
      <x:c r="F371" s="25" t="str"/>
      <x:c r="G371" s="25" t="str">
        <x:v>Recorded compiled-client workflow; no automatic full-case equivalence</x:v>
      </x:c>
      <x:c r="H371" s="25" t="str">
        <x:v>2026-09-27</x:v>
      </x:c>
    </x:row>
    <x:row r="372" ht="76" customHeight="1">
      <x:c r="A372" s="25" t="str">
        <x:v>WEB-041</x:v>
      </x:c>
      <x:c r="B372" s="25" t="str">
        <x:v>Browser</x:v>
      </x:c>
      <x:c r="C372" s="25" t="str">
        <x:v>Author submits an obligation exception for independent review</x:v>
      </x:c>
      <x:c r="D372" s="25" t="str">
        <x:v>Pass</x:v>
      </x:c>
      <x:c r="E372" s="25" t="str">
        <x:v>docs/evidence/measurement-browser-tests.json</x:v>
      </x:c>
      <x:c r="F372" s="25" t="str"/>
      <x:c r="G372" s="25" t="str">
        <x:v>Recorded compiled-client workflow; no automatic full-case equivalence</x:v>
      </x:c>
      <x:c r="H372" s="25" t="str">
        <x:v>2026-09-27</x:v>
      </x:c>
    </x:row>
    <x:row r="373" ht="76" customHeight="1">
      <x:c r="A373" s="25" t="str">
        <x:v>WEB-042</x:v>
      </x:c>
      <x:c r="B373" s="25" t="str">
        <x:v>Browser</x:v>
      </x:c>
      <x:c r="C373" s="25" t="str">
        <x:v>Independent review activates the exact eligibility exception</x:v>
      </x:c>
      <x:c r="D373" s="25" t="str">
        <x:v>Pass</x:v>
      </x:c>
      <x:c r="E373" s="25" t="str">
        <x:v>docs/evidence/measurement-browser-tests.json</x:v>
      </x:c>
      <x:c r="F373" s="25" t="str"/>
      <x:c r="G373" s="25" t="str">
        <x:v>Recorded compiled-client workflow; no automatic full-case equivalence</x:v>
      </x:c>
      <x:c r="H373" s="25" t="str">
        <x:v>2026-09-27</x:v>
      </x:c>
    </x:row>
    <x:row r="374" ht="76" customHeight="1">
      <x:c r="A374" s="25" t="str">
        <x:v>WEB-043</x:v>
      </x:c>
      <x:c r="B374" s="25" t="str">
        <x:v>Browser</x:v>
      </x:c>
      <x:c r="C374" s="25" t="str">
        <x:v>Personal work centre acknowledges notice and recalculates current results</x:v>
      </x:c>
      <x:c r="D374" s="25" t="str">
        <x:v>Pass</x:v>
      </x:c>
      <x:c r="E374" s="25" t="str">
        <x:v>docs/evidence/measurement-browser-tests.json</x:v>
      </x:c>
      <x:c r="F374" s="25" t="str"/>
      <x:c r="G374" s="25" t="str">
        <x:v>Recorded compiled-client workflow; no automatic full-case equivalence</x:v>
      </x:c>
      <x:c r="H374" s="25" t="str">
        <x:v>2026-09-27</x:v>
      </x:c>
    </x:row>
    <x:row r="375" ht="76" customHeight="1">
      <x:c r="A375" s="25" t="str">
        <x:v>WEB-044</x:v>
      </x:c>
      <x:c r="B375" s="25" t="str">
        <x:v>Browser</x:v>
      </x:c>
      <x:c r="C375" s="25" t="str">
        <x:v>Correction requests remain usable on mobile</x:v>
      </x:c>
      <x:c r="D375" s="25" t="str">
        <x:v>Pass</x:v>
      </x:c>
      <x:c r="E375" s="25" t="str">
        <x:v>docs/evidence/measurement-browser-tests.json</x:v>
      </x:c>
      <x:c r="F375" s="25" t="str"/>
      <x:c r="G375" s="25" t="str">
        <x:v>Recorded compiled-client workflow; no automatic full-case equivalence</x:v>
      </x:c>
      <x:c r="H375" s="25" t="str">
        <x:v>2026-09-27</x:v>
      </x:c>
    </x:row>
    <x:row r="376" ht="76" customHeight="1">
      <x:c r="A376" s="25" t="str">
        <x:v>WEB-045</x:v>
      </x:c>
      <x:c r="B376" s="25" t="str">
        <x:v>Browser</x:v>
      </x:c>
      <x:c r="C376" s="25" t="str">
        <x:v>Setup remains usable on mobile without page overflow</x:v>
      </x:c>
      <x:c r="D376" s="25" t="str">
        <x:v>Pass</x:v>
      </x:c>
      <x:c r="E376" s="25" t="str">
        <x:v>docs/evidence/measurement-browser-tests.json</x:v>
      </x:c>
      <x:c r="F376" s="25" t="str"/>
      <x:c r="G376" s="25" t="str">
        <x:v>Recorded compiled-client workflow; no automatic full-case equivalence</x:v>
      </x:c>
      <x:c r="H376" s="25" t="str">
        <x:v>2026-09-27</x:v>
      </x:c>
    </x:row>
    <x:row r="377" ht="76" customHeight="1">
      <x:c r="A377" s="25" t="str">
        <x:v>WEB-046</x:v>
      </x:c>
      <x:c r="B377" s="25" t="str">
        <x:v>Browser</x:v>
      </x:c>
      <x:c r="C377" s="25" t="str">
        <x:v>Tenant cannot activate without a verified recovery contact</x:v>
      </x:c>
      <x:c r="D377" s="25" t="str">
        <x:v>Pass</x:v>
      </x:c>
      <x:c r="E377" s="25" t="str">
        <x:v>docs/evidence/recovery-browser-tests.json</x:v>
      </x:c>
      <x:c r="F377" s="25" t="str"/>
      <x:c r="G377" s="25" t="str">
        <x:v>Recorded compiled-client workflow; no automatic full-case equivalence</x:v>
      </x:c>
      <x:c r="H377" s="25" t="str">
        <x:v>2026-09-27</x:v>
      </x:c>
    </x:row>
    <x:row r="378" ht="76" customHeight="1">
      <x:c r="A378" s="25" t="str">
        <x:v>WEB-047</x:v>
      </x:c>
      <x:c r="B378" s="25" t="str">
        <x:v>Browser</x:v>
      </x:c>
      <x:c r="C378" s="25" t="str">
        <x:v>Owner nominates a bounded recovery contact in the interface</x:v>
      </x:c>
      <x:c r="D378" s="25" t="str">
        <x:v>Pass</x:v>
      </x:c>
      <x:c r="E378" s="25" t="str">
        <x:v>docs/evidence/recovery-browser-tests.json</x:v>
      </x:c>
      <x:c r="F378" s="25" t="str"/>
      <x:c r="G378" s="25" t="str">
        <x:v>Recorded compiled-client workflow; no automatic full-case equivalence</x:v>
      </x:c>
      <x:c r="H378" s="25" t="str">
        <x:v>2026-09-27</x:v>
      </x:c>
    </x:row>
    <x:row r="379" ht="76" customHeight="1">
      <x:c r="A379" s="25" t="str">
        <x:v>WEB-048</x:v>
      </x:c>
      <x:c r="B379" s="25" t="str">
        <x:v>Browser</x:v>
      </x:c>
      <x:c r="C379" s="25" t="str">
        <x:v>Unrelated account cannot enumerate recovery nominations</x:v>
      </x:c>
      <x:c r="D379" s="25" t="str">
        <x:v>Pass</x:v>
      </x:c>
      <x:c r="E379" s="25" t="str">
        <x:v>docs/evidence/recovery-browser-tests.json</x:v>
      </x:c>
      <x:c r="F379" s="25" t="str"/>
      <x:c r="G379" s="25" t="str">
        <x:v>Recorded compiled-client workflow; no automatic full-case equivalence</x:v>
      </x:c>
      <x:c r="H379" s="25" t="str">
        <x:v>2026-09-27</x:v>
      </x:c>
    </x:row>
    <x:row r="380" ht="76" customHeight="1">
      <x:c r="A380" s="25" t="str">
        <x:v>WEB-049</x:v>
      </x:c>
      <x:c r="B380" s="25" t="str">
        <x:v>Browser</x:v>
      </x:c>
      <x:c r="C380" s="25" t="str">
        <x:v>Nominated account verifies consent without gaining access</x:v>
      </x:c>
      <x:c r="D380" s="25" t="str">
        <x:v>Pass</x:v>
      </x:c>
      <x:c r="E380" s="25" t="str">
        <x:v>docs/evidence/recovery-browser-tests.json</x:v>
      </x:c>
      <x:c r="F380" s="25" t="str"/>
      <x:c r="G380" s="25" t="str">
        <x:v>Recorded compiled-client workflow; no automatic full-case equivalence</x:v>
      </x:c>
      <x:c r="H380" s="25" t="str">
        <x:v>2026-09-27</x:v>
      </x:c>
    </x:row>
    <x:row r="381" ht="76" customHeight="1">
      <x:c r="A381" s="25" t="str">
        <x:v>WEB-050</x:v>
      </x:c>
      <x:c r="B381" s="25" t="str">
        <x:v>Browser</x:v>
      </x:c>
      <x:c r="C381" s="25" t="str">
        <x:v>Independent operator approves and tenant readiness permits activation</x:v>
      </x:c>
      <x:c r="D381" s="25" t="str">
        <x:v>Pass</x:v>
      </x:c>
      <x:c r="E381" s="25" t="str">
        <x:v>docs/evidence/recovery-browser-tests.json</x:v>
      </x:c>
      <x:c r="F381" s="25" t="str"/>
      <x:c r="G381" s="25" t="str">
        <x:v>Recorded compiled-client workflow; no automatic full-case equivalence</x:v>
      </x:c>
      <x:c r="H381" s="25" t="str">
        <x:v>2026-09-27</x:v>
      </x:c>
    </x:row>
    <x:row r="382" ht="76" customHeight="1">
      <x:c r="A382" s="25" t="str">
        <x:v>WEB-051</x:v>
      </x:c>
      <x:c r="B382" s="25" t="str">
        <x:v>Browser</x:v>
      </x:c>
      <x:c r="C382" s="25" t="str">
        <x:v>Declining a replacement preserves the approved contact</x:v>
      </x:c>
      <x:c r="D382" s="25" t="str">
        <x:v>Pass</x:v>
      </x:c>
      <x:c r="E382" s="25" t="str">
        <x:v>docs/evidence/recovery-browser-tests.json</x:v>
      </x:c>
      <x:c r="F382" s="25" t="str"/>
      <x:c r="G382" s="25" t="str">
        <x:v>Recorded compiled-client workflow; no automatic full-case equivalence</x:v>
      </x:c>
      <x:c r="H382" s="25" t="str">
        <x:v>2026-09-27</x:v>
      </x:c>
    </x:row>
    <x:row r="383" ht="76" customHeight="1">
      <x:c r="A383" s="25" t="str">
        <x:v>WEB-052</x:v>
      </x:c>
      <x:c r="B383" s="25" t="str">
        <x:v>Browser</x:v>
      </x:c>
      <x:c r="C383" s="25" t="str">
        <x:v>Replacement activates only after fresh consent and independent approval</x:v>
      </x:c>
      <x:c r="D383" s="25" t="str">
        <x:v>Pass</x:v>
      </x:c>
      <x:c r="E383" s="25" t="str">
        <x:v>docs/evidence/recovery-browser-tests.json</x:v>
      </x:c>
      <x:c r="F383" s="25" t="str"/>
      <x:c r="G383" s="25" t="str">
        <x:v>Recorded compiled-client workflow; no automatic full-case equivalence</x:v>
      </x:c>
      <x:c r="H383" s="25" t="str">
        <x:v>2026-09-27</x:v>
      </x:c>
    </x:row>
    <x:row r="384" ht="76" customHeight="1">
      <x:c r="A384" s="25" t="str">
        <x:v>WEB-053</x:v>
      </x:c>
      <x:c r="B384" s="25" t="str">
        <x:v>Browser</x:v>
      </x:c>
      <x:c r="C384" s="25" t="str">
        <x:v>Contact revocation removes readiness without suspending the tenant</x:v>
      </x:c>
      <x:c r="D384" s="25" t="str">
        <x:v>Pass</x:v>
      </x:c>
      <x:c r="E384" s="25" t="str">
        <x:v>docs/evidence/recovery-browser-tests.json</x:v>
      </x:c>
      <x:c r="F384" s="25" t="str"/>
      <x:c r="G384" s="25" t="str">
        <x:v>Recorded compiled-client workflow; no automatic full-case equivalence</x:v>
      </x:c>
      <x:c r="H384" s="25" t="str">
        <x:v>2026-09-27</x:v>
      </x:c>
    </x:row>
    <x:row r="385" ht="76" customHeight="1">
      <x:c r="A385" s="25" t="str">
        <x:v>WEB-054</x:v>
      </x:c>
      <x:c r="B385" s="25" t="str">
        <x:v>Browser</x:v>
      </x:c>
      <x:c r="C385" s="25" t="str">
        <x:v>Recovery review and history fit a mobile viewport</x:v>
      </x:c>
      <x:c r="D385" s="25" t="str">
        <x:v>Pass</x:v>
      </x:c>
      <x:c r="E385" s="25" t="str">
        <x:v>docs/evidence/recovery-browser-tests.json</x:v>
      </x:c>
      <x:c r="F385" s="25" t="str"/>
      <x:c r="G385" s="25" t="str">
        <x:v>Recorded compiled-client workflow; no automatic full-case equivalence</x:v>
      </x:c>
      <x:c r="H385" s="25" t="str">
        <x:v>2026-09-27</x:v>
      </x:c>
    </x:row>
    <x:row r="386" ht="76" customHeight="1">
      <x:c r="A386" s="25" t="str">
        <x:v>WEB-055</x:v>
      </x:c>
      <x:c r="B386" s="25" t="str">
        <x:v>Browser</x:v>
      </x:c>
      <x:c r="C386" s="25" t="str">
        <x:v>Period governance workspace shows programme-scoped status</x:v>
      </x:c>
      <x:c r="D386" s="25" t="str">
        <x:v>Pass</x:v>
      </x:c>
      <x:c r="E386" s="25" t="str">
        <x:v>docs/evidence/reporting-browser-tests.json</x:v>
      </x:c>
      <x:c r="F386" s="25" t="str"/>
      <x:c r="G386" s="25" t="str">
        <x:v>Recorded compiled-client workflow; no automatic full-case equivalence</x:v>
      </x:c>
      <x:c r="H386" s="25" t="str">
        <x:v>2026-09-27</x:v>
      </x:c>
    </x:row>
    <x:row r="387" ht="76" customHeight="1">
      <x:c r="A387" s="25" t="str">
        <x:v>WEB-056</x:v>
      </x:c>
      <x:c r="B387" s="25" t="str">
        <x:v>Browser</x:v>
      </x:c>
      <x:c r="C387" s="25" t="str">
        <x:v>Author drafts a report from a locked snapshot</x:v>
      </x:c>
      <x:c r="D387" s="25" t="str">
        <x:v>Pass</x:v>
      </x:c>
      <x:c r="E387" s="25" t="str">
        <x:v>docs/evidence/reporting-browser-tests.json</x:v>
      </x:c>
      <x:c r="F387" s="25" t="str"/>
      <x:c r="G387" s="25" t="str">
        <x:v>Recorded compiled-client workflow; no automatic full-case equivalence</x:v>
      </x:c>
      <x:c r="H387" s="25" t="str">
        <x:v>2026-09-27</x:v>
      </x:c>
    </x:row>
    <x:row r="388" ht="76" customHeight="1">
      <x:c r="A388" s="25" t="str">
        <x:v>WEB-057</x:v>
      </x:c>
      <x:c r="B388" s="25" t="str">
        <x:v>Browser</x:v>
      </x:c>
      <x:c r="C388" s="25" t="str">
        <x:v>Author submits the exact package for independent review</x:v>
      </x:c>
      <x:c r="D388" s="25" t="str">
        <x:v>Pass</x:v>
      </x:c>
      <x:c r="E388" s="25" t="str">
        <x:v>docs/evidence/reporting-browser-tests.json</x:v>
      </x:c>
      <x:c r="F388" s="25" t="str"/>
      <x:c r="G388" s="25" t="str">
        <x:v>Recorded compiled-client workflow; no automatic full-case equivalence</x:v>
      </x:c>
      <x:c r="H388" s="25" t="str">
        <x:v>2026-09-27</x:v>
      </x:c>
    </x:row>
    <x:row r="389" ht="76" customHeight="1">
      <x:c r="A389" s="25" t="str">
        <x:v>WEB-058</x:v>
      </x:c>
      <x:c r="B389" s="25" t="str">
        <x:v>Browser</x:v>
      </x:c>
      <x:c r="C389" s="25" t="str">
        <x:v>Independent reviewer approves the frozen package</x:v>
      </x:c>
      <x:c r="D389" s="25" t="str">
        <x:v>Pass</x:v>
      </x:c>
      <x:c r="E389" s="25" t="str">
        <x:v>docs/evidence/reporting-browser-tests.json</x:v>
      </x:c>
      <x:c r="F389" s="25" t="str"/>
      <x:c r="G389" s="25" t="str">
        <x:v>Recorded compiled-client workflow; no automatic full-case equivalence</x:v>
      </x:c>
      <x:c r="H389" s="25" t="str">
        <x:v>2026-09-27</x:v>
      </x:c>
    </x:row>
    <x:row r="390" ht="76" customHeight="1">
      <x:c r="A390" s="25" t="str">
        <x:v>WEB-059</x:v>
      </x:c>
      <x:c r="B390" s="25" t="str">
        <x:v>Browser</x:v>
      </x:c>
      <x:c r="C390" s="25" t="str">
        <x:v>Approved export renders pinned context and value</x:v>
      </x:c>
      <x:c r="D390" s="25" t="str">
        <x:v>Pass</x:v>
      </x:c>
      <x:c r="E390" s="25" t="str">
        <x:v>docs/evidence/reporting-browser-tests.json</x:v>
      </x:c>
      <x:c r="F390" s="25" t="str"/>
      <x:c r="G390" s="25" t="str">
        <x:v>Recorded compiled-client workflow; no automatic full-case equivalence</x:v>
      </x:c>
      <x:c r="H390" s="25" t="str">
        <x:v>2026-09-27</x:v>
      </x:c>
    </x:row>
    <x:row r="391" ht="76" customHeight="1">
      <x:c r="A391" s="25" t="str">
        <x:v>WEB-060</x:v>
      </x:c>
      <x:c r="B391" s="25" t="str">
        <x:v>Browser</x:v>
      </x:c>
      <x:c r="C391" s="25" t="str">
        <x:v>Author requests recipient-bounded disclosure review</x:v>
      </x:c>
      <x:c r="D391" s="25" t="str">
        <x:v>Pass</x:v>
      </x:c>
      <x:c r="E391" s="25" t="str">
        <x:v>docs/evidence/reporting-browser-tests.json</x:v>
      </x:c>
      <x:c r="F391" s="25" t="str"/>
      <x:c r="G391" s="25" t="str">
        <x:v>Recorded compiled-client workflow; no automatic full-case equivalence</x:v>
      </x:c>
      <x:c r="H391" s="25" t="str">
        <x:v>2026-09-27</x:v>
      </x:c>
    </x:row>
    <x:row r="392" ht="76" customHeight="1">
      <x:c r="A392" s="25" t="str">
        <x:v>WEB-061</x:v>
      </x:c>
      <x:c r="B392" s="25" t="str">
        <x:v>Browser</x:v>
      </x:c>
      <x:c r="C392" s="25" t="str">
        <x:v>Independent publisher approves and freezes the disclosure</x:v>
      </x:c>
      <x:c r="D392" s="25" t="str">
        <x:v>Pass</x:v>
      </x:c>
      <x:c r="E392" s="25" t="str">
        <x:v>docs/evidence/reporting-browser-tests.json</x:v>
      </x:c>
      <x:c r="F392" s="25" t="str"/>
      <x:c r="G392" s="25" t="str">
        <x:v>Recorded compiled-client workflow; no automatic full-case equivalence</x:v>
      </x:c>
      <x:c r="H392" s="25" t="str">
        <x:v>2026-09-27</x:v>
      </x:c>
    </x:row>
    <x:row r="393" ht="76" customHeight="1">
      <x:c r="A393" s="25" t="str">
        <x:v>WEB-062</x:v>
      </x:c>
      <x:c r="B393" s="25" t="str">
        <x:v>Browser</x:v>
      </x:c>
      <x:c r="C393" s="25" t="str">
        <x:v>Named recipient can view HTML and download exact CSV</x:v>
      </x:c>
      <x:c r="D393" s="25" t="str">
        <x:v>Pass</x:v>
      </x:c>
      <x:c r="E393" s="25" t="str">
        <x:v>docs/evidence/reporting-browser-tests.json</x:v>
      </x:c>
      <x:c r="F393" s="25" t="str"/>
      <x:c r="G393" s="25" t="str">
        <x:v>Recorded compiled-client workflow; no automatic full-case equivalence</x:v>
      </x:c>
      <x:c r="H393" s="25" t="str">
        <x:v>2026-09-27</x:v>
      </x:c>
    </x:row>
    <x:row r="394" ht="76" customHeight="1">
      <x:c r="A394" s="25" t="str">
        <x:v>WEB-063</x:v>
      </x:c>
      <x:c r="B394" s="25" t="str">
        <x:v>Browser</x:v>
      </x:c>
      <x:c r="C394" s="25" t="str">
        <x:v>Withdrawal closes recipient access without erasing history</x:v>
      </x:c>
      <x:c r="D394" s="25" t="str">
        <x:v>Pass</x:v>
      </x:c>
      <x:c r="E394" s="25" t="str">
        <x:v>docs/evidence/reporting-browser-tests.json</x:v>
      </x:c>
      <x:c r="F394" s="25" t="str"/>
      <x:c r="G394" s="25" t="str">
        <x:v>Recorded compiled-client workflow; no automatic full-case equivalence</x:v>
      </x:c>
      <x:c r="H394" s="25" t="str">
        <x:v>2026-09-27</x:v>
      </x:c>
    </x:row>
    <x:row r="395" ht="76" customHeight="1">
      <x:c r="A395" s="25" t="str">
        <x:v>WEB-064</x:v>
      </x:c>
      <x:c r="B395" s="25" t="str">
        <x:v>Browser</x:v>
      </x:c>
      <x:c r="C395" s="25" t="str">
        <x:v>Reporting workspace remains bounded on mobile</x:v>
      </x:c>
      <x:c r="D395" s="25" t="str">
        <x:v>Pass</x:v>
      </x:c>
      <x:c r="E395" s="25" t="str">
        <x:v>docs/evidence/reporting-browser-tests.json</x:v>
      </x:c>
      <x:c r="F395" s="25" t="str"/>
      <x:c r="G395" s="25" t="str">
        <x:v>Recorded compiled-client workflow; no automatic full-case equivalence</x:v>
      </x:c>
      <x:c r="H395" s="25" t="str">
        <x:v>2026-09-27</x:v>
      </x:c>
    </x:row>
    <x:row r="396" ht="76" customHeight="1">
      <x:c r="A396" s="25" t="str">
        <x:v>WEB-065</x:v>
      </x:c>
      <x:c r="B396" s="25" t="str">
        <x:v>Browser</x:v>
      </x:c>
      <x:c r="C396" s="25" t="str">
        <x:v>Operator submits a pinned tenant profile</x:v>
      </x:c>
      <x:c r="D396" s="25" t="str">
        <x:v>Pass</x:v>
      </x:c>
      <x:c r="E396" s="25" t="str">
        <x:v>docs/evidence/tenant-browser-tests.json</x:v>
      </x:c>
      <x:c r="F396" s="25" t="str"/>
      <x:c r="G396" s="25" t="str">
        <x:v>Recorded compiled-client workflow; no automatic full-case equivalence</x:v>
      </x:c>
      <x:c r="H396" s="25" t="str">
        <x:v>2026-09-27</x:v>
      </x:c>
    </x:row>
    <x:row r="397" ht="76" customHeight="1">
      <x:c r="A397" s="25" t="str">
        <x:v>WEB-066</x:v>
      </x:c>
      <x:c r="B397" s="25" t="str">
        <x:v>Browser</x:v>
      </x:c>
      <x:c r="C397" s="25" t="str">
        <x:v>Nominated owner accepts without receiving automatic data access</x:v>
      </x:c>
      <x:c r="D397" s="25" t="str">
        <x:v>Pass</x:v>
      </x:c>
      <x:c r="E397" s="25" t="str">
        <x:v>docs/evidence/tenant-browser-tests.json</x:v>
      </x:c>
      <x:c r="F397" s="25" t="str"/>
      <x:c r="G397" s="25" t="str">
        <x:v>Recorded compiled-client workflow; no automatic full-case equivalence</x:v>
      </x:c>
      <x:c r="H397" s="25" t="str">
        <x:v>2026-09-27</x:v>
      </x:c>
    </x:row>
    <x:row r="398" ht="76" customHeight="1">
      <x:c r="A398" s="25" t="str">
        <x:v>WEB-067</x:v>
      </x:c>
      <x:c r="B398" s="25" t="str">
        <x:v>Browser</x:v>
      </x:c>
      <x:c r="C398" s="25" t="str">
        <x:v>Requester cannot independently activate their own request</x:v>
      </x:c>
      <x:c r="D398" s="25" t="str">
        <x:v>Pass</x:v>
      </x:c>
      <x:c r="E398" s="25" t="str">
        <x:v>docs/evidence/tenant-browser-tests.json</x:v>
      </x:c>
      <x:c r="F398" s="25" t="str"/>
      <x:c r="G398" s="25" t="str">
        <x:v>Recorded compiled-client workflow; no automatic full-case equivalence</x:v>
      </x:c>
      <x:c r="H398" s="25" t="str">
        <x:v>2026-09-27</x:v>
      </x:c>
    </x:row>
    <x:row r="399" ht="76" customHeight="1">
      <x:c r="A399" s="25" t="str">
        <x:v>WEB-068</x:v>
      </x:c>
      <x:c r="B399" s="25" t="str">
        <x:v>Browser</x:v>
      </x:c>
      <x:c r="C399" s="25" t="str">
        <x:v>Independent operator activates the tenant</x:v>
      </x:c>
      <x:c r="D399" s="25" t="str">
        <x:v>Pass</x:v>
      </x:c>
      <x:c r="E399" s="25" t="str">
        <x:v>docs/evidence/tenant-browser-tests.json</x:v>
      </x:c>
      <x:c r="F399" s="25" t="str"/>
      <x:c r="G399" s="25" t="str">
        <x:v>Recorded compiled-client workflow; no automatic full-case equivalence</x:v>
      </x:c>
      <x:c r="H399" s="25" t="str">
        <x:v>2026-09-27</x:v>
      </x:c>
    </x:row>
    <x:row r="400" ht="76" customHeight="1">
      <x:c r="A400" s="25" t="str">
        <x:v>WEB-069</x:v>
      </x:c>
      <x:c r="B400" s="25" t="str">
        <x:v>Browser</x:v>
      </x:c>
      <x:c r="C400" s="25" t="str">
        <x:v>Operator suspends and independently reactivates without replay</x:v>
      </x:c>
      <x:c r="D400" s="25" t="str">
        <x:v>Pass</x:v>
      </x:c>
      <x:c r="E400" s="25" t="str">
        <x:v>docs/evidence/tenant-browser-tests.json</x:v>
      </x:c>
      <x:c r="F400" s="25" t="str"/>
      <x:c r="G400" s="25" t="str">
        <x:v>Recorded compiled-client workflow; no automatic full-case equivalence</x:v>
      </x:c>
      <x:c r="H400" s="25" t="str">
        <x:v>2026-09-27</x:v>
      </x:c>
    </x:row>
    <x:row r="401" ht="76" customHeight="1">
      <x:c r="A401" s="25" t="str">
        <x:v>WEB-070</x:v>
      </x:c>
      <x:c r="B401" s="25" t="str">
        <x:v>Browser</x:v>
      </x:c>
      <x:c r="C401" s="25" t="str">
        <x:v>Closing state preserves records and has no reactivation shortcut</x:v>
      </x:c>
      <x:c r="D401" s="25" t="str">
        <x:v>Pass</x:v>
      </x:c>
      <x:c r="E401" s="25" t="str">
        <x:v>docs/evidence/tenant-browser-tests.json</x:v>
      </x:c>
      <x:c r="F401" s="25" t="str"/>
      <x:c r="G401" s="25" t="str">
        <x:v>Recorded compiled-client workflow; no automatic full-case equivalence</x:v>
      </x:c>
      <x:c r="H401" s="25" t="str">
        <x:v>2026-09-27</x:v>
      </x:c>
    </x:row>
    <x:row r="402" ht="76" customHeight="1">
      <x:c r="A402" s="25" t="str">
        <x:v>WEB-071</x:v>
      </x:c>
      <x:c r="B402" s="25" t="str">
        <x:v>Browser</x:v>
      </x:c>
      <x:c r="C402" s="25" t="str">
        <x:v>Tenant console fits a mobile viewport</x:v>
      </x:c>
      <x:c r="D402" s="25" t="str">
        <x:v>Pass</x:v>
      </x:c>
      <x:c r="E402" s="25" t="str">
        <x:v>docs/evidence/tenant-browser-tests.json</x:v>
      </x:c>
      <x:c r="F402" s="25" t="str"/>
      <x:c r="G402" s="25" t="str">
        <x:v>Recorded compiled-client workflow; no automatic full-case equivalence</x:v>
      </x:c>
      <x:c r="H402" s="25" t="str">
        <x:v>2026-09-27</x:v>
      </x:c>
    </x:row>
    <x:row r="403" ht="76" customHeight="1">
      <x:c r="A403" s="25" t="str">
        <x:v>WEB-072</x:v>
      </x:c>
      <x:c r="B403" s="25" t="str">
        <x:v>Browser</x:v>
      </x:c>
      <x:c r="C403" s="25" t="str">
        <x:v>Initialize settings after delayed permissions and create a custom role</x:v>
      </x:c>
      <x:c r="D403" s="25" t="str">
        <x:v>Pass</x:v>
      </x:c>
      <x:c r="E403" s="25" t="str">
        <x:v>docs/evidence/workspace-browser-tests.json</x:v>
      </x:c>
      <x:c r="F403" s="25" t="str"/>
      <x:c r="G403" s="25" t="str">
        <x:v>Recorded compiled-client workflow; no automatic full-case equivalence</x:v>
      </x:c>
      <x:c r="H403" s="25" t="str">
        <x:v>2026-09-27</x:v>
      </x:c>
    </x:row>
    <x:row r="404" ht="76" customHeight="1">
      <x:c r="A404" s="25" t="str">
        <x:v>WEB-073</x:v>
      </x:c>
      <x:c r="B404" s="25" t="str">
        <x:v>Browser</x:v>
      </x:c>
      <x:c r="C404" s="25" t="str">
        <x:v>Create an organisation unit and preserve its stable code on rename</x:v>
      </x:c>
      <x:c r="D404" s="25" t="str">
        <x:v>Pass</x:v>
      </x:c>
      <x:c r="E404" s="25" t="str">
        <x:v>docs/evidence/workspace-browser-tests.json</x:v>
      </x:c>
      <x:c r="F404" s="25" t="str"/>
      <x:c r="G404" s="25" t="str">
        <x:v>Recorded compiled-client workflow; no automatic full-case equivalence</x:v>
      </x:c>
      <x:c r="H404" s="25" t="str">
        <x:v>2026-09-27</x:v>
      </x:c>
    </x:row>
    <x:row r="405" ht="76" customHeight="1">
      <x:c r="A405" s="25" t="str">
        <x:v>WEB-074</x:v>
      </x:c>
      <x:c r="B405" s="25" t="str">
        <x:v>Browser</x:v>
      </x:c>
      <x:c r="C405" s="25" t="str">
        <x:v>Create a group and submit a complete access proposal</x:v>
      </x:c>
      <x:c r="D405" s="25" t="str">
        <x:v>Pass</x:v>
      </x:c>
      <x:c r="E405" s="25" t="str">
        <x:v>docs/evidence/workspace-browser-tests.json</x:v>
      </x:c>
      <x:c r="F405" s="25" t="str"/>
      <x:c r="G405" s="25" t="str">
        <x:v>Recorded compiled-client workflow; no automatic full-case equivalence</x:v>
      </x:c>
      <x:c r="H405" s="25" t="str">
        <x:v>2026-09-27</x:v>
      </x:c>
    </x:row>
    <x:row r="406" ht="76" customHeight="1">
      <x:c r="A406" s="25" t="str">
        <x:v>WEB-075</x:v>
      </x:c>
      <x:c r="B406" s="25" t="str">
        <x:v>Browser</x:v>
      </x:c>
      <x:c r="C406" s="25" t="str">
        <x:v>Reject requester self-approval without applying the proposal</x:v>
      </x:c>
      <x:c r="D406" s="25" t="str">
        <x:v>Pass</x:v>
      </x:c>
      <x:c r="E406" s="25" t="str">
        <x:v>docs/evidence/workspace-browser-tests.json</x:v>
      </x:c>
      <x:c r="F406" s="25" t="str"/>
      <x:c r="G406" s="25" t="str">
        <x:v>Recorded compiled-client workflow; no automatic full-case equivalence</x:v>
      </x:c>
      <x:c r="H406" s="25" t="str">
        <x:v>2026-09-27</x:v>
      </x:c>
    </x:row>
    <x:row r="407" ht="76" customHeight="1">
      <x:c r="A407" s="25" t="str">
        <x:v>WEB-076</x:v>
      </x:c>
      <x:c r="B407" s="25" t="str">
        <x:v>Browser</x:v>
      </x:c>
      <x:c r="C407" s="25" t="str">
        <x:v>Independent owner reviews scopes and capabilities before group approval</x:v>
      </x:c>
      <x:c r="D407" s="25" t="str">
        <x:v>Pass</x:v>
      </x:c>
      <x:c r="E407" s="25" t="str">
        <x:v>docs/evidence/workspace-browser-tests.json</x:v>
      </x:c>
      <x:c r="F407" s="25" t="str"/>
      <x:c r="G407" s="25" t="str">
        <x:v>Recorded compiled-client workflow; no automatic full-case equivalence</x:v>
      </x:c>
      <x:c r="H407" s="25" t="str">
        <x:v>2026-09-27</x:v>
      </x:c>
    </x:row>
    <x:row r="408" ht="76" customHeight="1">
      <x:c r="A408" s="25" t="str">
        <x:v>WEB-077</x:v>
      </x:c>
      <x:c r="B408" s="25" t="str">
        <x:v>Browser</x:v>
      </x:c>
      <x:c r="C408" s="25" t="str">
        <x:v>Remove group membership through an explicit reviewed action</x:v>
      </x:c>
      <x:c r="D408" s="25" t="str">
        <x:v>Pass</x:v>
      </x:c>
      <x:c r="E408" s="25" t="str">
        <x:v>docs/evidence/workspace-browser-tests.json</x:v>
      </x:c>
      <x:c r="F408" s="25" t="str"/>
      <x:c r="G408" s="25" t="str">
        <x:v>Recorded compiled-client workflow; no automatic full-case equivalence</x:v>
      </x:c>
      <x:c r="H408" s="25" t="str">
        <x:v>2026-09-27</x:v>
      </x:c>
    </x:row>
    <x:row r="409" ht="76" customHeight="1">
      <x:c r="A409" s="25" t="str">
        <x:v>WEB-078</x:v>
      </x:c>
      <x:c r="B409" s="25" t="str">
        <x:v>Browser</x:v>
      </x:c>
      <x:c r="C409" s="25" t="str">
        <x:v>Nominate an existing administrator and accept custody as the successor</x:v>
      </x:c>
      <x:c r="D409" s="25" t="str">
        <x:v>Pass</x:v>
      </x:c>
      <x:c r="E409" s="25" t="str">
        <x:v>docs/evidence/workspace-browser-tests.json</x:v>
      </x:c>
      <x:c r="F409" s="25" t="str"/>
      <x:c r="G409" s="25" t="str">
        <x:v>Recorded compiled-client workflow; no automatic full-case equivalence</x:v>
      </x:c>
      <x:c r="H409" s="25" t="str">
        <x:v>2026-09-27</x:v>
      </x:c>
    </x:row>
    <x:row r="410" ht="76" customHeight="1">
      <x:c r="A410" s="25" t="str">
        <x:v>WEB-079</x:v>
      </x:c>
      <x:c r="B410" s="25" t="str">
        <x:v>Browser</x:v>
      </x:c>
      <x:c r="C410" s="25" t="str">
        <x:v>Persist personal preferences and apply reduced motion</x:v>
      </x:c>
      <x:c r="D410" s="25" t="str">
        <x:v>Pass</x:v>
      </x:c>
      <x:c r="E410" s="25" t="str">
        <x:v>docs/evidence/workspace-browser-tests.json</x:v>
      </x:c>
      <x:c r="F410" s="25" t="str"/>
      <x:c r="G410" s="25" t="str">
        <x:v>Recorded compiled-client workflow; no automatic full-case equivalence</x:v>
      </x:c>
      <x:c r="H410" s="25" t="str">
        <x:v>2026-09-27</x:v>
      </x:c>
    </x:row>
    <x:row r="411" ht="76" customHeight="1">
      <x:c r="A411" s="25" t="str">
        <x:v>WEB-080</x:v>
      </x:c>
      <x:c r="B411" s="25" t="str">
        <x:v>Browser</x:v>
      </x:c>
      <x:c r="C411" s="25" t="str">
        <x:v>Desktop and mobile account screens remain usable</x:v>
      </x:c>
      <x:c r="D411" s="25" t="str">
        <x:v>Pass</x:v>
      </x:c>
      <x:c r="E411" s="25" t="str">
        <x:v>docs/evidence/workspace-browser-tests.json</x:v>
      </x:c>
      <x:c r="F411" s="25" t="str"/>
      <x:c r="G411" s="25" t="str">
        <x:v>Recorded compiled-client workflow; no automatic full-case equivalence</x:v>
      </x:c>
      <x:c r="H411" s="25" t="str">
        <x:v>2026-09-27</x:v>
      </x:c>
    </x:row>
    <x:row r="412" ht="76" customHeight="1">
      <x:c r="A412" s="25" t="str">
        <x:v>WEB-081</x:v>
      </x:c>
      <x:c r="B412" s="25" t="str">
        <x:v>Browser</x:v>
      </x:c>
      <x:c r="C412" s="25" t="str">
        <x:v>Revoke all sessions and return to sign-in</x:v>
      </x:c>
      <x:c r="D412" s="25" t="str">
        <x:v>Pass</x:v>
      </x:c>
      <x:c r="E412" s="25" t="str">
        <x:v>docs/evidence/workspace-browser-tests.json</x:v>
      </x:c>
      <x:c r="F412" s="25" t="str"/>
      <x:c r="G412" s="25" t="str">
        <x:v>Recorded compiled-client workflow; no automatic full-case equivalence</x:v>
      </x:c>
      <x:c r="H412" s="25" t="str">
        <x:v>2026-09-27</x:v>
      </x:c>
    </x:row>
    <x:row r="413" ht="76" customHeight="1">
      <x:c r="A413" s="25" t="str">
        <x:v>REF-RUN</x:v>
      </x:c>
      <x:c r="B413" s="25" t="str">
        <x:v>Reference</x:v>
      </x:c>
      <x:c r="C413" s="25" t="str">
        <x:v>143 preserved design assertions</x:v>
      </x:c>
      <x:c r="D413" s="25" t="str">
        <x:v>Pass</x:v>
      </x:c>
      <x:c r="E413" s="25" t="str">
        <x:v>docs/evidence/reference-tests.json</x:v>
      </x:c>
      <x:c r="F413" s="25" t="str"/>
      <x:c r="G413" s="25" t="str">
        <x:v>Design reference only; product_validated false</x:v>
      </x:c>
      <x:c r="H413" s="25" t="n">
        <x:v>46292.902650462966</x:v>
      </x:c>
    </x:row>
  </x:sheetData>
  <x:pageMargins left="0.7" right="0.7" top="0.75" bottom="0.75" header="0.3" footer="0.3"/>
</x:worksheet>
</file>