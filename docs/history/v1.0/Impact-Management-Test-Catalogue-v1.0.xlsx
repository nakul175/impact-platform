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dc998dacd0243f3" /></Relationships>
</file>

<file path=xl/workbook.xml><?xml version="1.0" encoding="utf-8"?>
<x:workbook xmlns:x="http://schemas.openxmlformats.org/spreadsheetml/2006/main">
  <x:sheets>
    <x:sheet xmlns:r="http://schemas.openxmlformats.org/officeDocument/2006/relationships" name="Overview" sheetId="1" r:id="R21fe200416c94522"/>
    <x:sheet xmlns:r="http://schemas.openxmlformats.org/officeDocument/2006/relationships" name="Functional" sheetId="2" r:id="Ra77e8b4ede0549ed"/>
    <x:sheet xmlns:r="http://schemas.openxmlformats.org/officeDocument/2006/relationships" name="Nonfunctional" sheetId="3" r:id="R8118cd4dca944445"/>
    <x:sheet xmlns:r="http://schemas.openxmlformats.org/officeDocument/2006/relationships" name="Journeys" sheetId="4" r:id="R64f18cb6d3ca4511"/>
    <x:sheet xmlns:r="http://schemas.openxmlformats.org/officeDocument/2006/relationships" name="Unit" sheetId="5" r:id="Re711ec217e2f4b69"/>
    <x:sheet xmlns:r="http://schemas.openxmlformats.org/officeDocument/2006/relationships" name="Integration" sheetId="6" r:id="Rc462f78664634a72"/>
    <x:sheet xmlns:r="http://schemas.openxmlformats.org/officeDocument/2006/relationships" name="Smoke" sheetId="7" r:id="R1270c68af5f74389"/>
    <x:sheet xmlns:r="http://schemas.openxmlformats.org/officeDocument/2006/relationships" name="Security Boundaries" sheetId="8" r:id="Rd74688196e9d4b80"/>
    <x:sheet xmlns:r="http://schemas.openxmlformats.org/officeDocument/2006/relationships" name="Scenarios" sheetId="9" r:id="R814160c87645486b"/>
    <x:sheet xmlns:r="http://schemas.openxmlformats.org/officeDocument/2006/relationships" name="Traceability" sheetId="10" r:id="R93ef2b3328654a18"/>
    <x:sheet xmlns:r="http://schemas.openxmlformats.org/officeDocument/2006/relationships" name="Fixtures" sheetId="11" r:id="Rb85119a7bf6c4de8"/>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sz val="10"/>
      <x:color rgb="FF17283B"/>
      <x:name val="Arial"/>
    </x:font>
    <x:font>
      <x:b/>
      <x:sz val="20"/>
      <x:color rgb="FF17283B"/>
      <x:name val="Arial"/>
    </x:font>
    <x:font>
      <x:sz val="10"/>
      <x:color rgb="FF516174"/>
      <x:name val="Arial"/>
    </x:font>
    <x:font>
      <x:b/>
      <x:sz val="10"/>
      <x:color rgb="FFFFFFFF"/>
      <x:name val="Arial"/>
    </x:font>
    <x:font>
      <x:sz val="10"/>
      <x:color rgb="FF1F4E79"/>
      <x:name val="Arial"/>
    </x:font>
    <x:font>
      <x:b/>
      <x:sz val="11"/>
      <x:color rgb="FF17283B"/>
      <x:name val="Arial"/>
    </x:font>
  </x:fonts>
  <x:fills count="5">
    <x:fill>
      <x:patternFill patternType="none"/>
    </x:fill>
    <x:fill>
      <x:patternFill patternType="gray125"/>
    </x:fill>
    <x:fill>
      <x:patternFill patternType="solid">
        <x:fgColor rgb="FF17283B"/>
      </x:patternFill>
    </x:fill>
    <x:fill>
      <x:patternFill patternType="solid">
        <x:fgColor rgb="FFFFF5DB"/>
      </x:patternFill>
    </x:fill>
    <x:fill>
      <x:patternFill patternType="solid">
        <x:fgColor rgb="FFE8EDF2"/>
      </x:patternFill>
    </x:fill>
  </x:fills>
  <x:borders count="2">
    <x:border/>
    <x:border>
      <x:bottom style="thin">
        <x:color rgb="FFAEBCC8"/>
      </x:bottom>
    </x:border>
  </x:borders>
  <x:cellStyleXfs count="1">
    <x:xf numFmtId="0" fontId="0" fillId="0" borderId="0"/>
  </x:cellStyleXfs>
  <x:cellXfs count="1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4" fillId="2" borderId="0" xfId="0" applyNumberFormat="1" applyFont="1" applyFill="1" applyBorder="1" applyAlignment="1">
      <x:alignment horizontal="center" vertical="center" wrapText="1"/>
    </x:xf>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5" fillId="3" borderId="0" xfId="0" applyNumberFormat="1" applyFont="1" applyFill="1" applyBorder="1" applyAlignment="1">
      <x:alignment vertical="top" wrapText="1"/>
    </x:xf>
    <x:xf numFmtId="0" fontId="1" fillId="4" borderId="0" xfId="0" applyNumberFormat="1" applyFont="1" applyFill="1" applyBorder="1"/>
    <x:xf numFmtId="0" fontId="6" fillId="4" borderId="0" xfId="0" applyNumberFormat="1" applyFont="1" applyFill="1" applyBorder="1"/>
  </x:cellXfs>
  <x:cellStyles count="1">
    <x:cellStyle name="Normal" xfId="0"/>
  </x:cellStyles>
  <x:dxfs count="21">
    <x:dxf>
      <x:fill>
        <x:patternFill patternType="solid">
          <x:bgColor rgb="FFDDEEDF"/>
        </x:patternFill>
      </x:fill>
    </x:dxf>
    <x:dxf>
      <x:fill>
        <x:patternFill patternType="solid">
          <x:bgColor rgb="FFF5D6D6"/>
        </x:patternFill>
      </x:fill>
    </x:dxf>
    <x:dxf>
      <x:fill>
        <x:patternFill patternType="solid">
          <x:bgColor rgb="FFFCE8BD"/>
        </x:patternFill>
      </x:fill>
    </x:dxf>
    <x:dxf>
      <x:fill>
        <x:patternFill patternType="solid">
          <x:bgColor rgb="FFDDEEDF"/>
        </x:patternFill>
      </x:fill>
    </x:dxf>
    <x:dxf>
      <x:fill>
        <x:patternFill patternType="solid">
          <x:bgColor rgb="FFF5D6D6"/>
        </x:patternFill>
      </x:fill>
    </x:dxf>
    <x:dxf>
      <x:fill>
        <x:patternFill patternType="solid">
          <x:bgColor rgb="FFFCE8BD"/>
        </x:patternFill>
      </x:fill>
    </x:dxf>
    <x:dxf>
      <x:fill>
        <x:patternFill patternType="solid">
          <x:bgColor rgb="FFDDEEDF"/>
        </x:patternFill>
      </x:fill>
    </x:dxf>
    <x:dxf>
      <x:fill>
        <x:patternFill patternType="solid">
          <x:bgColor rgb="FFF5D6D6"/>
        </x:patternFill>
      </x:fill>
    </x:dxf>
    <x:dxf>
      <x:fill>
        <x:patternFill patternType="solid">
          <x:bgColor rgb="FFFCE8BD"/>
        </x:patternFill>
      </x:fill>
    </x:dxf>
    <x:dxf>
      <x:fill>
        <x:patternFill patternType="solid">
          <x:bgColor rgb="FFDDEEDF"/>
        </x:patternFill>
      </x:fill>
    </x:dxf>
    <x:dxf>
      <x:fill>
        <x:patternFill patternType="solid">
          <x:bgColor rgb="FFF5D6D6"/>
        </x:patternFill>
      </x:fill>
    </x:dxf>
    <x:dxf>
      <x:fill>
        <x:patternFill patternType="solid">
          <x:bgColor rgb="FFFCE8BD"/>
        </x:patternFill>
      </x:fill>
    </x:dxf>
    <x:dxf>
      <x:fill>
        <x:patternFill patternType="solid">
          <x:bgColor rgb="FFDDEEDF"/>
        </x:patternFill>
      </x:fill>
    </x:dxf>
    <x:dxf>
      <x:fill>
        <x:patternFill patternType="solid">
          <x:bgColor rgb="FFF5D6D6"/>
        </x:patternFill>
      </x:fill>
    </x:dxf>
    <x:dxf>
      <x:fill>
        <x:patternFill patternType="solid">
          <x:bgColor rgb="FFFCE8BD"/>
        </x:patternFill>
      </x:fill>
    </x:dxf>
    <x:dxf>
      <x:fill>
        <x:patternFill patternType="solid">
          <x:bgColor rgb="FFDDEEDF"/>
        </x:patternFill>
      </x:fill>
    </x:dxf>
    <x:dxf>
      <x:fill>
        <x:patternFill patternType="solid">
          <x:bgColor rgb="FFF5D6D6"/>
        </x:patternFill>
      </x:fill>
    </x:dxf>
    <x:dxf>
      <x:fill>
        <x:patternFill patternType="solid">
          <x:bgColor rgb="FFFCE8BD"/>
        </x:patternFill>
      </x:fill>
    </x:dxf>
    <x:dxf>
      <x:fill>
        <x:patternFill patternType="solid">
          <x:bgColor rgb="FFDDEEDF"/>
        </x:patternFill>
      </x:fill>
    </x:dxf>
    <x:dxf>
      <x:fill>
        <x:patternFill patternType="solid">
          <x:bgColor rgb="FFF5D6D6"/>
        </x:patternFill>
      </x:fill>
    </x:dxf>
    <x:dxf>
      <x:fill>
        <x:patternFill patternType="solid">
          <x:bgColor rgb="FFFCE8B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01dfc0280de4432" /><Relationship Type="http://schemas.openxmlformats.org/officeDocument/2006/relationships/theme" Target="/xl/theme/theme1.xml" Id="Rb275d57d896d4f32" /><Relationship Type="http://schemas.openxmlformats.org/officeDocument/2006/relationships/sharedStrings" Target="/xl/sharedStrings.xml" Id="R505003c4e3be4a5b" /><Relationship Type="http://schemas.openxmlformats.org/officeDocument/2006/relationships/worksheet" Target="/xl/worksheets/sheet1.xml" Id="R21fe200416c94522" /><Relationship Type="http://schemas.openxmlformats.org/officeDocument/2006/relationships/worksheet" Target="/xl/worksheets/sheet2.xml" Id="Ra77e8b4ede0549ed" /><Relationship Type="http://schemas.openxmlformats.org/officeDocument/2006/relationships/worksheet" Target="/xl/worksheets/sheet3.xml" Id="R8118cd4dca944445" /><Relationship Type="http://schemas.openxmlformats.org/officeDocument/2006/relationships/worksheet" Target="/xl/worksheets/sheet4.xml" Id="R64f18cb6d3ca4511" /><Relationship Type="http://schemas.openxmlformats.org/officeDocument/2006/relationships/worksheet" Target="/xl/worksheets/sheet5.xml" Id="Re711ec217e2f4b69" /><Relationship Type="http://schemas.openxmlformats.org/officeDocument/2006/relationships/worksheet" Target="/xl/worksheets/sheet6.xml" Id="Rc462f78664634a72" /><Relationship Type="http://schemas.openxmlformats.org/officeDocument/2006/relationships/worksheet" Target="/xl/worksheets/sheet7.xml" Id="R1270c68af5f74389" /><Relationship Type="http://schemas.openxmlformats.org/officeDocument/2006/relationships/worksheet" Target="/xl/worksheets/sheet8.xml" Id="Rd74688196e9d4b80" /><Relationship Type="http://schemas.openxmlformats.org/officeDocument/2006/relationships/worksheet" Target="/xl/worksheets/sheet9.xml" Id="R814160c87645486b" /><Relationship Type="http://schemas.openxmlformats.org/officeDocument/2006/relationships/worksheet" Target="/xl/worksheets/sheet10.xml" Id="R93ef2b3328654a18" /><Relationship Type="http://schemas.openxmlformats.org/officeDocument/2006/relationships/worksheet" Target="/xl/worksheets/sheet11.xml" Id="Rb85119a7bf6c4de8" /></Relationships>
</file>

<file path=xl/tables/table1.xml><?xml version="1.0" encoding="utf-8"?>
<x:table xmlns:x="http://schemas.openxmlformats.org/spreadsheetml/2006/main" id="1" name="Tests_Functional" displayName="Tests_Functional" ref="A6:J546" headerRowCount="1" totalsRowCount="0" totalsRowShown="0">
  <x:autoFilter ref="A6:J546"/>
  <x:tableColumns count="10">
    <x:tableColumn id="1" name="Test ID"/>
    <x:tableColumn id="2" name="FSD and BRD reference"/>
    <x:tableColumn id="3" name="Priority and release"/>
    <x:tableColumn id="4" name="Scenario"/>
    <x:tableColumn id="5" name="Preconditions and data"/>
    <x:tableColumn id="6" name="Steps"/>
    <x:tableColumn id="7" name="Expected outcome"/>
    <x:tableColumn id="8" name="Status"/>
    <x:tableColumn id="9" name="Evidence or run ID"/>
    <x:tableColumn id="10" name="Defect and notes"/>
  </x:tableColumns>
  <x:tableStyleInfo name="TableStyleMedium2" showFirstColumn="0" showLastColumn="0" showRowStripes="1" showColumnStripes="0"/>
</x:table>
</file>

<file path=xl/tables/table2.xml><?xml version="1.0" encoding="utf-8"?>
<x:table xmlns:x="http://schemas.openxmlformats.org/spreadsheetml/2006/main" id="2" name="Tests_Nonfunctional" displayName="Tests_Nonfunctional" ref="A6:J43" headerRowCount="1" totalsRowCount="0" totalsRowShown="0">
  <x:autoFilter ref="A6:J43"/>
  <x:tableColumns count="10">
    <x:tableColumn id="1" name="Test ID"/>
    <x:tableColumn id="2" name="FSD and BRD reference"/>
    <x:tableColumn id="3" name="Priority and release"/>
    <x:tableColumn id="4" name="Scenario"/>
    <x:tableColumn id="5" name="Preconditions and data"/>
    <x:tableColumn id="6" name="Steps"/>
    <x:tableColumn id="7" name="Expected outcome"/>
    <x:tableColumn id="8" name="Status"/>
    <x:tableColumn id="9" name="Evidence or run ID"/>
    <x:tableColumn id="10" name="Defect and notes"/>
  </x:tableColumns>
  <x:tableStyleInfo name="TableStyleMedium2" showFirstColumn="0" showLastColumn="0" showRowStripes="1" showColumnStripes="0"/>
</x:table>
</file>

<file path=xl/tables/table3.xml><?xml version="1.0" encoding="utf-8"?>
<x:table xmlns:x="http://schemas.openxmlformats.org/spreadsheetml/2006/main" id="3" name="Tests_Journeys" displayName="Tests_Journeys" ref="A6:J36" headerRowCount="1" totalsRowCount="0" totalsRowShown="0">
  <x:autoFilter ref="A6:J36"/>
  <x:tableColumns count="10">
    <x:tableColumn id="1" name="Test ID"/>
    <x:tableColumn id="2" name="FSD and BRD reference"/>
    <x:tableColumn id="3" name="Priority and release"/>
    <x:tableColumn id="4" name="Scenario"/>
    <x:tableColumn id="5" name="Preconditions and data"/>
    <x:tableColumn id="6" name="Steps"/>
    <x:tableColumn id="7" name="Expected outcome"/>
    <x:tableColumn id="8" name="Status"/>
    <x:tableColumn id="9" name="Evidence or run ID"/>
    <x:tableColumn id="10" name="Defect and notes"/>
  </x:tableColumns>
  <x:tableStyleInfo name="TableStyleMedium2" showFirstColumn="0" showLastColumn="0" showRowStripes="1" showColumnStripes="0"/>
</x:table>
</file>

<file path=xl/tables/table4.xml><?xml version="1.0" encoding="utf-8"?>
<x:table xmlns:x="http://schemas.openxmlformats.org/spreadsheetml/2006/main" id="4" name="Tests_Unit" displayName="Tests_Unit" ref="A6:J149" headerRowCount="1" totalsRowCount="0" totalsRowShown="0">
  <x:autoFilter ref="A6:J149"/>
  <x:tableColumns count="10">
    <x:tableColumn id="1" name="Test ID"/>
    <x:tableColumn id="2" name="FSD and BRD reference"/>
    <x:tableColumn id="3" name="Priority and release"/>
    <x:tableColumn id="4" name="Scenario"/>
    <x:tableColumn id="5" name="Preconditions and data"/>
    <x:tableColumn id="6" name="Steps"/>
    <x:tableColumn id="7" name="Expected outcome"/>
    <x:tableColumn id="8" name="Status"/>
    <x:tableColumn id="9" name="Evidence or run ID"/>
    <x:tableColumn id="10" name="Defect and notes"/>
  </x:tableColumns>
  <x:tableStyleInfo name="TableStyleMedium2" showFirstColumn="0" showLastColumn="0" showRowStripes="1" showColumnStripes="0"/>
</x:table>
</file>

<file path=xl/tables/table5.xml><?xml version="1.0" encoding="utf-8"?>
<x:table xmlns:x="http://schemas.openxmlformats.org/spreadsheetml/2006/main" id="5" name="Tests_Integration" displayName="Tests_Integration" ref="A6:J24" headerRowCount="1" totalsRowCount="0" totalsRowShown="0">
  <x:autoFilter ref="A6:J24"/>
  <x:tableColumns count="10">
    <x:tableColumn id="1" name="Test ID"/>
    <x:tableColumn id="2" name="FSD and BRD reference"/>
    <x:tableColumn id="3" name="Priority and release"/>
    <x:tableColumn id="4" name="Scenario"/>
    <x:tableColumn id="5" name="Preconditions and data"/>
    <x:tableColumn id="6" name="Steps"/>
    <x:tableColumn id="7" name="Expected outcome"/>
    <x:tableColumn id="8" name="Status"/>
    <x:tableColumn id="9" name="Evidence or run ID"/>
    <x:tableColumn id="10" name="Defect and notes"/>
  </x:tableColumns>
  <x:tableStyleInfo name="TableStyleMedium2" showFirstColumn="0" showLastColumn="0" showRowStripes="1" showColumnStripes="0"/>
</x:table>
</file>

<file path=xl/tables/table6.xml><?xml version="1.0" encoding="utf-8"?>
<x:table xmlns:x="http://schemas.openxmlformats.org/spreadsheetml/2006/main" id="6" name="Tests_Smoke" displayName="Tests_Smoke" ref="A6:J18" headerRowCount="1" totalsRowCount="0" totalsRowShown="0">
  <x:autoFilter ref="A6:J18"/>
  <x:tableColumns count="10">
    <x:tableColumn id="1" name="Test ID"/>
    <x:tableColumn id="2" name="FSD and BRD reference"/>
    <x:tableColumn id="3" name="Priority and release"/>
    <x:tableColumn id="4" name="Scenario"/>
    <x:tableColumn id="5" name="Preconditions and data"/>
    <x:tableColumn id="6" name="Steps"/>
    <x:tableColumn id="7" name="Expected outcome"/>
    <x:tableColumn id="8" name="Status"/>
    <x:tableColumn id="9" name="Evidence or run ID"/>
    <x:tableColumn id="10" name="Defect and notes"/>
  </x:tableColumns>
  <x:tableStyleInfo name="TableStyleMedium2" showFirstColumn="0" showLastColumn="0" showRowStripes="1" showColumnStripes="0"/>
</x:table>
</file>

<file path=xl/tables/table7.xml><?xml version="1.0" encoding="utf-8"?>
<x:table xmlns:x="http://schemas.openxmlformats.org/spreadsheetml/2006/main" id="7" name="Tests_SecurityBoundaries" displayName="Tests_SecurityBoundaries" ref="A6:J51" headerRowCount="1" totalsRowCount="0" totalsRowShown="0">
  <x:autoFilter ref="A6:J51"/>
  <x:tableColumns count="10">
    <x:tableColumn id="1" name="Test ID"/>
    <x:tableColumn id="2" name="FSD and BRD reference"/>
    <x:tableColumn id="3" name="Priority and release"/>
    <x:tableColumn id="4" name="Scenario"/>
    <x:tableColumn id="5" name="Preconditions and data"/>
    <x:tableColumn id="6" name="Steps"/>
    <x:tableColumn id="7" name="Expected outcome"/>
    <x:tableColumn id="8" name="Status"/>
    <x:tableColumn id="9" name="Evidence or run ID"/>
    <x:tableColumn id="10" name="Defect and notes"/>
  </x:tableColumns>
  <x:tableStyleInfo name="TableStyleMedium2" showFirstColumn="0" showLastColumn="0" showRowStripes="1" showColumnStripes="0"/>
</x:table>
</file>

<file path=xl/tables/table8.xml><?xml version="1.0" encoding="utf-8"?>
<x:table xmlns:x="http://schemas.openxmlformats.org/spreadsheetml/2006/main" id="8" name="Tests_Scenarios" displayName="Tests_Scenarios" ref="A6:H276" headerRowCount="1" totalsRowCount="0" totalsRowShown="0">
  <x:autoFilter ref="A6:H276"/>
  <x:tableColumns count="8">
    <x:tableColumn id="1" name="Scenario ID"/>
    <x:tableColumn id="2" name="FSD reference"/>
    <x:tableColumn id="3" name="Scenario"/>
    <x:tableColumn id="4" name="Priority"/>
    <x:tableColumn id="5" name="Release"/>
    <x:tableColumn id="6" name="Component"/>
    <x:tableColumn id="7" name="Primary cases"/>
    <x:tableColumn id="8" name="Acceptance fixture"/>
  </x:tableColumns>
  <x:tableStyleInfo name="TableStyleMedium2" showFirstColumn="0" showLastColumn="0" showRowStripes="1" showColumnStripes="0"/>
</x:table>
</file>

<file path=xl/tables/table9.xml><?xml version="1.0" encoding="utf-8"?>
<x:table xmlns:x="http://schemas.openxmlformats.org/spreadsheetml/2006/main" id="9" name="Tests_Traceability" displayName="Tests_Traceability" ref="A6:G313" headerRowCount="1" totalsRowCount="0" totalsRowShown="0">
  <x:autoFilter ref="A6:G313"/>
  <x:tableColumns count="7">
    <x:tableColumn id="1" name="BRD parent"/>
    <x:tableColumn id="2" name="FSD reference"/>
    <x:tableColumn id="3" name="Priority"/>
    <x:tableColumn id="4" name="Release"/>
    <x:tableColumn id="5" name="Component"/>
    <x:tableColumn id="6" name="Primary cases"/>
    <x:tableColumn id="7" name="Requirement"/>
  </x:tableColumns>
  <x:tableStyleInfo name="TableStyleMedium2" showFirstColumn="0" showLastColumn="0" showRowStripes="1" showColumnStripes="0"/>
</x:table>
</file>

<file path=xl/tables/table10.xml><?xml version="1.0" encoding="utf-8"?>
<x:table xmlns:x="http://schemas.openxmlformats.org/spreadsheetml/2006/main" id="10" name="Tests_Fixtures" displayName="Tests_Fixtures" ref="A6:F16" headerRowCount="1" totalsRowCount="0" totalsRowShown="0">
  <x:autoFilter ref="A6:F16"/>
  <x:tableColumns count="6">
    <x:tableColumn id="1" name="Fixture ID"/>
    <x:tableColumn id="2" name="Fixture pack"/>
    <x:tableColumn id="3" name="Required data"/>
    <x:tableColumn id="4" name="Owner"/>
    <x:tableColumn id="5" name="Control"/>
    <x:tableColumn id="6" name="Expected us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52ef3230a5e40e3" /></Relationships>
</file>

<file path=xl/worksheets/_rels/sheet3.xml.rels>&#65279;<?xml version="1.0" encoding="utf-8"?><Relationships xmlns="http://schemas.openxmlformats.org/package/2006/relationships"><Relationship Type="http://schemas.openxmlformats.org/officeDocument/2006/relationships/table" Target="/xl/tables/table2.xml" Id="R99888342800f4e0b" /></Relationships>
</file>

<file path=xl/worksheets/_rels/sheet4.xml.rels>&#65279;<?xml version="1.0" encoding="utf-8"?><Relationships xmlns="http://schemas.openxmlformats.org/package/2006/relationships"><Relationship Type="http://schemas.openxmlformats.org/officeDocument/2006/relationships/table" Target="/xl/tables/table3.xml" Id="R0c6cae145cd84fa2" /></Relationships>
</file>

<file path=xl/worksheets/_rels/sheet5.xml.rels>&#65279;<?xml version="1.0" encoding="utf-8"?><Relationships xmlns="http://schemas.openxmlformats.org/package/2006/relationships"><Relationship Type="http://schemas.openxmlformats.org/officeDocument/2006/relationships/table" Target="/xl/tables/table4.xml" Id="Rf43f6eee8c484653" /></Relationships>
</file>

<file path=xl/worksheets/_rels/sheet6.xml.rels>&#65279;<?xml version="1.0" encoding="utf-8"?><Relationships xmlns="http://schemas.openxmlformats.org/package/2006/relationships"><Relationship Type="http://schemas.openxmlformats.org/officeDocument/2006/relationships/table" Target="/xl/tables/table5.xml" Id="Rfc1bcd069ee24482" /></Relationships>
</file>

<file path=xl/worksheets/_rels/sheet7.xml.rels>&#65279;<?xml version="1.0" encoding="utf-8"?><Relationships xmlns="http://schemas.openxmlformats.org/package/2006/relationships"><Relationship Type="http://schemas.openxmlformats.org/officeDocument/2006/relationships/table" Target="/xl/tables/table6.xml" Id="R1c2466c2f03443b9" /></Relationships>
</file>

<file path=xl/worksheets/_rels/sheet8.xml.rels>&#65279;<?xml version="1.0" encoding="utf-8"?><Relationships xmlns="http://schemas.openxmlformats.org/package/2006/relationships"><Relationship Type="http://schemas.openxmlformats.org/officeDocument/2006/relationships/table" Target="/xl/tables/table7.xml" Id="Rf0ce7d7cf8c446c3" /></Relationships>
</file>

<file path=xl/worksheets/_rels/sheet9.xml.rels>&#65279;<?xml version="1.0" encoding="utf-8"?><Relationships xmlns="http://schemas.openxmlformats.org/package/2006/relationships"><Relationship Type="http://schemas.openxmlformats.org/officeDocument/2006/relationships/table" Target="/xl/tables/table8.xml" Id="R24d9ddb91eef4092" /></Relationships>
</file>

<file path=xl/worksheets/_rels/sheet10.xml.rels>&#65279;<?xml version="1.0" encoding="utf-8"?><Relationships xmlns="http://schemas.openxmlformats.org/package/2006/relationships"><Relationship Type="http://schemas.openxmlformats.org/officeDocument/2006/relationships/table" Target="/xl/tables/table9.xml" Id="R06fda09459fd4a89" /></Relationships>
</file>

<file path=xl/worksheets/_rels/sheet11.xml.rels>&#65279;<?xml version="1.0" encoding="utf-8"?><Relationships xmlns="http://schemas.openxmlformats.org/package/2006/relationships"><Relationship Type="http://schemas.openxmlformats.org/officeDocument/2006/relationships/table" Target="/xl/tables/table10.xml" Id="R9fc2957e189a4aa3" /></Relationships>
</file>

<file path=xl/worksheets/sheet1.xml><?xml version="1.0" encoding="utf-8"?>
<x:worksheet xmlns:x="http://schemas.openxmlformats.org/spreadsheetml/2006/main">
  <x:sheetPr>
    <x:tabColor rgb="FF17283B"/>
  </x:sheetPr>
  <x:sheetViews>
    <x:sheetView showGridLines="0" workbookViewId="0">
      <x:pane ySplit="6" topLeftCell="A7" activePane="bottomLeft" state="frozen"/>
    </x:sheetView>
  </x:sheetViews>
  <x:sheetFormatPr defaultRowHeight="15"/>
  <x:cols>
    <x:col min="1" max="1" width="31"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ht="12" customHeight="1">
      <x:c r="A1" s="1"/>
      <x:c r="B1" s="1"/>
      <x:c r="C1" s="1"/>
      <x:c r="D1" s="1"/>
      <x:c r="E1" s="1"/>
      <x:c r="F1" s="1"/>
      <x:c r="G1" s="1"/>
      <x:c r="H1" s="1"/>
    </x:row>
    <x:row r="2" ht="32" customHeight="1">
      <x:c r="A2" s="2" t="str">
        <x:v>Impact Management Test Catalogue</x:v>
      </x:c>
      <x:c r="B2" s="1"/>
      <x:c r="C2" s="1"/>
      <x:c r="D2" s="1"/>
      <x:c r="E2" s="1"/>
      <x:c r="F2" s="1"/>
      <x:c r="G2" s="1"/>
      <x:c r="H2" s="1"/>
    </x:row>
    <x:row r="3">
      <x:c r="A3" s="1"/>
      <x:c r="B3" s="1"/>
      <x:c r="C3" s="1"/>
      <x:c r="D3" s="1"/>
      <x:c r="E3" s="1"/>
      <x:c r="F3" s="1"/>
      <x:c r="G3" s="1"/>
      <x:c r="H3" s="1"/>
    </x:row>
    <x:row r="4" ht="20" customHeight="1">
      <x:c r="A4" s="3" t="str">
        <x:v>Version 1.0 • 24 September 2026 • 307 requirement mappings</x:v>
      </x:c>
      <x:c r="B4" s="1"/>
      <x:c r="C4" s="1"/>
      <x:c r="D4" s="1"/>
      <x:c r="E4" s="1"/>
      <x:c r="F4" s="1"/>
      <x:c r="G4" s="1"/>
      <x:c r="H4" s="1"/>
    </x:row>
    <x:row r="5">
      <x:c r="A5" s="4"/>
      <x:c r="B5" s="4"/>
      <x:c r="C5" s="4"/>
      <x:c r="D5" s="4"/>
      <x:c r="E5" s="4"/>
      <x:c r="F5" s="4"/>
      <x:c r="G5" s="4"/>
      <x:c r="H5" s="4"/>
    </x:row>
    <x:row r="6" ht="34" customHeight="1">
      <x:c r="A6" s="7" t="str">
        <x:v>Suite</x:v>
      </x:c>
      <x:c r="B6" s="7" t="str">
        <x:v>Designed</x:v>
      </x:c>
      <x:c r="C6" s="7" t="str">
        <x:v>Pass</x:v>
      </x:c>
      <x:c r="D6" s="7" t="str">
        <x:v>Fail</x:v>
      </x:c>
      <x:c r="E6" s="7" t="str">
        <x:v>Blocked</x:v>
      </x:c>
      <x:c r="F6" s="7" t="str">
        <x:v>Not run</x:v>
      </x:c>
      <x:c r="G6" s="7" t="str">
        <x:v>In progress</x:v>
      </x:c>
      <x:c r="H6" s="7" t="str">
        <x:v>Not applicable</x:v>
      </x:c>
    </x:row>
    <x:row r="7" ht="31" customHeight="1">
      <x:c r="A7" s="1" t="str">
        <x:v>Functional</x:v>
      </x:c>
      <x:c r="B7" s="1" t="n">
        <x:f>ROWS('Functional'!$A$7:$A$546)</x:f>
        <x:v>540</x:v>
      </x:c>
      <x:c r="C7" s="1" t="n">
        <x:f>COUNTIF('Functional'!$H$7:$H$546,"Pass")</x:f>
        <x:v>0</x:v>
      </x:c>
      <x:c r="D7" s="1" t="n">
        <x:f>COUNTIF('Functional'!$H$7:$H$546,"Fail")</x:f>
        <x:v>0</x:v>
      </x:c>
      <x:c r="E7" s="1" t="n">
        <x:f>COUNTIF('Functional'!$H$7:$H$546,"Blocked")</x:f>
        <x:v>0</x:v>
      </x:c>
      <x:c r="F7" s="1" t="n">
        <x:f>COUNTIF('Functional'!$H$7:$H$546,"Not run")</x:f>
        <x:v>540</x:v>
      </x:c>
      <x:c r="G7" s="1" t="n">
        <x:f>COUNTIF('Functional'!$H$7:$H$546,"In progress")</x:f>
        <x:v>0</x:v>
      </x:c>
      <x:c r="H7" s="1" t="n">
        <x:f>COUNTIF('Functional'!$H$7:$H$546,"Not applicable")</x:f>
        <x:v>0</x:v>
      </x:c>
    </x:row>
    <x:row r="8" ht="31" customHeight="1">
      <x:c r="A8" s="1" t="str">
        <x:v>Nonfunctional</x:v>
      </x:c>
      <x:c r="B8" s="1" t="n">
        <x:f>ROWS('Nonfunctional'!$A$7:$A$43)</x:f>
        <x:v>37</x:v>
      </x:c>
      <x:c r="C8" s="1" t="n">
        <x:f>COUNTIF('Nonfunctional'!$H$7:$H$43,"Pass")</x:f>
        <x:v>0</x:v>
      </x:c>
      <x:c r="D8" s="1" t="n">
        <x:f>COUNTIF('Nonfunctional'!$H$7:$H$43,"Fail")</x:f>
        <x:v>0</x:v>
      </x:c>
      <x:c r="E8" s="1" t="n">
        <x:f>COUNTIF('Nonfunctional'!$H$7:$H$43,"Blocked")</x:f>
        <x:v>0</x:v>
      </x:c>
      <x:c r="F8" s="1" t="n">
        <x:f>COUNTIF('Nonfunctional'!$H$7:$H$43,"Not run")</x:f>
        <x:v>37</x:v>
      </x:c>
      <x:c r="G8" s="1" t="n">
        <x:f>COUNTIF('Nonfunctional'!$H$7:$H$43,"In progress")</x:f>
        <x:v>0</x:v>
      </x:c>
      <x:c r="H8" s="1" t="n">
        <x:f>COUNTIF('Nonfunctional'!$H$7:$H$43,"Not applicable")</x:f>
        <x:v>0</x:v>
      </x:c>
    </x:row>
    <x:row r="9" ht="31" customHeight="1">
      <x:c r="A9" s="1" t="str">
        <x:v>Journeys</x:v>
      </x:c>
      <x:c r="B9" s="1" t="n">
        <x:f>ROWS('Journeys'!$A$7:$A$36)</x:f>
        <x:v>30</x:v>
      </x:c>
      <x:c r="C9" s="1" t="n">
        <x:f>COUNTIF('Journeys'!$H$7:$H$36,"Pass")</x:f>
        <x:v>0</x:v>
      </x:c>
      <x:c r="D9" s="1" t="n">
        <x:f>COUNTIF('Journeys'!$H$7:$H$36,"Fail")</x:f>
        <x:v>0</x:v>
      </x:c>
      <x:c r="E9" s="1" t="n">
        <x:f>COUNTIF('Journeys'!$H$7:$H$36,"Blocked")</x:f>
        <x:v>0</x:v>
      </x:c>
      <x:c r="F9" s="1" t="n">
        <x:f>COUNTIF('Journeys'!$H$7:$H$36,"Not run")</x:f>
        <x:v>30</x:v>
      </x:c>
      <x:c r="G9" s="1" t="n">
        <x:f>COUNTIF('Journeys'!$H$7:$H$36,"In progress")</x:f>
        <x:v>0</x:v>
      </x:c>
      <x:c r="H9" s="1" t="n">
        <x:f>COUNTIF('Journeys'!$H$7:$H$36,"Not applicable")</x:f>
        <x:v>0</x:v>
      </x:c>
    </x:row>
    <x:row r="10" ht="31" customHeight="1">
      <x:c r="A10" s="1" t="str">
        <x:v>Unit</x:v>
      </x:c>
      <x:c r="B10" s="1" t="n">
        <x:f>ROWS('Unit'!$A$7:$A$149)</x:f>
        <x:v>143</x:v>
      </x:c>
      <x:c r="C10" s="1" t="n">
        <x:f>COUNTIF('Unit'!$H$7:$H$149,"Pass")</x:f>
        <x:v>0</x:v>
      </x:c>
      <x:c r="D10" s="1" t="n">
        <x:f>COUNTIF('Unit'!$H$7:$H$149,"Fail")</x:f>
        <x:v>0</x:v>
      </x:c>
      <x:c r="E10" s="1" t="n">
        <x:f>COUNTIF('Unit'!$H$7:$H$149,"Blocked")</x:f>
        <x:v>0</x:v>
      </x:c>
      <x:c r="F10" s="1" t="n">
        <x:f>COUNTIF('Unit'!$H$7:$H$149,"Not run")</x:f>
        <x:v>143</x:v>
      </x:c>
      <x:c r="G10" s="1" t="n">
        <x:f>COUNTIF('Unit'!$H$7:$H$149,"In progress")</x:f>
        <x:v>0</x:v>
      </x:c>
      <x:c r="H10" s="1" t="n">
        <x:f>COUNTIF('Unit'!$H$7:$H$149,"Not applicable")</x:f>
        <x:v>0</x:v>
      </x:c>
    </x:row>
    <x:row r="11" ht="31" customHeight="1">
      <x:c r="A11" s="1" t="str">
        <x:v>Integration</x:v>
      </x:c>
      <x:c r="B11" s="1" t="n">
        <x:f>ROWS('Integration'!$A$7:$A$24)</x:f>
        <x:v>18</x:v>
      </x:c>
      <x:c r="C11" s="1" t="n">
        <x:f>COUNTIF('Integration'!$H$7:$H$24,"Pass")</x:f>
        <x:v>0</x:v>
      </x:c>
      <x:c r="D11" s="1" t="n">
        <x:f>COUNTIF('Integration'!$H$7:$H$24,"Fail")</x:f>
        <x:v>0</x:v>
      </x:c>
      <x:c r="E11" s="1" t="n">
        <x:f>COUNTIF('Integration'!$H$7:$H$24,"Blocked")</x:f>
        <x:v>0</x:v>
      </x:c>
      <x:c r="F11" s="1" t="n">
        <x:f>COUNTIF('Integration'!$H$7:$H$24,"Not run")</x:f>
        <x:v>18</x:v>
      </x:c>
      <x:c r="G11" s="1" t="n">
        <x:f>COUNTIF('Integration'!$H$7:$H$24,"In progress")</x:f>
        <x:v>0</x:v>
      </x:c>
      <x:c r="H11" s="1" t="n">
        <x:f>COUNTIF('Integration'!$H$7:$H$24,"Not applicable")</x:f>
        <x:v>0</x:v>
      </x:c>
    </x:row>
    <x:row r="12" ht="31" customHeight="1">
      <x:c r="A12" s="1" t="str">
        <x:v>Smoke</x:v>
      </x:c>
      <x:c r="B12" s="1" t="n">
        <x:f>ROWS('Smoke'!$A$7:$A$18)</x:f>
        <x:v>12</x:v>
      </x:c>
      <x:c r="C12" s="1" t="n">
        <x:f>COUNTIF('Smoke'!$H$7:$H$18,"Pass")</x:f>
        <x:v>0</x:v>
      </x:c>
      <x:c r="D12" s="1" t="n">
        <x:f>COUNTIF('Smoke'!$H$7:$H$18,"Fail")</x:f>
        <x:v>0</x:v>
      </x:c>
      <x:c r="E12" s="1" t="n">
        <x:f>COUNTIF('Smoke'!$H$7:$H$18,"Blocked")</x:f>
        <x:v>0</x:v>
      </x:c>
      <x:c r="F12" s="1" t="n">
        <x:f>COUNTIF('Smoke'!$H$7:$H$18,"Not run")</x:f>
        <x:v>12</x:v>
      </x:c>
      <x:c r="G12" s="1" t="n">
        <x:f>COUNTIF('Smoke'!$H$7:$H$18,"In progress")</x:f>
        <x:v>0</x:v>
      </x:c>
      <x:c r="H12" s="1" t="n">
        <x:f>COUNTIF('Smoke'!$H$7:$H$18,"Not applicable")</x:f>
        <x:v>0</x:v>
      </x:c>
    </x:row>
    <x:row r="13" ht="31" customHeight="1">
      <x:c r="A13" s="1" t="str">
        <x:v>Security Boundaries</x:v>
      </x:c>
      <x:c r="B13" s="1" t="n">
        <x:f>ROWS('Security Boundaries'!$A$7:$A$51)</x:f>
        <x:v>45</x:v>
      </x:c>
      <x:c r="C13" s="1" t="n">
        <x:f>COUNTIF('Security Boundaries'!$H$7:$H$51,"Pass")</x:f>
        <x:v>0</x:v>
      </x:c>
      <x:c r="D13" s="1" t="n">
        <x:f>COUNTIF('Security Boundaries'!$H$7:$H$51,"Fail")</x:f>
        <x:v>0</x:v>
      </x:c>
      <x:c r="E13" s="1" t="n">
        <x:f>COUNTIF('Security Boundaries'!$H$7:$H$51,"Blocked")</x:f>
        <x:v>0</x:v>
      </x:c>
      <x:c r="F13" s="1" t="n">
        <x:f>COUNTIF('Security Boundaries'!$H$7:$H$51,"Not run")</x:f>
        <x:v>45</x:v>
      </x:c>
      <x:c r="G13" s="1" t="n">
        <x:f>COUNTIF('Security Boundaries'!$H$7:$H$51,"In progress")</x:f>
        <x:v>0</x:v>
      </x:c>
      <x:c r="H13" s="1" t="n">
        <x:f>COUNTIF('Security Boundaries'!$H$7:$H$51,"Not applicable")</x:f>
        <x:v>0</x:v>
      </x:c>
    </x:row>
    <x:row r="14" ht="32" customHeight="1">
      <x:c r="A14" s="15" t="str">
        <x:v>Total designed cases</x:v>
      </x:c>
      <x:c r="B14" s="15" t="n">
        <x:f>SUM(B7:B13)</x:f>
        <x:v>825</x:v>
      </x:c>
      <x:c r="C14" s="15" t="n">
        <x:f>SUM(C7:C13)</x:f>
        <x:v>0</x:v>
      </x:c>
      <x:c r="D14" s="15" t="n">
        <x:f>SUM(D7:D13)</x:f>
        <x:v>0</x:v>
      </x:c>
      <x:c r="E14" s="15" t="n">
        <x:f>SUM(E7:E13)</x:f>
        <x:v>0</x:v>
      </x:c>
      <x:c r="F14" s="15" t="n">
        <x:f>SUM(F7:F13)</x:f>
        <x:v>825</x:v>
      </x:c>
      <x:c r="G14" s="15" t="n">
        <x:f>SUM(G7:G13)</x:f>
        <x:v>0</x:v>
      </x:c>
      <x:c r="H14" s="15" t="n">
        <x:f>SUM(H7:H13)</x:f>
        <x:v>0</x:v>
      </x:c>
    </x:row>
    <x:row r="15">
      <x:c r="A15" s="1"/>
      <x:c r="B15" s="1"/>
      <x:c r="C15" s="1"/>
      <x:c r="D15" s="1"/>
      <x:c r="E15" s="1"/>
      <x:c r="F15" s="1"/>
      <x:c r="G15" s="1"/>
      <x:c r="H15" s="1"/>
    </x:row>
    <x:row r="16">
      <x:c r="A16" s="1"/>
      <x:c r="B16" s="1"/>
      <x:c r="C16" s="1"/>
      <x:c r="D16" s="1"/>
      <x:c r="E16" s="1"/>
      <x:c r="F16" s="1"/>
      <x:c r="G16" s="1"/>
      <x:c r="H16" s="1"/>
    </x:row>
    <x:row r="17" ht="24" customHeight="1">
      <x:c r="A17" s="1" t="str">
        <x:v>Product tests have not run.</x:v>
      </x:c>
      <x:c r="B17" s="1"/>
      <x:c r="C17" s="1"/>
      <x:c r="D17" s="1"/>
      <x:c r="E17" s="1"/>
      <x:c r="F17" s="1"/>
      <x:c r="G17" s="1"/>
      <x:c r="H17" s="1"/>
    </x:row>
    <x:row r="18" ht="24" customHeight="1">
      <x:c r="A18" s="1" t="str">
        <x:v>143 tests passed against the included design reference.</x:v>
      </x:c>
      <x:c r="B18" s="1"/>
      <x:c r="C18" s="1"/>
      <x:c r="D18" s="1"/>
      <x:c r="E18" s="1"/>
      <x:c r="F18" s="1"/>
      <x:c r="G18" s="1"/>
      <x:c r="H18" s="1"/>
    </x:row>
    <x:row r="19" ht="24" customHeight="1">
      <x:c r="A19" s="1" t="str">
        <x:v>Integration and smoke need a deployed API and provisioned fixtures.</x:v>
      </x:c>
      <x:c r="B19" s="1"/>
      <x:c r="C19" s="1"/>
      <x:c r="D19" s="1"/>
      <x:c r="E19" s="1"/>
      <x:c r="F19" s="1"/>
      <x:c r="G19" s="1"/>
      <x:c r="H19" s="1"/>
    </x:row>
    <x:row r="20" ht="24" customHeight="1">
      <x:c r="A20" s="1" t="str">
        <x:v>Edit yellow Status, Evidence and Defect cells after execution.</x:v>
      </x:c>
      <x:c r="B20" s="1"/>
      <x:c r="C20" s="1"/>
      <x:c r="D20" s="1"/>
      <x:c r="E20" s="1"/>
      <x:c r="F20" s="1"/>
      <x:c r="G20" s="1"/>
      <x:c r="H20" s="1"/>
    </x:row>
    <x:row r="21" ht="24" customHeight="1">
      <x:c r="A21" s="1" t="str">
        <x:v>Case details preserve FSD priorities, releases and recovery requirements.</x:v>
      </x:c>
      <x:c r="B21" s="1"/>
      <x:c r="C21" s="1"/>
      <x:c r="D21" s="1"/>
      <x:c r="E21" s="1"/>
      <x:c r="F21" s="1"/>
      <x:c r="G21" s="1"/>
      <x:c r="H21" s="1"/>
    </x:row>
    <x:row r="22" ht="24" customHeight="1">
      <x:c r="A22" s="1" t="str">
        <x:v>Reference-only passes are recorded in Unit evidence, not product status.</x:v>
      </x:c>
      <x:c r="B22" s="1"/>
      <x:c r="C22" s="1"/>
      <x:c r="D22" s="1"/>
      <x:c r="E22" s="1"/>
      <x:c r="F22" s="1"/>
      <x:c r="G22" s="1"/>
      <x:c r="H22" s="1"/>
    </x:row>
    <x:row r="23">
      <x:c r="A23" s="1"/>
      <x:c r="B23" s="1"/>
      <x:c r="C23" s="1"/>
      <x:c r="D23" s="1"/>
      <x:c r="E23" s="1"/>
      <x:c r="F23" s="1"/>
      <x:c r="G23" s="1"/>
      <x:c r="H23" s="1"/>
    </x:row>
    <x:row r="24">
      <x:c r="A24" s="1"/>
      <x:c r="B24" s="1"/>
      <x:c r="C24" s="1"/>
      <x:c r="D24" s="1"/>
      <x:c r="E24" s="1"/>
      <x:c r="F24" s="1"/>
      <x:c r="G24" s="1"/>
      <x:c r="H24" s="1"/>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24" hidden="0" customWidth="1"/>
    <x:col min="2" max="2" width="38" hidden="0" customWidth="1"/>
    <x:col min="3" max="3" width="20" hidden="0" customWidth="1"/>
    <x:col min="4" max="4" width="45" hidden="0" customWidth="1"/>
    <x:col min="5" max="5" width="75" hidden="0" customWidth="1"/>
    <x:col min="6" max="6" width="115" hidden="0" customWidth="1"/>
    <x:col min="7" max="7" width="115" hidden="0" customWidth="1"/>
    <x:col min="8" max="8" width="17" hidden="0" customWidth="1"/>
    <x:col min="9" max="9" width="60" hidden="0" customWidth="1"/>
    <x:col min="10" max="10" width="64" hidden="0" customWidth="1"/>
  </x:cols>
  <x:sheetData>
    <x:row r="1" ht="12" customHeight="1">
      <x:c r="A1" s="1"/>
      <x:c r="B1" s="1"/>
      <x:c r="C1" s="1"/>
      <x:c r="D1" s="1"/>
      <x:c r="E1" s="1"/>
      <x:c r="F1" s="1"/>
      <x:c r="G1" s="1"/>
      <x:c r="H1" s="1"/>
      <x:c r="I1" s="1"/>
      <x:c r="J1" s="1"/>
    </x:row>
    <x:row r="2" ht="32" customHeight="1">
      <x:c r="A2" s="2" t="str">
        <x:v>Functional test cases</x:v>
      </x:c>
      <x:c r="B2" s="1"/>
      <x:c r="C2" s="1"/>
      <x:c r="D2" s="1"/>
      <x:c r="E2" s="1"/>
      <x:c r="F2" s="1"/>
      <x:c r="G2" s="1"/>
      <x:c r="H2" s="1"/>
      <x:c r="I2" s="1"/>
      <x:c r="J2" s="1"/>
    </x:row>
    <x:row r="3">
      <x:c r="A3" s="1"/>
      <x:c r="B3" s="1"/>
      <x:c r="C3" s="1"/>
      <x:c r="D3" s="1"/>
      <x:c r="E3" s="1"/>
      <x:c r="F3" s="1"/>
      <x:c r="G3" s="1"/>
      <x:c r="H3" s="1"/>
      <x:c r="I3" s="1"/>
      <x:c r="J3" s="1"/>
    </x:row>
    <x:row r="4" ht="20" customHeight="1">
      <x:c r="A4" s="3" t="str">
        <x:v>540 cases • All product execution statuses start at Not run</x:v>
      </x:c>
      <x:c r="B4" s="1"/>
      <x:c r="C4" s="1"/>
      <x:c r="D4" s="1"/>
      <x:c r="E4" s="1"/>
      <x:c r="F4" s="1"/>
      <x:c r="G4" s="1"/>
      <x:c r="H4" s="1"/>
      <x:c r="I4" s="1"/>
      <x:c r="J4" s="1"/>
    </x:row>
    <x:row r="5">
      <x:c r="A5" s="4"/>
      <x:c r="B5" s="4"/>
      <x:c r="C5" s="4"/>
      <x:c r="D5" s="4"/>
      <x:c r="E5" s="4"/>
      <x:c r="F5" s="4"/>
      <x:c r="G5" s="4"/>
      <x:c r="H5" s="4"/>
      <x:c r="I5" s="4"/>
      <x:c r="J5" s="4"/>
    </x:row>
    <x:row r="6" ht="34" customHeight="1">
      <x:c r="A6" s="9" t="str">
        <x:v>Test ID</x:v>
      </x:c>
      <x:c r="B6" s="9" t="str">
        <x:v>FSD and BRD reference</x:v>
      </x:c>
      <x:c r="C6" s="9" t="str">
        <x:v>Priority and release</x:v>
      </x:c>
      <x:c r="D6" s="9" t="str">
        <x:v>Scenario</x:v>
      </x:c>
      <x:c r="E6" s="9" t="str">
        <x:v>Preconditions and data</x:v>
      </x:c>
      <x:c r="F6" s="9" t="str">
        <x:v>Steps</x:v>
      </x:c>
      <x:c r="G6" s="9" t="str">
        <x:v>Expected outcome</x:v>
      </x:c>
      <x:c r="H6" s="9" t="str">
        <x:v>Status</x:v>
      </x:c>
      <x:c r="I6" s="9" t="str">
        <x:v>Evidence or run ID</x:v>
      </x:c>
      <x:c r="J6" s="9" t="str">
        <x:v>Defect and notes</x:v>
      </x:c>
    </x:row>
    <x:row r="7" ht="103" customHeight="1">
      <x:c r="A7" s="11" t="str">
        <x:v>TC-TEN-001-01</x:v>
      </x:c>
      <x:c r="B7" s="11" t="str">
        <x:v>FR-TEN-001 / BR-TEN-001</x:v>
      </x:c>
      <x:c r="C7" s="11" t="str">
        <x:v>P0 / R1</x:v>
      </x:c>
      <x:c r="D7" s="11" t="str">
        <x:v>Tenant lifecycle intended outcome</x:v>
      </x:c>
      <x:c r="E7" s="11" t="str">
        <x:v>Synthetic tenant A; tenant B hidden markers; eligible actor with explicit capability, scope, purpose and current assurance. Set up the source acceptance fixture: Suspend tenant A with a running import and a report schedule; accepted rows remain recorded, future writes stop at the cancellation boundary and tenant B continues normally.</x:v>
      </x:c>
      <x:c r="F7" s="11" t="str">
        <x:v>1. Record current object revisions, policy and safe audit cursor. 2. Perform the specified interaction: An operator creates a requested tenant with an owner invitation and selected policy profile. Activation checks verified owner, recovery contact, region, retention and identity settings. Suspension previews scheduled writes, then pauses them while preserving policy permitted support and exit access. 3. Inspect UI, canonical API read and audit/receipt for the resulting version. 4. Apply the acceptance example: Suspend tenant A with a running import and a report schedule; accepted rows remain recorded, future writes stop at the cancellation boundary and tenant B continues normally.</x:v>
      </x:c>
      <x:c r="G7" s="11" t="str">
        <x:v>Suspend tenant A with a running import and a report schedule; accepted rows remain recorded, future writes stop at the cancellation boundary and tenant B continues normally. Required behaviour is preserved: An operator creates a requested tenant with an owner invitation and selected policy profile. Activation checks verified owner, recovery contact, region, retention and identity settings. Suspension previews scheduled writes, then pauses them while preserving policy permitted support and exit access.</x:v>
      </x:c>
      <x:c r="H7" s="13" t="str">
        <x:v>Not run</x:v>
      </x:c>
      <x:c r="I7" s="13" t="str"/>
      <x:c r="J7" s="13" t="str">
        <x:v>Primary owning component C02. Execute relevant channels; record actual fixture IDs and observed evidence.</x:v>
      </x:c>
    </x:row>
    <x:row r="8" ht="77" customHeight="1">
      <x:c r="A8" s="11" t="str">
        <x:v>TC-TEN-001-02</x:v>
      </x:c>
      <x:c r="B8" s="11" t="str">
        <x:v>FR-TEN-001 / BR-TEN-001 / SC01–SC08</x:v>
      </x:c>
      <x:c r="C8" s="11" t="str">
        <x:v>P0 / R1</x:v>
      </x:c>
      <x:c r="D8" s="11" t="str">
        <x:v>Tenant lifecycle validation and recovery</x:v>
      </x:c>
      <x:c r="E8" s="11" t="str">
        <x:v>Start from the same eligible fixture and retain the submitted draft; record the last committed head and receipt. Introduce the boundary or failure stated below.</x:v>
      </x:c>
      <x:c r="F8" s="11" t="str">
        <x:v>1. Exercise each independent condition in the validation contract, as separate recorded variants: Reactivation rechecks expired grants and source credentials; it does not replay queued writes automatically. Closure follows the exit workflow and cannot skip holds. 2. Inspect the safe error/state and authorised recovery actions. 3. Correct the condition and retry under current authority and expected revision. 4. Compare durable effects and audit history with the original baseline.</x:v>
      </x:c>
      <x:c r="G8" s="11" t="str">
        <x:v>Reactivation rechecks expired grants and source credentials; it does not replay queued writes automatically. Closure follows the exit workflow and cannot skip holds. Ordinary failed saves have no partial effect. Explicit bulk partial modes account for committed and unprocessed items. A retry does not duplicate the intended business effect.</x:v>
      </x:c>
      <x:c r="H8" s="13" t="str">
        <x:v>Not run</x:v>
      </x:c>
      <x:c r="I8" s="13" t="str"/>
      <x:c r="J8" s="13" t="str">
        <x:v>Expand multi-condition variants in the run record. Required negative coverage, not a claim that one assertion covers every security attack.</x:v>
      </x:c>
    </x:row>
    <x:row r="9" ht="103" customHeight="1">
      <x:c r="A9" s="11" t="str">
        <x:v>TC-TEN-002-01</x:v>
      </x:c>
      <x:c r="B9" s="11" t="str">
        <x:v>FR-TEN-002 / BR-TEN-002</x:v>
      </x:c>
      <x:c r="C9" s="11" t="str">
        <x:v>P0 / R1</x:v>
      </x:c>
      <x:c r="D9" s="11" t="str">
        <x:v>Organisation structures intended outcome</x:v>
      </x:c>
      <x:c r="E9" s="11" t="str">
        <x:v>Synthetic tenant A; tenant B hidden markers; eligible actor with explicit capability, scope, purpose and current assurance. Set up the source acceptance fixture: Move project P from office East to West on 1 July; June retains East and the preview identifies every access grant that would change.</x:v>
      </x:c>
      <x:c r="F9" s="11" t="str">
        <x:v>1. Record current object revisions, policy and safe audit cursor. 2. Perform the specified interaction: An organisation administrator creates a unit with a stable code and optional parent. Moving a unit or project produces a preview of reporting membership, explicit grants and future obligations. Confirming applies the effective dated change and records the old parent. 3. Inspect UI, canonical API read and audit/receipt for the resulting version. 4. Apply the acceptance example: Move project P from office East to West on 1 July; June retains East and the preview identifies every access grant that would change.</x:v>
      </x:c>
      <x:c r="G9" s="11" t="str">
        <x:v>Move project P from office East to West on 1 July; June retains East and the preview identifies every access grant that would change. Required behaviour is preserved: An organisation administrator creates a unit with a stable code and optional parent. Moving a unit or project produces a preview of reporting membership, explicit grants and future obligations. Confirming applies the effective dated change and records the old parent.</x:v>
      </x:c>
      <x:c r="H9" s="13" t="str">
        <x:v>Not run</x:v>
      </x:c>
      <x:c r="I9" s="13" t="str"/>
      <x:c r="J9" s="13" t="str">
        <x:v>Primary owning component C02. Execute relevant channels; record actual fixture IDs and observed evidence.</x:v>
      </x:c>
    </x:row>
    <x:row r="10" ht="77" customHeight="1">
      <x:c r="A10" s="11" t="str">
        <x:v>TC-TEN-002-02</x:v>
      </x:c>
      <x:c r="B10" s="11" t="str">
        <x:v>FR-TEN-002 / BR-TEN-002 / SC01–SC08</x:v>
      </x:c>
      <x:c r="C10" s="11" t="str">
        <x:v>P0 / R1</x:v>
      </x:c>
      <x:c r="D10" s="11" t="str">
        <x:v>Organisation structures validation and recovery</x:v>
      </x:c>
      <x:c r="E10" s="11" t="str">
        <x:v>Start from the same eligible fixture and retain the submitted draft; record the last committed head and receipt. Introduce the boundary or failure stated below.</x:v>
      </x:c>
      <x:c r="F10" s="11" t="str">
        <x:v>1. Exercise each independent condition in the validation contract, as separate recorded variants: Reject self parenting and descendant cycles. Existing grants change only through an explicit reviewed access change; historical reports retain their original organisational context. 2. Inspect the safe error/state and authorised recovery actions. 3. Correct the condition and retry under current authority and expected revision. 4. Compare durable effects and audit history with the original baseline.</x:v>
      </x:c>
      <x:c r="G10" s="11" t="str">
        <x:v>Reject self parenting and descendant cycles. Existing grants change only through an explicit reviewed access change; historical reports retain their original organisational context. Ordinary failed saves have no partial effect. Explicit bulk partial modes account for committed and unprocessed items. A retry does not duplicate the intended business effect.</x:v>
      </x:c>
      <x:c r="H10" s="13" t="str">
        <x:v>Not run</x:v>
      </x:c>
      <x:c r="I10" s="13" t="str"/>
      <x:c r="J10" s="13" t="str">
        <x:v>Expand multi-condition variants in the run record. Required negative coverage, not a claim that one assertion covers every security attack.</x:v>
      </x:c>
    </x:row>
    <x:row r="11" ht="103" customHeight="1">
      <x:c r="A11" s="11" t="str">
        <x:v>TC-TEN-003-01</x:v>
      </x:c>
      <x:c r="B11" s="11" t="str">
        <x:v>FR-TEN-003 / BR-TEN-003</x:v>
      </x:c>
      <x:c r="C11" s="11" t="str">
        <x:v>P0 / R1</x:v>
      </x:c>
      <x:c r="D11" s="11" t="str">
        <x:v>Multiple memberships intended outcome</x:v>
      </x:c>
      <x:c r="E11" s="11" t="str">
        <x:v>Synthetic tenant A; tenant B hidden markers; eligible actor with explicit capability, scope, purpose and current assurance. Set up the source acceptance fixture: Hold reviewer rights in A and collector rights in B; approve from an A tab and verify the B tab cannot reuse that permission or source reference.</x:v>
      </x:c>
      <x:c r="F11" s="11" t="str">
        <x:v>1. Record current object revisions, policy and safe audit cursor. 2. Perform the specified interaction: The tenant selector lists active memberships and their display identities. Opening a second tenant leaves existing tabs bound to their original tenant. Each command carries the originating tenant context and is rejected if the selected resource belongs elsewhere. 3. Inspect UI, canonical API read and audit/receipt for the resulting version. 4. Apply the acceptance example: Hold reviewer rights in A and collector rights in B; approve from an A tab and verify the B tab cannot reuse that permission or source reference.</x:v>
      </x:c>
      <x:c r="G11" s="11" t="str">
        <x:v>Hold reviewer rights in A and collector rights in B; approve from an A tab and verify the B tab cannot reuse that permission or source reference. Required behaviour is preserved: The tenant selector lists active memberships and their display identities. Opening a second tenant leaves existing tabs bound to their original tenant. Each command carries the originating tenant context and is rejected if the selected resource belongs elsewhere.</x:v>
      </x:c>
      <x:c r="H11" s="13" t="str">
        <x:v>Not run</x:v>
      </x:c>
      <x:c r="I11" s="13" t="str"/>
      <x:c r="J11" s="13" t="str">
        <x:v>Primary owning component C02. Execute relevant channels; record actual fixture IDs and observed evidence.</x:v>
      </x:c>
    </x:row>
    <x:row r="12" ht="77" customHeight="1">
      <x:c r="A12" s="11" t="str">
        <x:v>TC-TEN-003-02</x:v>
      </x:c>
      <x:c r="B12" s="11" t="str">
        <x:v>FR-TEN-003 / BR-TEN-003 / SC01–SC08</x:v>
      </x:c>
      <x:c r="C12" s="11" t="str">
        <x:v>P0 / R1</x:v>
      </x:c>
      <x:c r="D12" s="11" t="str">
        <x:v>Multiple memberships validation and recovery</x:v>
      </x:c>
      <x:c r="E12" s="11" t="str">
        <x:v>Start from the same eligible fixture and retain the submitted draft; record the last committed head and receipt. Introduce the boundary or failure stated below.</x:v>
      </x:c>
      <x:c r="F12" s="11" t="str">
        <x:v>1. Exercise each independent condition in the validation contract, as separate recorded variants: Clear tenant scoped recent items and unsent AI context when switching the same tab. Browser back navigation reauthorises the historic page rather than restoring protected cached content. 2. Inspect the safe error/state and authorised recovery actions. 3. Correct the condition and retry under current authority and expected revision. 4. Compare durable effects and audit history with the original baseline.</x:v>
      </x:c>
      <x:c r="G12" s="11" t="str">
        <x:v>Clear tenant scoped recent items and unsent AI context when switching the same tab. Browser back navigation reauthorises the historic page rather than restoring protected cached content. Ordinary failed saves have no partial effect. Explicit bulk partial modes account for committed and unprocessed items. A retry does not duplicate the intended business effect.</x:v>
      </x:c>
      <x:c r="H12" s="13" t="str">
        <x:v>Not run</x:v>
      </x:c>
      <x:c r="I12" s="13" t="str"/>
      <x:c r="J12" s="13" t="str">
        <x:v>Expand multi-condition variants in the run record. Required negative coverage, not a claim that one assertion covers every security attack.</x:v>
      </x:c>
    </x:row>
    <x:row r="13" ht="103" customHeight="1">
      <x:c r="A13" s="11" t="str">
        <x:v>TC-TEN-004-01</x:v>
      </x:c>
      <x:c r="B13" s="11" t="str">
        <x:v>FR-TEN-004 / BR-TEN-004</x:v>
      </x:c>
      <x:c r="C13" s="11" t="str">
        <x:v>P1 / R1</x:v>
      </x:c>
      <x:c r="D13" s="11" t="str">
        <x:v>Configuration and terminology intended outcome</x:v>
      </x:c>
      <x:c r="E13" s="11" t="str">
        <x:v>Synthetic tenant A; tenant B hidden markers; eligible actor with explicit capability, scope, purpose and current assurance. Set up the source acceptance fixture: Rename an output label and change the next fiscal year start; prior snapshot labels and period membership remain reconstructable.</x:v>
      </x:c>
      <x:c r="F13" s="11" t="str">
        <x:v>1. Record current object revisions, policy and safe audit cursor. 2. Perform the specified interaction: A configuration editor proposes labels, code lists, reporting calendar, time zone or unit changes and chooses an effective date. Preview lists dependent schedules and drafts. Approved versions apply prospectively; historical objects retain the version they used. 3. Inspect UI, canonical API read and audit/receipt for the resulting version. 4. Apply the acceptance example: Rename an output label and change the next fiscal year start; prior snapshot labels and period membership remain reconstructable.</x:v>
      </x:c>
      <x:c r="G13" s="11" t="str">
        <x:v>Rename an output label and change the next fiscal year start; prior snapshot labels and period membership remain reconstructable. Required behaviour is preserved: A configuration editor proposes labels, code lists, reporting calendar, time zone or unit changes and chooses an effective date. Preview lists dependent schedules and drafts. Approved versions apply prospectively; historical objects retain the version they used.</x:v>
      </x:c>
      <x:c r="H13" s="13" t="str">
        <x:v>Not run</x:v>
      </x:c>
      <x:c r="I13" s="13" t="str"/>
      <x:c r="J13" s="13" t="str">
        <x:v>Primary owning component C02. Execute relevant channels; record actual fixture IDs and observed evidence.</x:v>
      </x:c>
    </x:row>
    <x:row r="14" ht="77" customHeight="1">
      <x:c r="A14" s="11" t="str">
        <x:v>TC-TEN-004-02</x:v>
      </x:c>
      <x:c r="B14" s="11" t="str">
        <x:v>FR-TEN-004 / BR-TEN-004 / SC01–SC08</x:v>
      </x:c>
      <x:c r="C14" s="11" t="str">
        <x:v>P1 / R1</x:v>
      </x:c>
      <x:c r="D14" s="11" t="str">
        <x:v>Configuration and terminology validation and recovery</x:v>
      </x:c>
      <x:c r="E14" s="11" t="str">
        <x:v>Start from the same eligible fixture and retain the submitted draft; record the last committed head and receipt. Introduce the boundary or failure stated below.</x:v>
      </x:c>
      <x:c r="F14" s="11" t="str">
        <x:v>1. Exercise each independent condition in the validation contract, as separate recorded variants: Display label edits do not change stable codes. A fiscal boundary change requires a new calendar and explicit future obligation regeneration; overlapping official periods are rejected. 2. Inspect the safe error/state and authorised recovery actions. 3. Correct the condition and retry under current authority and expected revision. 4. Compare durable effects and audit history with the original baseline.</x:v>
      </x:c>
      <x:c r="G14" s="11" t="str">
        <x:v>Display label edits do not change stable codes. A fiscal boundary change requires a new calendar and explicit future obligation regeneration; overlapping official periods are rejected. Ordinary failed saves have no partial effect. Explicit bulk partial modes account for committed and unprocessed items. A retry does not duplicate the intended business effect.</x:v>
      </x:c>
      <x:c r="H14" s="13" t="str">
        <x:v>Not run</x:v>
      </x:c>
      <x:c r="I14" s="13" t="str"/>
      <x:c r="J14" s="13" t="str">
        <x:v>Expand multi-condition variants in the run record. Required negative coverage, not a claim that one assertion covers every security attack.</x:v>
      </x:c>
    </x:row>
    <x:row r="15" ht="103" customHeight="1">
      <x:c r="A15" s="11" t="str">
        <x:v>TC-TEN-005-01</x:v>
      </x:c>
      <x:c r="B15" s="11" t="str">
        <x:v>FR-TEN-005 / BR-TEN-005</x:v>
      </x:c>
      <x:c r="C15" s="11" t="str">
        <x:v>P1 / R1</x:v>
      </x:c>
      <x:c r="D15" s="11" t="str">
        <x:v>Custom fields and templates intended outcome</x:v>
      </x:c>
      <x:c r="E15" s="11" t="str">
        <x:v>Synthetic tenant A; tenant B hidden markers; eligible actor with explicit capability, scope, purpose and current assurance. Set up the source acceptance fixture: Create a restricted decimal field required only for active grants; an authorised import succeeds and an external viewer sees neither value nor search facet.</x:v>
      </x:c>
      <x:c r="F15" s="11" t="str">
        <x:v>1. Record current object revisions, policy and safe audit cursor. 2. Perform the specified interaction: An administrator selects field type, stable code, permitted object types, required condition, validation and classification. Preview shows form, import, search and report availability. Publishing creates a field definition version; templates reference that version. 3. Inspect UI, canonical API read and audit/receipt for the resulting version. 4. Apply the acceptance example: Create a restricted decimal field required only for active grants; an authorised import succeeds and an external viewer sees neither value nor search facet.</x:v>
      </x:c>
      <x:c r="G15" s="11" t="str">
        <x:v>Create a restricted decimal field required only for active grants; an authorised import succeeds and an external viewer sees neither value nor search facet. Required behaviour is preserved: An administrator selects field type, stable code, permitted object types, required condition, validation and classification. Preview shows form, import, search and report availability. Publishing creates a field definition version; templates reference that version.</x:v>
      </x:c>
      <x:c r="H15" s="13" t="str">
        <x:v>Not run</x:v>
      </x:c>
      <x:c r="I15" s="13" t="str"/>
      <x:c r="J15" s="13" t="str">
        <x:v>Primary owning component C02. Execute relevant channels; record actual fixture IDs and observed evidence.</x:v>
      </x:c>
    </x:row>
    <x:row r="16" ht="77" customHeight="1">
      <x:c r="A16" s="11" t="str">
        <x:v>TC-TEN-005-02</x:v>
      </x:c>
      <x:c r="B16" s="11" t="str">
        <x:v>FR-TEN-005 / BR-TEN-005 / SC01–SC08</x:v>
      </x:c>
      <x:c r="C16" s="11" t="str">
        <x:v>P1 / R1</x:v>
      </x:c>
      <x:c r="D16" s="11" t="str">
        <x:v>Custom fields and templates validation and recovery</x:v>
      </x:c>
      <x:c r="E16" s="11" t="str">
        <x:v>Start from the same eligible fixture and retain the submitted draft; record the last committed head and receipt. Introduce the boundary or failure stated below.</x:v>
      </x:c>
      <x:c r="F16" s="11" t="str">
        <x:v>1. Exercise each independent condition in the validation contract, as separate recorded variants: A type change with existing values requires an explicit migration mapping or a new field. Retiring removes new entry but preserves historical values and restricted visibility. 2. Inspect the safe error/state and authorised recovery actions. 3. Correct the condition and retry under current authority and expected revision. 4. Compare durable effects and audit history with the original baseline.</x:v>
      </x:c>
      <x:c r="G16" s="11" t="str">
        <x:v>A type change with existing values requires an explicit migration mapping or a new field. Retiring removes new entry but preserves historical values and restricted visibility. Ordinary failed saves have no partial effect. Explicit bulk partial modes account for committed and unprocessed items. A retry does not duplicate the intended business effect.</x:v>
      </x:c>
      <x:c r="H16" s="13" t="str">
        <x:v>Not run</x:v>
      </x:c>
      <x:c r="I16" s="13" t="str"/>
      <x:c r="J16" s="13" t="str">
        <x:v>Expand multi-condition variants in the run record. Required negative coverage, not a claim that one assertion covers every security attack.</x:v>
      </x:c>
    </x:row>
    <x:row r="17" ht="103" customHeight="1">
      <x:c r="A17" s="11" t="str">
        <x:v>TC-TEN-006-01</x:v>
      </x:c>
      <x:c r="B17" s="11" t="str">
        <x:v>FR-TEN-006 / BR-TEN-006</x:v>
      </x:c>
      <x:c r="C17" s="11" t="str">
        <x:v>P0 / R1</x:v>
      </x:c>
      <x:c r="D17" s="11" t="str">
        <x:v>Partner and consortium boundaries intended outcome</x:v>
      </x:c>
      <x:c r="E17" s="11" t="str">
        <x:v>Synthetic tenant A; tenant B hidden markers; eligible actor with explicit capability, scope, purpose and current assurance. Set up the source acceptance fixture: Share one approved indicator definition with partners X and Y; each sees its own submissions and neither receives the other's completion statistics unless explicitly disclosed.</x:v>
      </x:c>
      <x:c r="F17" s="11" t="str">
        <x:v>1. Record current object revisions, policy and safe audit cursor. 2. Perform the specified interaction: The programme manager creates a partner agreement naming projects, shared artifacts, allowed actions, purpose, dates and owner. A cross tenant exchange creates an explicit destination copy with source version and agreement reference. Each transfer is recorded in the sharing register. 3. Inspect UI, canonical API read and audit/receipt for the resulting version. 4. Apply the acceptance example: Share one approved indicator definition with partners X and Y; each sees its own submissions and neither receives the other's completion statistics unless explicitly disclosed.</x:v>
      </x:c>
      <x:c r="G17" s="11" t="str">
        <x:v>Share one approved indicator definition with partners X and Y; each sees its own submissions and neither receives the other's completion statistics unless explicitly disclosed. Required behaviour is preserved: The programme manager creates a partner agreement naming projects, shared artifacts, allowed actions, purpose, dates and owner. A cross tenant exchange creates an explicit destination copy with source version and agreement reference. Each transfer is recorded in the sharing register.</x:v>
      </x:c>
      <x:c r="H17" s="13" t="str">
        <x:v>Not run</x:v>
      </x:c>
      <x:c r="I17" s="13" t="str"/>
      <x:c r="J17" s="13" t="str">
        <x:v>Primary owning component C02. Execute relevant channels; record actual fixture IDs and observed evidence.</x:v>
      </x:c>
    </x:row>
    <x:row r="18" ht="90" customHeight="1">
      <x:c r="A18" s="11" t="str">
        <x:v>TC-TEN-006-02</x:v>
      </x:c>
      <x:c r="B18" s="11" t="str">
        <x:v>FR-TEN-006 / BR-TEN-006 / SC01–SC08</x:v>
      </x:c>
      <x:c r="C18" s="11" t="str">
        <x:v>P0 / R1</x:v>
      </x:c>
      <x:c r="D18" s="11" t="str">
        <x:v>Partner and consortium boundaries validation and recovery</x:v>
      </x:c>
      <x:c r="E18" s="11" t="str">
        <x:v>Start from the same eligible fixture and retain the submitted draft; record the last committed head and receipt. Introduce the boundary or failure stated below.</x:v>
      </x:c>
      <x:c r="F18" s="11" t="str">
        <x:v>1. Exercise each independent condition in the validation contract, as separate recorded variants: An agreement grants no tenant membership by itself. Expiry stops new transfer, revokes live access and starts the agreed retained copy restriction or deletion process; external completion is tracked separately. 2. Inspect the safe error/state and authorised recovery actions. 3. Correct the condition and retry under current authority and expected revision. 4. Compare durable effects and audit history with the original baseline.</x:v>
      </x:c>
      <x:c r="G18" s="11" t="str">
        <x:v>An agreement grants no tenant membership by itself. Expiry stops new transfer, revokes live access and starts the agreed retained copy restriction or deletion process; external completion is tracked separately. Ordinary failed saves have no partial effect. Explicit bulk partial modes account for committed and unprocessed items. A retry does not duplicate the intended business effect.</x:v>
      </x:c>
      <x:c r="H18" s="13" t="str">
        <x:v>Not run</x:v>
      </x:c>
      <x:c r="I18" s="13" t="str"/>
      <x:c r="J18" s="13" t="str">
        <x:v>Expand multi-condition variants in the run record. Required negative coverage, not a claim that one assertion covers every security attack.</x:v>
      </x:c>
    </x:row>
    <x:row r="19" ht="103" customHeight="1">
      <x:c r="A19" s="11" t="str">
        <x:v>TC-TEN-007-01</x:v>
      </x:c>
      <x:c r="B19" s="11" t="str">
        <x:v>FR-TEN-007 / BR-TEN-007</x:v>
      </x:c>
      <x:c r="C19" s="11" t="str">
        <x:v>P0 / R1</x:v>
      </x:c>
      <x:c r="D19" s="11" t="str">
        <x:v>Policy inheritance and exceptions intended outcome</x:v>
      </x:c>
      <x:c r="E19" s="11" t="str">
        <x:v>Synthetic tenant A; tenant B hidden markers; eligible actor with explicit capability, scope, purpose and current assurance. Set up the source acceptance fixture: Attempt to enable public raw participant exports under a tenant prohibition; the platform rejects it even if a project administrator owns the dataset.</x:v>
      </x:c>
      <x:c r="F19" s="11" t="str">
        <x:v>1. Record current object revisions, policy and safe audit cursor. 2. Perform the specified interaction: A policy editor shows effective tenant and project rules with the source of each restriction. Tightening is applied after impact confirmation. A permitted relaxation opens an exception request specifying scope, reason, compensating control, independent approver and expiry. 3. Inspect UI, canonical API read and audit/receipt for the resulting version. 4. Apply the acceptance example: Attempt to enable public raw participant exports under a tenant prohibition; the platform rejects it even if a project administrator owns the dataset.</x:v>
      </x:c>
      <x:c r="G19" s="11" t="str">
        <x:v>Attempt to enable public raw participant exports under a tenant prohibition; the platform rejects it even if a project administrator owns the dataset. Required behaviour is preserved: A policy editor shows effective tenant and project rules with the source of each restriction. Tightening is applied after impact confirmation. A permitted relaxation opens an exception request specifying scope, reason, compensating control, independent approver and expiry.</x:v>
      </x:c>
      <x:c r="H19" s="13" t="str">
        <x:v>Not run</x:v>
      </x:c>
      <x:c r="I19" s="13" t="str"/>
      <x:c r="J19" s="13" t="str">
        <x:v>Primary owning component C02. Execute relevant channels; record actual fixture IDs and observed evidence.</x:v>
      </x:c>
    </x:row>
    <x:row r="20" ht="90" customHeight="1">
      <x:c r="A20" s="11" t="str">
        <x:v>TC-TEN-007-02</x:v>
      </x:c>
      <x:c r="B20" s="11" t="str">
        <x:v>FR-TEN-007 / BR-TEN-007 / SC01–SC08</x:v>
      </x:c>
      <x:c r="C20" s="11" t="str">
        <x:v>P0 / R1</x:v>
      </x:c>
      <x:c r="D20" s="11" t="str">
        <x:v>Policy inheritance and exceptions validation and recovery</x:v>
      </x:c>
      <x:c r="E20" s="11" t="str">
        <x:v>Start from the same eligible fixture and retain the submitted draft; record the last committed head and receipt. Introduce the boundary or failure stated below.</x:v>
      </x:c>
      <x:c r="F20" s="11" t="str">
        <x:v>1. Exercise each independent condition in the validation contract, as separate recorded variants: Unknown policy or expired exception denies sensitive work. An exception cannot permit cross tenant access, self approval or unsupported arithmetic. Expiry restores the stricter rule and rechecks dependent jobs. 2. Inspect the safe error/state and authorised recovery actions. 3. Correct the condition and retry under current authority and expected revision. 4. Compare durable effects and audit history with the original baseline.</x:v>
      </x:c>
      <x:c r="G20" s="11" t="str">
        <x:v>Unknown policy or expired exception denies sensitive work. An exception cannot permit cross tenant access, self approval or unsupported arithmetic. Expiry restores the stricter rule and rechecks dependent jobs. Ordinary failed saves have no partial effect. Explicit bulk partial modes account for committed and unprocessed items. A retry does not duplicate the intended business effect.</x:v>
      </x:c>
      <x:c r="H20" s="13" t="str">
        <x:v>Not run</x:v>
      </x:c>
      <x:c r="I20" s="13" t="str"/>
      <x:c r="J20" s="13" t="str">
        <x:v>Expand multi-condition variants in the run record. Required negative coverage, not a claim that one assertion covers every security attack.</x:v>
      </x:c>
    </x:row>
    <x:row r="21" ht="103" customHeight="1">
      <x:c r="A21" s="11" t="str">
        <x:v>TC-TEN-008-01</x:v>
      </x:c>
      <x:c r="B21" s="11" t="str">
        <x:v>FR-TEN-008 / BR-TEN-008</x:v>
      </x:c>
      <x:c r="C21" s="11" t="str">
        <x:v>P1 / R2</x:v>
      </x:c>
      <x:c r="D21" s="11" t="str">
        <x:v>Configuration promotion intended outcome</x:v>
      </x:c>
      <x:c r="E21" s="11" t="str">
        <x:v>Synthetic tenant A; tenant B hidden markers; eligible actor with explicit capability, scope, purpose and current assurance. Set up the source acceptance fixture: Promote a new collection rule, then roll it back; sample records never appear in production and accepted production submissions keep their original rule references.</x:v>
      </x:c>
      <x:c r="F21" s="11" t="str">
        <x:v>1. Record current object revisions, policy and safe audit cursor. 2. Perform the specified interaction: An administrator copies configuration and synthetic fixtures into an isolated test workspace. Promotion compares versions, dependencies and validation results; an eligible reviewer approves the complete package. Production application records the exact promoted versions and affected future objects. 3. Inspect UI, canonical API read and audit/receipt for the resulting version. 4. Apply the acceptance example: Promote a new collection rule, then roll it back; sample records never appear in production and accepted production submissions keep their original rule references.</x:v>
      </x:c>
      <x:c r="G21" s="11" t="str">
        <x:v>Promote a new collection rule, then roll it back; sample records never appear in production and accepted production submissions keep their original rule references. Required behaviour is preserved: An administrator copies configuration and synthetic fixtures into an isolated test workspace. Promotion compares versions, dependencies and validation results; an eligible reviewer approves the complete package. Production application records the exact promoted versions and affected future objects.</x:v>
      </x:c>
      <x:c r="H21" s="13" t="str">
        <x:v>Not run</x:v>
      </x:c>
      <x:c r="I21" s="13" t="str"/>
      <x:c r="J21" s="13" t="str">
        <x:v>Primary owning component C02. Execute relevant channels; record actual fixture IDs and observed evidence.</x:v>
      </x:c>
    </x:row>
    <x:row r="22" ht="90" customHeight="1">
      <x:c r="A22" s="11" t="str">
        <x:v>TC-TEN-008-02</x:v>
      </x:c>
      <x:c r="B22" s="11" t="str">
        <x:v>FR-TEN-008 / BR-TEN-008 / SC01–SC08</x:v>
      </x:c>
      <x:c r="C22" s="11" t="str">
        <x:v>P1 / R2</x:v>
      </x:c>
      <x:c r="D22" s="11" t="str">
        <x:v>Configuration promotion validation and recovery</x:v>
      </x:c>
      <x:c r="E22" s="11" t="str">
        <x:v>Start from the same eligible fixture and retain the submitted draft; record the last committed head and receipt. Introduce the boundary or failure stated below.</x:v>
      </x:c>
      <x:c r="F22" s="11" t="str">
        <x:v>1. Exercise each independent condition in the validation contract, as separate recorded variants: Never copy production credentials or personal records by default. Rollback restores compatible configuration references only; it cannot erase writes made under an intervening version without an explicit migration. 2. Inspect the safe error/state and authorised recovery actions. 3. Correct the condition and retry under current authority and expected revision. 4. Compare durable effects and audit history with the original baseline.</x:v>
      </x:c>
      <x:c r="G22" s="11" t="str">
        <x:v>Never copy production credentials or personal records by default. Rollback restores compatible configuration references only; it cannot erase writes made under an intervening version without an explicit migration. Ordinary failed saves have no partial effect. Explicit bulk partial modes account for committed and unprocessed items. A retry does not duplicate the intended business effect.</x:v>
      </x:c>
      <x:c r="H22" s="13" t="str">
        <x:v>Not run</x:v>
      </x:c>
      <x:c r="I22" s="13" t="str"/>
      <x:c r="J22" s="13" t="str">
        <x:v>Expand multi-condition variants in the run record. Required negative coverage, not a claim that one assertion covers every security attack.</x:v>
      </x:c>
    </x:row>
    <x:row r="23" ht="103" customHeight="1">
      <x:c r="A23" s="11" t="str">
        <x:v>TC-TEN-009-01</x:v>
      </x:c>
      <x:c r="B23" s="11" t="str">
        <x:v>FR-TEN-009 / BR-TEN-009</x:v>
      </x:c>
      <x:c r="C23" s="11" t="str">
        <x:v>P1 / R2</x:v>
      </x:c>
      <x:c r="D23" s="11" t="str">
        <x:v>Branding and external identity intended outcome</x:v>
      </x:c>
      <x:c r="E23" s="11" t="str">
        <x:v>Synthetic tenant A; tenant B hidden markers; eligible actor with explicit capability, scope, purpose and current assurance. Set up the source acceptance fixture: Apply a low contrast colour palette; publication blocks the failing theme while the prior accessible theme continues to serve reports.</x:v>
      </x:c>
      <x:c r="F23" s="11" t="str">
        <x:v>1. Record current object revisions, policy and safe audit cursor. 2. Perform the specified interaction: The branding editor previews approved logos, accessible colours, tenant name and report styles. An external domain remains pending until verified control and an active renewal or revocation owner are recorded. Publishing the theme changes presentation only. 3. Inspect UI, canonical API read and audit/receipt for the resulting version. 4. Apply the acceptance example: Apply a low contrast colour palette; publication blocks the failing theme while the prior accessible theme continues to serve reports.</x:v>
      </x:c>
      <x:c r="G23" s="11" t="str">
        <x:v>Apply a low contrast colour palette; publication blocks the failing theme while the prior accessible theme continues to serve reports. Required behaviour is preserved: The branding editor previews approved logos, accessible colours, tenant name and report styles. An external domain remains pending until verified control and an active renewal or revocation owner are recorded. Publishing the theme changes presentation only.</x:v>
      </x:c>
      <x:c r="H23" s="13" t="str">
        <x:v>Not run</x:v>
      </x:c>
      <x:c r="I23" s="13" t="str"/>
      <x:c r="J23" s="13" t="str">
        <x:v>Primary owning component C02. Execute relevant channels; record actual fixture IDs and observed evidence.</x:v>
      </x:c>
    </x:row>
    <x:row r="24" ht="90" customHeight="1">
      <x:c r="A24" s="11" t="str">
        <x:v>TC-TEN-009-02</x:v>
      </x:c>
      <x:c r="B24" s="11" t="str">
        <x:v>FR-TEN-009 / BR-TEN-009 / SC01–SC08</x:v>
      </x:c>
      <x:c r="C24" s="11" t="str">
        <x:v>P1 / R2</x:v>
      </x:c>
      <x:c r="D24" s="11" t="str">
        <x:v>Branding and external identity validation and recovery</x:v>
      </x:c>
      <x:c r="E24" s="11" t="str">
        <x:v>Start from the same eligible fixture and retain the submitted draft; record the last committed head and receipt. Introduce the boundary or failure stated below.</x:v>
      </x:c>
      <x:c r="F24" s="11" t="str">
        <x:v>1. Exercise each independent condition in the validation contract, as separate recorded variants: Uploaded assets pass file safety checks. Branding cannot hide mandatory caveats, approval status or the actual organisation; expired domain verification disables the domain without opening a fallback tenant. 2. Inspect the safe error/state and authorised recovery actions. 3. Correct the condition and retry under current authority and expected revision. 4. Compare durable effects and audit history with the original baseline.</x:v>
      </x:c>
      <x:c r="G24" s="11" t="str">
        <x:v>Uploaded assets pass file safety checks. Branding cannot hide mandatory caveats, approval status or the actual organisation; expired domain verification disables the domain without opening a fallback tenant. Ordinary failed saves have no partial effect. Explicit bulk partial modes account for committed and unprocessed items. A retry does not duplicate the intended business effect.</x:v>
      </x:c>
      <x:c r="H24" s="13" t="str">
        <x:v>Not run</x:v>
      </x:c>
      <x:c r="I24" s="13" t="str"/>
      <x:c r="J24" s="13" t="str">
        <x:v>Expand multi-condition variants in the run record. Required negative coverage, not a claim that one assertion covers every security attack.</x:v>
      </x:c>
    </x:row>
    <x:row r="25" ht="103" customHeight="1">
      <x:c r="A25" s="11" t="str">
        <x:v>TC-TEN-010-01</x:v>
      </x:c>
      <x:c r="B25" s="11" t="str">
        <x:v>FR-TEN-010 / BR-TEN-010</x:v>
      </x:c>
      <x:c r="C25" s="11" t="str">
        <x:v>P0 / R1</x:v>
      </x:c>
      <x:c r="D25" s="11" t="str">
        <x:v>Ownership continuity intended outcome</x:v>
      </x:c>
      <x:c r="E25" s="11" t="str">
        <x:v>Synthetic tenant A; tenant B hidden markers; eligible actor with explicit capability, scope, purpose and current assurance. Set up the source acceptance fixture: Attempt to revoke the sole owner, then complete a two actor transfer; the first action fails and the second preserves a complete custody history.</x:v>
      </x:c>
      <x:c r="F25" s="11" t="str">
        <x:v>1. Record current object revisions, policy and safe audit cursor. 2. Perform the specified interaction: The current owner nominates an active eligible successor, who verifies identity and accepts custody after step up. The system previews commercial and administrative responsibilities and records both actors. Recovery of an unavailable last owner follows a verified case with distinct approval. 3. Inspect UI, canonical API read and audit/receipt for the resulting version. 4. Apply the acceptance example: Attempt to revoke the sole owner, then complete a two actor transfer; the first action fails and the second preserves a complete custody history.</x:v>
      </x:c>
      <x:c r="G25" s="11" t="str">
        <x:v>Attempt to revoke the sole owner, then complete a two actor transfer; the first action fails and the second preserves a complete custody history. Required behaviour is preserved: The current owner nominates an active eligible successor, who verifies identity and accepts custody after step up. The system previews commercial and administrative responsibilities and records both actors. Recovery of an unavailable last owner follows a verified case with distinct approval.</x:v>
      </x:c>
      <x:c r="H25" s="13" t="str">
        <x:v>Not run</x:v>
      </x:c>
      <x:c r="I25" s="13" t="str"/>
      <x:c r="J25" s="13" t="str">
        <x:v>Primary owning component C02. Execute relevant channels; record actual fixture IDs and observed evidence.</x:v>
      </x:c>
    </x:row>
    <x:row r="26" ht="90" customHeight="1">
      <x:c r="A26" s="11" t="str">
        <x:v>TC-TEN-010-02</x:v>
      </x:c>
      <x:c r="B26" s="11" t="str">
        <x:v>FR-TEN-010 / BR-TEN-010 / SC01–SC08</x:v>
      </x:c>
      <x:c r="C26" s="11" t="str">
        <x:v>P0 / R1</x:v>
      </x:c>
      <x:c r="D26" s="11" t="str">
        <x:v>Ownership continuity validation and recovery</x:v>
      </x:c>
      <x:c r="E26" s="11" t="str">
        <x:v>Start from the same eligible fixture and retain the submitted draft; record the last committed head and receipt. Introduce the boundary or failure stated below.</x:v>
      </x:c>
      <x:c r="F26" s="11" t="str">
        <x:v>1. Exercise each independent condition in the validation contract, as separate recorded variants: Do not remove or suspend the final eligible owner through ordinary member administration without a successor or approved closure path. Transfer does not automatically grant participant identity access. 2. Inspect the safe error/state and authorised recovery actions. 3. Correct the condition and retry under current authority and expected revision. 4. Compare durable effects and audit history with the original baseline.</x:v>
      </x:c>
      <x:c r="G26" s="11" t="str">
        <x:v>Do not remove or suspend the final eligible owner through ordinary member administration without a successor or approved closure path. Transfer does not automatically grant participant identity access. Ordinary failed saves have no partial effect. Explicit bulk partial modes account for committed and unprocessed items. A retry does not duplicate the intended business effect.</x:v>
      </x:c>
      <x:c r="H26" s="13" t="str">
        <x:v>Not run</x:v>
      </x:c>
      <x:c r="I26" s="13" t="str"/>
      <x:c r="J26" s="13" t="str">
        <x:v>Expand multi-condition variants in the run record. Required negative coverage, not a claim that one assertion covers every security attack.</x:v>
      </x:c>
    </x:row>
    <x:row r="27" ht="103" customHeight="1">
      <x:c r="A27" s="11" t="str">
        <x:v>TC-IAM-001-01</x:v>
      </x:c>
      <x:c r="B27" s="11" t="str">
        <x:v>FR-IAM-001 / BR-IAM-001</x:v>
      </x:c>
      <x:c r="C27" s="11" t="str">
        <x:v>P0 / R1</x:v>
      </x:c>
      <x:c r="D27" s="11" t="str">
        <x:v>Invitations and onboarding intended outcome</x:v>
      </x:c>
      <x:c r="E27" s="11" t="str">
        <x:v>Synthetic tenant A; tenant B hidden markers; eligible actor with explicit capability, scope, purpose and current assurance. Set up the source acceptance fixture: Forward an invitation to a different signed in account and replay a consumed token; both fail without revealing protected tenant content.</x:v>
      </x:c>
      <x:c r="F27" s="11" t="str">
        <x:v>1. Record current object revisions, policy and safe audit cursor. 2. Perform the specified interaction: The inviter selects tenant, role template, explicit scopes, expiry and intended verified identity. The preview shows effective capabilities before sending. Acceptance requires control of the nominated identity, token validity and current inviter authority; it creates one membership. 3. Inspect UI, canonical API read and audit/receipt for the resulting version. 4. Apply the acceptance example: Forward an invitation to a different signed in account and replay a consumed token; both fail without revealing protected tenant content.</x:v>
      </x:c>
      <x:c r="G27" s="11" t="str">
        <x:v>Forward an invitation to a different signed in account and replay a consumed token; both fail without revealing protected tenant content. Required behaviour is preserved: The inviter selects tenant, role template, explicit scopes, expiry and intended verified identity. The preview shows effective capabilities before sending. Acceptance requires control of the nominated identity, token validity and current inviter authority; it creates one membership.</x:v>
      </x:c>
      <x:c r="H27" s="13" t="str">
        <x:v>Not run</x:v>
      </x:c>
      <x:c r="I27" s="13" t="str"/>
      <x:c r="J27" s="13" t="str">
        <x:v>Primary owning component C01. Execute relevant channels; record actual fixture IDs and observed evidence.</x:v>
      </x:c>
    </x:row>
    <x:row r="28" ht="90" customHeight="1">
      <x:c r="A28" s="11" t="str">
        <x:v>TC-IAM-001-02</x:v>
      </x:c>
      <x:c r="B28" s="11" t="str">
        <x:v>FR-IAM-001 / BR-IAM-001 / SC01–SC08</x:v>
      </x:c>
      <x:c r="C28" s="11" t="str">
        <x:v>P0 / R1</x:v>
      </x:c>
      <x:c r="D28" s="11" t="str">
        <x:v>Invitations and onboarding validation and recovery</x:v>
      </x:c>
      <x:c r="E28" s="11" t="str">
        <x:v>Start from the same eligible fixture and retain the submitted draft; record the last committed head and receipt. Introduce the boundary or failure stated below.</x:v>
      </x:c>
      <x:c r="F28" s="11" t="str">
        <x:v>1. Exercise each independent condition in the validation contract, as separate recorded variants: Invites expire in seven days by default. Resend invalidates the old token. Bulk outcomes separate created, duplicate, invalid and delivery failed; receiving email alone does not prove membership activation. 2. Inspect the safe error/state and authorised recovery actions. 3. Correct the condition and retry under current authority and expected revision. 4. Compare durable effects and audit history with the original baseline.</x:v>
      </x:c>
      <x:c r="G28" s="11" t="str">
        <x:v>Invites expire in seven days by default. Resend invalidates the old token. Bulk outcomes separate created, duplicate, invalid and delivery failed; receiving email alone does not prove membership activation. Ordinary failed saves have no partial effect. Explicit bulk partial modes account for committed and unprocessed items. A retry does not duplicate the intended business effect.</x:v>
      </x:c>
      <x:c r="H28" s="13" t="str">
        <x:v>Not run</x:v>
      </x:c>
      <x:c r="I28" s="13" t="str"/>
      <x:c r="J28" s="13" t="str">
        <x:v>Expand multi-condition variants in the run record. Required negative coverage, not a claim that one assertion covers every security attack.</x:v>
      </x:c>
    </x:row>
    <x:row r="29" ht="103" customHeight="1">
      <x:c r="A29" s="11" t="str">
        <x:v>TC-IAM-002-01</x:v>
      </x:c>
      <x:c r="B29" s="11" t="str">
        <x:v>FR-IAM-002 / BR-IAM-002</x:v>
      </x:c>
      <x:c r="C29" s="11" t="str">
        <x:v>P0 / R1</x:v>
      </x:c>
      <x:c r="D29" s="11" t="str">
        <x:v>Enterprise federation intended outcome</x:v>
      </x:c>
      <x:c r="E29" s="11" t="str">
        <x:v>Synthetic tenant A; tenant B hidden markers; eligible actor with explicit capability, scope, purpose and current assurance. Set up the source acceptance fixture: Enforce federation, expire the old certificate and interrupt the provider; ordinary local passwords cannot become an unreviewed bypass.</x:v>
      </x:c>
      <x:c r="F29" s="11" t="str">
        <x:v>1. Record current object revisions, policy and safe audit cursor. 2. Perform the specified interaction: An identity administrator configures provider metadata, tenant binding and subject mapping, then tests with designated accounts before enforcing federation. The product shows certificate expiry and supports a tested overlapping rotation. Login binds issuer and stable subject to the intended tenant membership. 3. Inspect UI, canonical API read and audit/receipt for the resulting version. 4. Apply the acceptance example: Enforce federation, expire the old certificate and interrupt the provider; ordinary local passwords cannot become an unreviewed bypass.</x:v>
      </x:c>
      <x:c r="G29" s="11" t="str">
        <x:v>Enforce federation, expire the old certificate and interrupt the provider; ordinary local passwords cannot become an unreviewed bypass. Required behaviour is preserved: An identity administrator configures provider metadata, tenant binding and subject mapping, then tests with designated accounts before enforcing federation. The product shows certificate expiry and supports a tested overlapping rotation. Login binds issuer and stable subject to the intended tenant membership.</x:v>
      </x:c>
      <x:c r="H29" s="13" t="str">
        <x:v>Not run</x:v>
      </x:c>
      <x:c r="I29" s="13" t="str"/>
      <x:c r="J29" s="13" t="str">
        <x:v>Primary owning component C01. Execute relevant channels; record actual fixture IDs and observed evidence.</x:v>
      </x:c>
    </x:row>
    <x:row r="30" ht="90" customHeight="1">
      <x:c r="A30" s="11" t="str">
        <x:v>TC-IAM-002-02</x:v>
      </x:c>
      <x:c r="B30" s="11" t="str">
        <x:v>FR-IAM-002 / BR-IAM-002 / SC01–SC08</x:v>
      </x:c>
      <x:c r="C30" s="11" t="str">
        <x:v>P0 / R1</x:v>
      </x:c>
      <x:c r="D30" s="11" t="str">
        <x:v>Enterprise federation validation and recovery</x:v>
      </x:c>
      <x:c r="E30" s="11" t="str">
        <x:v>Start from the same eligible fixture and retain the submitted draft; record the last committed head and receipt. Introduce the boundary or failure stated below.</x:v>
      </x:c>
      <x:c r="F30" s="11" t="str">
        <x:v>1. Exercise each independent condition in the validation contract, as separate recorded variants: A matching email alone never joins different federation identities. Invalid assertion, wrong audience or missing assurance fails safely. Emergency local recovery remains separately enrolled, restricted and audited. 2. Inspect the safe error/state and authorised recovery actions. 3. Correct the condition and retry under current authority and expected revision. 4. Compare durable effects and audit history with the original baseline.</x:v>
      </x:c>
      <x:c r="G30" s="11" t="str">
        <x:v>A matching email alone never joins different federation identities. Invalid assertion, wrong audience or missing assurance fails safely. Emergency local recovery remains separately enrolled, restricted and audited. Ordinary failed saves have no partial effect. Explicit bulk partial modes account for committed and unprocessed items. A retry does not duplicate the intended business effect.</x:v>
      </x:c>
      <x:c r="H30" s="13" t="str">
        <x:v>Not run</x:v>
      </x:c>
      <x:c r="I30" s="13" t="str"/>
      <x:c r="J30" s="13" t="str">
        <x:v>Expand multi-condition variants in the run record. Required negative coverage, not a claim that one assertion covers every security attack.</x:v>
      </x:c>
    </x:row>
    <x:row r="31" ht="103" customHeight="1">
      <x:c r="A31" s="11" t="str">
        <x:v>TC-IAM-003-01</x:v>
      </x:c>
      <x:c r="B31" s="11" t="str">
        <x:v>FR-IAM-003 / BR-IAM-003</x:v>
      </x:c>
      <x:c r="C31" s="11" t="str">
        <x:v>P0 / R1</x:v>
      </x:c>
      <x:c r="D31" s="11" t="str">
        <x:v>Multifactor and passkeys intended outcome</x:v>
      </x:c>
      <x:c r="E31" s="11" t="str">
        <x:v>Synthetic tenant A; tenant B hidden markers; eligible actor with explicit capability, scope, purpose and current assurance. Set up the source acceptance fixture: Attempt public publication after session login but before step up, then complete a valid challenge; only the reviewed pending action becomes eligible.</x:v>
      </x:c>
      <x:c r="F31" s="11" t="str">
        <x:v>1. Record current object revisions, policy and safe audit cursor. 2. Perform the specified interaction: Members enrol a passkey or approved additional factor after verifying the existing identity. Privileged role activation and sensitive actions check enrolled assurance. A step up challenge is bound to the user and intended action and expires after the proposed five minute freshness window. 3. Inspect UI, canonical API read and audit/receipt for the resulting version. 4. Apply the acceptance example: Attempt public publication after session login but before step up, then complete a valid challenge; only the reviewed pending action becomes eligible.</x:v>
      </x:c>
      <x:c r="G31" s="11" t="str">
        <x:v>Attempt public publication after session login but before step up, then complete a valid challenge; only the reviewed pending action becomes eligible. Required behaviour is preserved: Members enrol a passkey or approved additional factor after verifying the existing identity. Privileged role activation and sensitive actions check enrolled assurance. A step up challenge is bound to the user and intended action and expires after the proposed five minute freshness window.</x:v>
      </x:c>
      <x:c r="H31" s="13" t="str">
        <x:v>Not run</x:v>
      </x:c>
      <x:c r="I31" s="13" t="str"/>
      <x:c r="J31" s="13" t="str">
        <x:v>Primary owning component C01. Execute relevant channels; record actual fixture IDs and observed evidence.</x:v>
      </x:c>
    </x:row>
    <x:row r="32" ht="90" customHeight="1">
      <x:c r="A32" s="11" t="str">
        <x:v>TC-IAM-003-02</x:v>
      </x:c>
      <x:c r="B32" s="11" t="str">
        <x:v>FR-IAM-003 / BR-IAM-003 / SC01–SC08</x:v>
      </x:c>
      <x:c r="C32" s="11" t="str">
        <x:v>P0 / R1</x:v>
      </x:c>
      <x:c r="D32" s="11" t="str">
        <x:v>Multifactor and passkeys validation and recovery</x:v>
      </x:c>
      <x:c r="E32" s="11" t="str">
        <x:v>Start from the same eligible fixture and retain the submitted draft; record the last committed head and receipt. Introduce the boundary or failure stated below.</x:v>
      </x:c>
      <x:c r="F32" s="11" t="str">
        <x:v>1. Exercise each independent condition in the validation contract, as separate recorded variants: Removing the last qualifying factor from a privileged account is blocked unless verified recovery replaces it. SMS alone cannot satisfy privileged MFA. Device synchronisation behaviour must be disclosed by the chosen authenticator implementation. 2. Inspect the safe error/state and authorised recovery actions. 3. Correct the condition and retry under current authority and expected revision. 4. Compare durable effects and audit history with the original baseline.</x:v>
      </x:c>
      <x:c r="G32" s="11" t="str">
        <x:v>Removing the last qualifying factor from a privileged account is blocked unless verified recovery replaces it. SMS alone cannot satisfy privileged MFA. Device synchronisation behaviour must be disclosed by the chosen authenticator implementation. Ordinary failed saves have no partial effect. Explicit bulk partial modes account for committed and unprocessed items. A retry does not duplicate the intended business effect.</x:v>
      </x:c>
      <x:c r="H32" s="13" t="str">
        <x:v>Not run</x:v>
      </x:c>
      <x:c r="I32" s="13" t="str"/>
      <x:c r="J32" s="13" t="str">
        <x:v>Expand multi-condition variants in the run record. Required negative coverage, not a claim that one assertion covers every security attack.</x:v>
      </x:c>
    </x:row>
    <x:row r="33" ht="103" customHeight="1">
      <x:c r="A33" s="11" t="str">
        <x:v>TC-IAM-004-01</x:v>
      </x:c>
      <x:c r="B33" s="11" t="str">
        <x:v>FR-IAM-004 / BR-IAM-004</x:v>
      </x:c>
      <x:c r="C33" s="11" t="str">
        <x:v>P0 / R1</x:v>
      </x:c>
      <x:c r="D33" s="11" t="str">
        <x:v>Local account security intended outcome</x:v>
      </x:c>
      <x:c r="E33" s="11" t="str">
        <x:v>Synthetic tenant A; tenant B hidden markers; eligible actor with explicit capability, scope, purpose and current assurance. Set up the source acceptance fixture: Submit the same reset token twice and inspect logs after a failed password attempt; the replay fails and neither password nor token is recoverable from diagnostics.</x:v>
      </x:c>
      <x:c r="F33" s="11" t="str">
        <x:v>1. Record current object revisions, policy and safe audit cursor. 2. Perform the specified interaction: Local account setup displays the effective password policy, permits paste and password managers and checks known compromised values. Reset returns a neutral acknowledgement and a short lived single use recovery link. Successful reset revokes prior recovery tokens and sessions according to policy. 3. Inspect UI, canonical API read and audit/receipt for the resulting version. 4. Apply the acceptance example: Submit the same reset token twice and inspect logs after a failed password attempt; the replay fails and neither password nor token is recoverable from diagnostics.</x:v>
      </x:c>
      <x:c r="G33" s="11" t="str">
        <x:v>Submit the same reset token twice and inspect logs after a failed password attempt; the replay fails and neither password nor token is recoverable from diagnostics. Required behaviour is preserved: Local account setup displays the effective password policy, permits paste and password managers and checks known compromised values. Reset returns a neutral acknowledgement and a short lived single use recovery link. Successful reset revokes prior recovery tokens and sessions according to policy.</x:v>
      </x:c>
      <x:c r="H33" s="13" t="str">
        <x:v>Not run</x:v>
      </x:c>
      <x:c r="I33" s="13" t="str"/>
      <x:c r="J33" s="13" t="str">
        <x:v>Primary owning component C01. Execute relevant channels; record actual fixture IDs and observed evidence.</x:v>
      </x:c>
    </x:row>
    <x:row r="34" ht="90" customHeight="1">
      <x:c r="A34" s="11" t="str">
        <x:v>TC-IAM-004-02</x:v>
      </x:c>
      <x:c r="B34" s="11" t="str">
        <x:v>FR-IAM-004 / BR-IAM-004 / SC01–SC08</x:v>
      </x:c>
      <x:c r="C34" s="11" t="str">
        <x:v>P0 / R1</x:v>
      </x:c>
      <x:c r="D34" s="11" t="str">
        <x:v>Local account security validation and recovery</x:v>
      </x:c>
      <x:c r="E34" s="11" t="str">
        <x:v>Start from the same eligible fixture and retain the submitted draft; record the last committed head and receipt. Introduce the boundary or failure stated below.</x:v>
      </x:c>
      <x:c r="F34" s="11" t="str">
        <x:v>1. Exercise each independent condition in the validation contract, as separate recorded variants: Proposed reset expiry is 30 minutes. Never reveal whether a supplied address is registered. Apply bounded retry and abuse controls without exposing password text to telemetry or normal administrators. 2. Inspect the safe error/state and authorised recovery actions. 3. Correct the condition and retry under current authority and expected revision. 4. Compare durable effects and audit history with the original baseline.</x:v>
      </x:c>
      <x:c r="G34" s="11" t="str">
        <x:v>Proposed reset expiry is 30 minutes. Never reveal whether a supplied address is registered. Apply bounded retry and abuse controls without exposing password text to telemetry or normal administrators. Ordinary failed saves have no partial effect. Explicit bulk partial modes account for committed and unprocessed items. A retry does not duplicate the intended business effect.</x:v>
      </x:c>
      <x:c r="H34" s="13" t="str">
        <x:v>Not run</x:v>
      </x:c>
      <x:c r="I34" s="13" t="str"/>
      <x:c r="J34" s="13" t="str">
        <x:v>Expand multi-condition variants in the run record. Required negative coverage, not a claim that one assertion covers every security attack.</x:v>
      </x:c>
    </x:row>
    <x:row r="35" ht="103" customHeight="1">
      <x:c r="A35" s="11" t="str">
        <x:v>TC-IAM-005-01</x:v>
      </x:c>
      <x:c r="B35" s="11" t="str">
        <x:v>FR-IAM-005 / BR-IAM-005</x:v>
      </x:c>
      <x:c r="C35" s="11" t="str">
        <x:v>P1 / R2</x:v>
      </x:c>
      <x:c r="D35" s="11" t="str">
        <x:v>Provisioning and deprovisioning intended outcome</x:v>
      </x:c>
      <x:c r="E35" s="11" t="str">
        <x:v>Synthetic tenant A; tenant B hidden markers; eligible actor with explicit capability, scope, purpose and current assurance. Set up the source acceptance fixture: Deactivate a directory user while they own a job; within the BRD revocation bound, further access fails and the job is cancelled or explicitly reassigned.</x:v>
      </x:c>
      <x:c r="F35" s="11" t="str">
        <x:v>1. Record current object revisions, policy and safe audit cursor. 2. Perform the specified interaction: A directory connection declares authoritative attributes and groups. Provisioning creates a pending or active membership only within its configured scope. Deactivation removes derived access, revokes sessions and opens ownership reassignment tasks. Reconciliation shows directory and platform differences. 3. Inspect UI, canonical API read and audit/receipt for the resulting version. 4. Apply the acceptance example: Deactivate a directory user while they own a job; within the BRD revocation bound, further access fails and the job is cancelled or explicitly reassigned.</x:v>
      </x:c>
      <x:c r="G35" s="11" t="str">
        <x:v>Deactivate a directory user while they own a job; within the BRD revocation bound, further access fails and the job is cancelled or explicitly reassigned. Required behaviour is preserved: A directory connection declares authoritative attributes and groups. Provisioning creates a pending or active membership only within its configured scope. Deactivation removes derived access, revokes sessions and opens ownership reassignment tasks. Reconciliation shows directory and platform differences.</x:v>
      </x:c>
      <x:c r="H35" s="13" t="str">
        <x:v>Not run</x:v>
      </x:c>
      <x:c r="I35" s="13" t="str"/>
      <x:c r="J35" s="13" t="str">
        <x:v>Primary owning component C01. Execute relevant channels; record actual fixture IDs and observed evidence.</x:v>
      </x:c>
    </x:row>
    <x:row r="36" ht="90" customHeight="1">
      <x:c r="A36" s="11" t="str">
        <x:v>TC-IAM-005-02</x:v>
      </x:c>
      <x:c r="B36" s="11" t="str">
        <x:v>FR-IAM-005 / BR-IAM-005 / SC01–SC08</x:v>
      </x:c>
      <x:c r="C36" s="11" t="str">
        <x:v>P1 / R2</x:v>
      </x:c>
      <x:c r="D36" s="11" t="str">
        <x:v>Provisioning and deprovisioning validation and recovery</x:v>
      </x:c>
      <x:c r="E36" s="11" t="str">
        <x:v>Start from the same eligible fixture and retain the submitted draft; record the last committed head and receipt. Introduce the boundary or failure stated below.</x:v>
      </x:c>
      <x:c r="F36" s="11" t="str">
        <x:v>1. Exercise each independent condition in the validation contract, as separate recorded variants: Directory controlled attributes cannot be manually overridden except through a recorded bounded exception. A manual grant can add only separately authorised scope and is removed if policy forbids local supplements. 2. Inspect the safe error/state and authorised recovery actions. 3. Correct the condition and retry under current authority and expected revision. 4. Compare durable effects and audit history with the original baseline.</x:v>
      </x:c>
      <x:c r="G36" s="11" t="str">
        <x:v>Directory controlled attributes cannot be manually overridden except through a recorded bounded exception. A manual grant can add only separately authorised scope and is removed if policy forbids local supplements. Ordinary failed saves have no partial effect. Explicit bulk partial modes account for committed and unprocessed items. A retry does not duplicate the intended business effect.</x:v>
      </x:c>
      <x:c r="H36" s="13" t="str">
        <x:v>Not run</x:v>
      </x:c>
      <x:c r="I36" s="13" t="str"/>
      <x:c r="J36" s="13" t="str">
        <x:v>Expand multi-condition variants in the run record. Required negative coverage, not a claim that one assertion covers every security attack.</x:v>
      </x:c>
    </x:row>
    <x:row r="37" ht="90" customHeight="1">
      <x:c r="A37" s="11" t="str">
        <x:v>TC-IAM-006-01</x:v>
      </x:c>
      <x:c r="B37" s="11" t="str">
        <x:v>FR-IAM-006 / BR-IAM-006</x:v>
      </x:c>
      <x:c r="C37" s="11" t="str">
        <x:v>P0 / R1</x:v>
      </x:c>
      <x:c r="D37" s="11" t="str">
        <x:v>Session control intended outcome</x:v>
      </x:c>
      <x:c r="E37" s="11" t="str">
        <x:v>Synthetic tenant A; tenant B hidden markers; eligible actor with explicit capability, scope, purpose and current assurance. Set up the source acceptance fixture: Open two sessions, revoke one, then use browser back and a queued export from that session; neither returns protected data.</x:v>
      </x:c>
      <x:c r="F37" s="11" t="str">
        <x:v>1. Record current object revisions, policy and safe audit cursor. 2. Perform the specified interaction: Members see session device label, approximate activity, creation and last use without unnecessary location detail. Revoke one or all sessions after verification. Idle and absolute expiry follow FD04; a warning preserves permitted drafts before reauthentication. 3. Inspect UI, canonical API read and audit/receipt for the resulting version. 4. Apply the acceptance example: Open two sessions, revoke one, then use browser back and a queued export from that session; neither returns protected data.</x:v>
      </x:c>
      <x:c r="G37" s="11" t="str">
        <x:v>Open two sessions, revoke one, then use browser back and a queued export from that session; neither returns protected data. Required behaviour is preserved: Members see session device label, approximate activity, creation and last use without unnecessary location detail. Revoke one or all sessions after verification. Idle and absolute expiry follow FD04; a warning preserves permitted drafts before reauthentication.</x:v>
      </x:c>
      <x:c r="H37" s="13" t="str">
        <x:v>Not run</x:v>
      </x:c>
      <x:c r="I37" s="13" t="str"/>
      <x:c r="J37" s="13" t="str">
        <x:v>Primary owning component C01. Execute relevant channels; record actual fixture IDs and observed evidence.</x:v>
      </x:c>
    </x:row>
    <x:row r="38" ht="90" customHeight="1">
      <x:c r="A38" s="11" t="str">
        <x:v>TC-IAM-006-02</x:v>
      </x:c>
      <x:c r="B38" s="11" t="str">
        <x:v>FR-IAM-006 / BR-IAM-006 / SC01–SC08</x:v>
      </x:c>
      <x:c r="C38" s="11" t="str">
        <x:v>P0 / R1</x:v>
      </x:c>
      <x:c r="D38" s="11" t="str">
        <x:v>Session control validation and recovery</x:v>
      </x:c>
      <x:c r="E38" s="11" t="str">
        <x:v>Start from the same eligible fixture and retain the submitted draft; record the last committed head and receipt. Introduce the boundary or failure stated below.</x:v>
      </x:c>
      <x:c r="F38" s="11" t="str">
        <x:v>1. Exercise each independent condition in the validation contract, as separate recorded variants: Logout clears sensitive in memory state and protected cached navigation. Shared device mode disables persistent unrestricted sessions. Revocation invalidates server authority even if a browser retains a stale screen image. 2. Inspect the safe error/state and authorised recovery actions. 3. Correct the condition and retry under current authority and expected revision. 4. Compare durable effects and audit history with the original baseline.</x:v>
      </x:c>
      <x:c r="G38" s="11" t="str">
        <x:v>Logout clears sensitive in memory state and protected cached navigation. Shared device mode disables persistent unrestricted sessions. Revocation invalidates server authority even if a browser retains a stale screen image. Ordinary failed saves have no partial effect. Explicit bulk partial modes account for committed and unprocessed items. A retry does not duplicate the intended business effect.</x:v>
      </x:c>
      <x:c r="H38" s="13" t="str">
        <x:v>Not run</x:v>
      </x:c>
      <x:c r="I38" s="13" t="str"/>
      <x:c r="J38" s="13" t="str">
        <x:v>Expand multi-condition variants in the run record. Required negative coverage, not a claim that one assertion covers every security attack.</x:v>
      </x:c>
    </x:row>
    <x:row r="39" ht="90" customHeight="1">
      <x:c r="A39" s="11" t="str">
        <x:v>TC-IAM-007-01</x:v>
      </x:c>
      <x:c r="B39" s="11" t="str">
        <x:v>FR-IAM-007 / BR-IAM-007</x:v>
      </x:c>
      <x:c r="C39" s="11" t="str">
        <x:v>P0 / R1</x:v>
      </x:c>
      <x:c r="D39" s="11" t="str">
        <x:v>Recovery and identity changes intended outcome</x:v>
      </x:c>
      <x:c r="E39" s="11" t="str">
        <x:v>Synthetic tenant A; tenant B hidden markers; eligible actor with explicit capability, scope, purpose and current assurance. Set up the source acceptance fixture: Use a stolen ordinary session to replace the recovery email; the change is blocked until stronger verification succeeds.</x:v>
      </x:c>
      <x:c r="F39" s="11" t="str">
        <x:v>1. Record current object revisions, policy and safe audit cursor. 2. Perform the specified interaction: Identity changes require recent step up and verification of the new channel. Notify both permitted old and new contacts without disclosing secrets. Lost factor recovery verifies enrolled recovery evidence, consumes one recovery code and triggers a security notice. 3. Inspect UI, canonical API read and audit/receipt for the resulting version. 4. Apply the acceptance example: Use a stolen ordinary session to replace the recovery email; the change is blocked until stronger verification succeeds.</x:v>
      </x:c>
      <x:c r="G39" s="11" t="str">
        <x:v>Use a stolen ordinary session to replace the recovery email; the change is blocked until stronger verification succeeds. Required behaviour is preserved: Identity changes require recent step up and verification of the new channel. Notify both permitted old and new contacts without disclosing secrets. Lost factor recovery verifies enrolled recovery evidence, consumes one recovery code and triggers a security notice.</x:v>
      </x:c>
      <x:c r="H39" s="13" t="str">
        <x:v>Not run</x:v>
      </x:c>
      <x:c r="I39" s="13" t="str"/>
      <x:c r="J39" s="13" t="str">
        <x:v>Primary owning component C01. Execute relevant channels; record actual fixture IDs and observed evidence.</x:v>
      </x:c>
    </x:row>
    <x:row r="40" ht="90" customHeight="1">
      <x:c r="A40" s="11" t="str">
        <x:v>TC-IAM-007-02</x:v>
      </x:c>
      <x:c r="B40" s="11" t="str">
        <x:v>FR-IAM-007 / BR-IAM-007 / SC01–SC08</x:v>
      </x:c>
      <x:c r="C40" s="11" t="str">
        <x:v>P0 / R1</x:v>
      </x:c>
      <x:c r="D40" s="11" t="str">
        <x:v>Recovery and identity changes validation and recovery</x:v>
      </x:c>
      <x:c r="E40" s="11" t="str">
        <x:v>Start from the same eligible fixture and retain the submitted draft; record the last committed head and receipt. Introduce the boundary or failure stated below.</x:v>
      </x:c>
      <x:c r="F40" s="11" t="str">
        <x:v>1. Exercise each independent condition in the validation contract, as separate recorded variants: A support agent cannot reset identity based only on a conversation or knowledge questions. Disputed changes enter a restricted recovery case; existing broad privileges are not restored until verification completes. 2. Inspect the safe error/state and authorised recovery actions. 3. Correct the condition and retry under current authority and expected revision. 4. Compare durable effects and audit history with the original baseline.</x:v>
      </x:c>
      <x:c r="G40" s="11" t="str">
        <x:v>A support agent cannot reset identity based only on a conversation or knowledge questions. Disputed changes enter a restricted recovery case; existing broad privileges are not restored until verification completes. Ordinary failed saves have no partial effect. Explicit bulk partial modes account for committed and unprocessed items. A retry does not duplicate the intended business effect.</x:v>
      </x:c>
      <x:c r="H40" s="13" t="str">
        <x:v>Not run</x:v>
      </x:c>
      <x:c r="I40" s="13" t="str"/>
      <x:c r="J40" s="13" t="str">
        <x:v>Expand multi-condition variants in the run record. Required negative coverage, not a claim that one assertion covers every security attack.</x:v>
      </x:c>
    </x:row>
    <x:row r="41" ht="103" customHeight="1">
      <x:c r="A41" s="11" t="str">
        <x:v>TC-IAM-008-01</x:v>
      </x:c>
      <x:c r="B41" s="11" t="str">
        <x:v>FR-IAM-008 / BR-IAM-008</x:v>
      </x:c>
      <x:c r="C41" s="11" t="str">
        <x:v>P0 / R1</x:v>
      </x:c>
      <x:c r="D41" s="11" t="str">
        <x:v>Membership status and expiry intended outcome</x:v>
      </x:c>
      <x:c r="E41" s="11" t="str">
        <x:v>Synthetic tenant A; tenant B hidden markers; eligible actor with explicit capability, scope, purpose and current assurance. Set up the source acceptance fixture: Expire a reviewer in tenant A while retaining tenant B membership; A approvals fail and B authorised work continues.</x:v>
      </x:c>
      <x:c r="F41" s="11" t="str">
        <x:v>1. Record current object revisions, policy and safe audit cursor. 2. Perform the specified interaction: Memberships expose active, suspended, expired and revoked states independently in each tenant. A scheduled expiry uses an absolute instant; the member and owner see upcoming expiry. Suspension immediately starts online revocation and identifies pending work without changing historical attribution. 3. Inspect UI, canonical API read and audit/receipt for the resulting version. 4. Apply the acceptance example: Expire a reviewer in tenant A while retaining tenant B membership; A approvals fail and B authorised work continues.</x:v>
      </x:c>
      <x:c r="G41" s="11" t="str">
        <x:v>Expire a reviewer in tenant A while retaining tenant B membership; A approvals fail and B authorised work continues. Required behaviour is preserved: Memberships expose active, suspended, expired and revoked states independently in each tenant. A scheduled expiry uses an absolute instant; the member and owner see upcoming expiry. Suspension immediately starts online revocation and identifies pending work without changing historical attribution.</x:v>
      </x:c>
      <x:c r="H41" s="13" t="str">
        <x:v>Not run</x:v>
      </x:c>
      <x:c r="I41" s="13" t="str"/>
      <x:c r="J41" s="13" t="str">
        <x:v>Primary owning component C01. Execute relevant channels; record actual fixture IDs and observed evidence.</x:v>
      </x:c>
    </x:row>
    <x:row r="42" ht="90" customHeight="1">
      <x:c r="A42" s="11" t="str">
        <x:v>TC-IAM-008-02</x:v>
      </x:c>
      <x:c r="B42" s="11" t="str">
        <x:v>FR-IAM-008 / BR-IAM-008 / SC01–SC08</x:v>
      </x:c>
      <x:c r="C42" s="11" t="str">
        <x:v>P0 / R1</x:v>
      </x:c>
      <x:c r="D42" s="11" t="str">
        <x:v>Membership status and expiry validation and recovery</x:v>
      </x:c>
      <x:c r="E42" s="11" t="str">
        <x:v>Start from the same eligible fixture and retain the submitted draft; record the last committed head and receipt. Introduce the boundary or failure stated below.</x:v>
      </x:c>
      <x:c r="F42" s="11" t="str">
        <x:v>1. Exercise each independent condition in the validation contract, as separate recorded variants: Reactivation requires current grant review and new expiry where relevant. It cannot revive a revoked link, old service secret or independently expired delegation. Membership expiry is not account deletion. 2. Inspect the safe error/state and authorised recovery actions. 3. Correct the condition and retry under current authority and expected revision. 4. Compare durable effects and audit history with the original baseline.</x:v>
      </x:c>
      <x:c r="G42" s="11" t="str">
        <x:v>Reactivation requires current grant review and new expiry where relevant. It cannot revive a revoked link, old service secret or independently expired delegation. Membership expiry is not account deletion. Ordinary failed saves have no partial effect. Explicit bulk partial modes account for committed and unprocessed items. A retry does not duplicate the intended business effect.</x:v>
      </x:c>
      <x:c r="H42" s="13" t="str">
        <x:v>Not run</x:v>
      </x:c>
      <x:c r="I42" s="13" t="str"/>
      <x:c r="J42" s="13" t="str">
        <x:v>Expand multi-condition variants in the run record. Required negative coverage, not a claim that one assertion covers every security attack.</x:v>
      </x:c>
    </x:row>
    <x:row r="43" ht="103" customHeight="1">
      <x:c r="A43" s="11" t="str">
        <x:v>TC-IAM-009-01</x:v>
      </x:c>
      <x:c r="B43" s="11" t="str">
        <x:v>FR-IAM-009 / BR-IAM-009</x:v>
      </x:c>
      <x:c r="C43" s="11" t="str">
        <x:v>P0 / R1</x:v>
      </x:c>
      <x:c r="D43" s="11" t="str">
        <x:v>Delegated user administration intended outcome</x:v>
      </x:c>
      <x:c r="E43" s="11" t="str">
        <x:v>Synthetic tenant A; tenant B hidden markers; eligible actor with explicit capability, scope, purpose and current assurance. Set up the source acceptance fixture: A project administrator creates a group and attempts to add tenant administration through it; the indirect escalation fails.</x:v>
      </x:c>
      <x:c r="F43" s="11" t="str">
        <x:v>1. Record current object revisions, policy and safe audit cursor. 2. Perform the specified interaction: A delegated administrator can invite or modify members only within their delegation envelope. Grant preview computes the effective capability difference and flags sensitive expansion for independent approval. Approval rechecks the issuer's current delegation authority. 3. Inspect UI, canonical API read and audit/receipt for the resulting version. 4. Apply the acceptance example: A project administrator creates a group and attempts to add tenant administration through it; the indirect escalation fails.</x:v>
      </x:c>
      <x:c r="G43" s="11" t="str">
        <x:v>A project administrator creates a group and attempts to add tenant administration through it; the indirect escalation fails. Required behaviour is preserved: A delegated administrator can invite or modify members only within their delegation envelope. Grant preview computes the effective capability difference and flags sensitive expansion for independent approval. Approval rechecks the issuer's current delegation authority.</x:v>
      </x:c>
      <x:c r="H43" s="13" t="str">
        <x:v>Not run</x:v>
      </x:c>
      <x:c r="I43" s="13" t="str"/>
      <x:c r="J43" s="13" t="str">
        <x:v>Primary owning component C01. Execute relevant channels; record actual fixture IDs and observed evidence.</x:v>
      </x:c>
    </x:row>
    <x:row r="44" ht="90" customHeight="1">
      <x:c r="A44" s="11" t="str">
        <x:v>TC-IAM-009-02</x:v>
      </x:c>
      <x:c r="B44" s="11" t="str">
        <x:v>FR-IAM-009 / BR-IAM-009 / SC01–SC08</x:v>
      </x:c>
      <x:c r="C44" s="11" t="str">
        <x:v>P0 / R1</x:v>
      </x:c>
      <x:c r="D44" s="11" t="str">
        <x:v>Delegated user administration validation and recovery</x:v>
      </x:c>
      <x:c r="E44" s="11" t="str">
        <x:v>Start from the same eligible fixture and retain the submitted draft; record the last committed head and receipt. Introduce the boundary or failure stated below.</x:v>
      </x:c>
      <x:c r="F44" s="11" t="str">
        <x:v>1. Exercise each independent condition in the validation contract, as separate recorded variants: An administrator cannot delegate a right they merely possess if it is not delegable. Self elevation, granting a role through a new group and scope expansion through an import use identical checks. 2. Inspect the safe error/state and authorised recovery actions. 3. Correct the condition and retry under current authority and expected revision. 4. Compare durable effects and audit history with the original baseline.</x:v>
      </x:c>
      <x:c r="G44" s="11" t="str">
        <x:v>An administrator cannot delegate a right they merely possess if it is not delegable. Self elevation, granting a role through a new group and scope expansion through an import use identical checks. Ordinary failed saves have no partial effect. Explicit bulk partial modes account for committed and unprocessed items. A retry does not duplicate the intended business effect.</x:v>
      </x:c>
      <x:c r="H44" s="13" t="str">
        <x:v>Not run</x:v>
      </x:c>
      <x:c r="I44" s="13" t="str"/>
      <x:c r="J44" s="13" t="str">
        <x:v>Expand multi-condition variants in the run record. Required negative coverage, not a claim that one assertion covers every security attack.</x:v>
      </x:c>
    </x:row>
    <x:row r="45" ht="103" customHeight="1">
      <x:c r="A45" s="11" t="str">
        <x:v>TC-IAM-010-01</x:v>
      </x:c>
      <x:c r="B45" s="11" t="str">
        <x:v>FR-IAM-010 / BR-IAM-010</x:v>
      </x:c>
      <x:c r="C45" s="11" t="str">
        <x:v>P1 / R1</x:v>
      </x:c>
      <x:c r="D45" s="11" t="str">
        <x:v>Group management intended outcome</x:v>
      </x:c>
      <x:c r="E45" s="11" t="str">
        <x:v>Synthetic tenant A; tenant B hidden markers; eligible actor with explicit capability, scope, purpose and current assurance. Set up the source acceptance fixture: Remove an analyst from a reporting group; existing report links, AI citations and scheduled exports are denied within the defined bound.</x:v>
      </x:c>
      <x:c r="F45" s="11" t="str">
        <x:v>1. Record current object revisions, policy and safe audit cursor. 2. Perform the specified interaction: Group editors maintain members and scoped grants with effective dates and ownership. Effective permission inspection expands all valid grant paths. R1 uses flat groups; R2 may enable nested groups only after cycle detection, visible ancestry and identical revocation behaviour are qualified. 3. Inspect UI, canonical API read and audit/receipt for the resulting version. 4. Apply the acceptance example: Remove an analyst from a reporting group; existing report links, AI citations and scheduled exports are denied within the defined bound.</x:v>
      </x:c>
      <x:c r="G45" s="11" t="str">
        <x:v>Remove an analyst from a reporting group; existing report links, AI citations and scheduled exports are denied within the defined bound. Required behaviour is preserved: Group editors maintain members and scoped grants with effective dates and ownership. Effective permission inspection expands all valid grant paths. R1 uses flat groups; R2 may enable nested groups only after cycle detection, visible ancestry and identical revocation behaviour are qualified.</x:v>
      </x:c>
      <x:c r="H45" s="13" t="str">
        <x:v>Not run</x:v>
      </x:c>
      <x:c r="I45" s="13" t="str"/>
      <x:c r="J45" s="13" t="str">
        <x:v>Primary owning component C01. Execute relevant channels; record actual fixture IDs and observed evidence.</x:v>
      </x:c>
    </x:row>
    <x:row r="46" ht="77" customHeight="1">
      <x:c r="A46" s="11" t="str">
        <x:v>TC-IAM-010-02</x:v>
      </x:c>
      <x:c r="B46" s="11" t="str">
        <x:v>FR-IAM-010 / BR-IAM-010 / SC01–SC08</x:v>
      </x:c>
      <x:c r="C46" s="11" t="str">
        <x:v>P1 / R1</x:v>
      </x:c>
      <x:c r="D46" s="11" t="str">
        <x:v>Group management validation and recovery</x:v>
      </x:c>
      <x:c r="E46" s="11" t="str">
        <x:v>Start from the same eligible fixture and retain the submitted draft; record the last committed head and receipt. Introduce the boundary or failure stated below.</x:v>
      </x:c>
      <x:c r="F46" s="11" t="str">
        <x:v>1. Exercise each independent condition in the validation contract, as separate recorded variants: Removing membership invalidates each derived permission. Group deletion retires future grants but retains audit history. Explicit restrictive policies still override group permissions. 2. Inspect the safe error/state and authorised recovery actions. 3. Correct the condition and retry under current authority and expected revision. 4. Compare durable effects and audit history with the original baseline.</x:v>
      </x:c>
      <x:c r="G46" s="11" t="str">
        <x:v>Removing membership invalidates each derived permission. Group deletion retires future grants but retains audit history. Explicit restrictive policies still override group permissions. Ordinary failed saves have no partial effect. Explicit bulk partial modes account for committed and unprocessed items. A retry does not duplicate the intended business effect.</x:v>
      </x:c>
      <x:c r="H46" s="13" t="str">
        <x:v>Not run</x:v>
      </x:c>
      <x:c r="I46" s="13" t="str"/>
      <x:c r="J46" s="13" t="str">
        <x:v>Expand multi-condition variants in the run record. Required negative coverage, not a claim that one assertion covers every security attack.</x:v>
      </x:c>
    </x:row>
    <x:row r="47" ht="103" customHeight="1">
      <x:c r="A47" s="11" t="str">
        <x:v>TC-IAM-011-01</x:v>
      </x:c>
      <x:c r="B47" s="11" t="str">
        <x:v>FR-IAM-011 / BR-IAM-011</x:v>
      </x:c>
      <x:c r="C47" s="11" t="str">
        <x:v>P1 / R2</x:v>
      </x:c>
      <x:c r="D47" s="11" t="str">
        <x:v>Access certification intended outcome</x:v>
      </x:c>
      <x:c r="E47" s="11" t="str">
        <x:v>Synthetic tenant A; tenant B hidden markers; eligible actor with explicit capability, scope, purpose and current assurance. Set up the source acceptance fixture: Review a service identity whose owner has left; assign a new owner or revoke it and retain the review decision and execution receipt.</x:v>
      </x:c>
      <x:c r="F47" s="11" t="str">
        <x:v>1. Record current object revisions, policy and safe audit cursor. 2. Perform the specified interaction: An owner starts an access review for selected scopes and a snapshot date. Reviewers see subject, source of grant, sensitive capabilities, expiry, owner and last relevant activity. Each grant is retained, narrowed or revoked with reason; unreviewed grants remain flagged overdue. 3. Inspect UI, canonical API read and audit/receipt for the resulting version. 4. Apply the acceptance example: Review a service identity whose owner has left; assign a new owner or revoke it and retain the review decision and execution receipt.</x:v>
      </x:c>
      <x:c r="G47" s="11" t="str">
        <x:v>Review a service identity whose owner has left; assign a new owner or revoke it and retain the review decision and execution receipt. Required behaviour is preserved: An owner starts an access review for selected scopes and a snapshot date. Reviewers see subject, source of grant, sensitive capabilities, expiry, owner and last relevant activity. Each grant is retained, narrowed or revoked with reason; unreviewed grants remain flagged overdue.</x:v>
      </x:c>
      <x:c r="H47" s="13" t="str">
        <x:v>Not run</x:v>
      </x:c>
      <x:c r="I47" s="13" t="str"/>
      <x:c r="J47" s="13" t="str">
        <x:v>Primary owning component C01. Execute relevant channels; record actual fixture IDs and observed evidence.</x:v>
      </x:c>
    </x:row>
    <x:row r="48" ht="77" customHeight="1">
      <x:c r="A48" s="11" t="str">
        <x:v>TC-IAM-011-02</x:v>
      </x:c>
      <x:c r="B48" s="11" t="str">
        <x:v>FR-IAM-011 / BR-IAM-011 / SC01–SC08</x:v>
      </x:c>
      <x:c r="C48" s="11" t="str">
        <x:v>P1 / R2</x:v>
      </x:c>
      <x:c r="D48" s="11" t="str">
        <x:v>Access certification validation and recovery</x:v>
      </x:c>
      <x:c r="E48" s="11" t="str">
        <x:v>Start from the same eligible fixture and retain the submitted draft; record the last committed head and receipt. Introduce the boundary or failure stated below.</x:v>
      </x:c>
      <x:c r="F48" s="11" t="str">
        <x:v>1. Exercise each independent condition in the validation contract, as separate recorded variants: Review access reveals entitlement metadata only, not protected record content. Execution rechecks the current grant revision so a stale review cannot revoke an unrelated replacement grant. 2. Inspect the safe error/state and authorised recovery actions. 3. Correct the condition and retry under current authority and expected revision. 4. Compare durable effects and audit history with the original baseline.</x:v>
      </x:c>
      <x:c r="G48" s="11" t="str">
        <x:v>Review access reveals entitlement metadata only, not protected record content. Execution rechecks the current grant revision so a stale review cannot revoke an unrelated replacement grant. Ordinary failed saves have no partial effect. Explicit bulk partial modes account for committed and unprocessed items. A retry does not duplicate the intended business effect.</x:v>
      </x:c>
      <x:c r="H48" s="13" t="str">
        <x:v>Not run</x:v>
      </x:c>
      <x:c r="I48" s="13" t="str"/>
      <x:c r="J48" s="13" t="str">
        <x:v>Expand multi-condition variants in the run record. Required negative coverage, not a claim that one assertion covers every security attack.</x:v>
      </x:c>
    </x:row>
    <x:row r="49" ht="90" customHeight="1">
      <x:c r="A49" s="11" t="str">
        <x:v>TC-IAM-012-01</x:v>
      </x:c>
      <x:c r="B49" s="11" t="str">
        <x:v>FR-IAM-012 / BR-IAM-012</x:v>
      </x:c>
      <x:c r="C49" s="11" t="str">
        <x:v>P0 / R1</x:v>
      </x:c>
      <x:c r="D49" s="11" t="str">
        <x:v>Service identities intended outcome</x:v>
      </x:c>
      <x:c r="E49" s="11" t="str">
        <x:v>Synthetic tenant A; tenant B hidden markers; eligible actor with explicit capability, scope, purpose and current assurance. Set up the source acceptance fixture: Rotate during a retried connector run; one intended row effect is recorded and the expired secret fails on its next request.</x:v>
      </x:c>
      <x:c r="F49" s="11" t="str">
        <x:v>1. Record current object revisions, policy and safe audit cursor. 2. Perform the specified interaction: A service owner creates a machine identity with purpose, allowed resources, operations and expiry. A secret is shown once at issue and later only as a safe reference. Rotation permits a bounded overlap, after which the previous credential is revoked. 3. Inspect UI, canonical API read and audit/receipt for the resulting version. 4. Apply the acceptance example: Rotate during a retried connector run; one intended row effect is recorded and the expired secret fails on its next request.</x:v>
      </x:c>
      <x:c r="G49" s="11" t="str">
        <x:v>Rotate during a retried connector run; one intended row effect is recorded and the expired secret fails on its next request. Required behaviour is preserved: A service owner creates a machine identity with purpose, allowed resources, operations and expiry. A secret is shown once at issue and later only as a safe reference. Rotation permits a bounded overlap, after which the previous credential is revoked.</x:v>
      </x:c>
      <x:c r="H49" s="13" t="str">
        <x:v>Not run</x:v>
      </x:c>
      <x:c r="I49" s="13" t="str"/>
      <x:c r="J49" s="13" t="str">
        <x:v>Primary owning component C01. Execute relevant channels; record actual fixture IDs and observed evidence.</x:v>
      </x:c>
    </x:row>
    <x:row r="50" ht="90" customHeight="1">
      <x:c r="A50" s="11" t="str">
        <x:v>TC-IAM-012-02</x:v>
      </x:c>
      <x:c r="B50" s="11" t="str">
        <x:v>FR-IAM-012 / BR-IAM-012 / SC01–SC08</x:v>
      </x:c>
      <x:c r="C50" s="11" t="str">
        <x:v>P0 / R1</x:v>
      </x:c>
      <x:c r="D50" s="11" t="str">
        <x:v>Service identities validation and recovery</x:v>
      </x:c>
      <x:c r="E50" s="11" t="str">
        <x:v>Start from the same eligible fixture and retain the submitted draft; record the last committed head and receipt. Introduce the boundary or failure stated below.</x:v>
      </x:c>
      <x:c r="F50" s="11" t="str">
        <x:v>1. Exercise each independent condition in the validation contract, as separate recorded variants: No ordinary login or human approval using a service identity. Owner departure flags the credential for reassignment or suspension. Credentials cannot broaden the scope of the owning integration. 2. Inspect the safe error/state and authorised recovery actions. 3. Correct the condition and retry under current authority and expected revision. 4. Compare durable effects and audit history with the original baseline.</x:v>
      </x:c>
      <x:c r="G50" s="11" t="str">
        <x:v>No ordinary login or human approval using a service identity. Owner departure flags the credential for reassignment or suspension. Credentials cannot broaden the scope of the owning integration. Ordinary failed saves have no partial effect. Explicit bulk partial modes account for committed and unprocessed items. A retry does not duplicate the intended business effect.</x:v>
      </x:c>
      <x:c r="H50" s="13" t="str">
        <x:v>Not run</x:v>
      </x:c>
      <x:c r="I50" s="13" t="str"/>
      <x:c r="J50" s="13" t="str">
        <x:v>Expand multi-condition variants in the run record. Required negative coverage, not a claim that one assertion covers every security attack.</x:v>
      </x:c>
    </x:row>
    <x:row r="51" ht="90" customHeight="1">
      <x:c r="A51" s="11" t="str">
        <x:v>TC-IAM-013-01</x:v>
      </x:c>
      <x:c r="B51" s="11" t="str">
        <x:v>FR-IAM-013 / BR-IAM-013</x:v>
      </x:c>
      <x:c r="C51" s="11" t="str">
        <x:v>P1 / R1</x:v>
      </x:c>
      <x:c r="D51" s="11" t="str">
        <x:v>User profile and preferences intended outcome</x:v>
      </x:c>
      <x:c r="E51" s="11" t="str">
        <x:v>Synthetic tenant A; tenant B hidden markers; eligible actor with explicit capability, scope, purpose and current assurance. Set up the source acceptance fixture: Change the display name and zone after an approval; the approval still resolves to the same actor and original absolute timestamp.</x:v>
      </x:c>
      <x:c r="F51" s="11" t="str">
        <x:v>1. Record current object revisions, policy and safe audit cursor. 2. Perform the specified interaction: The profile screen permits display name, interface language, reporting preferences, time zone and accessibility choices. Directory controlled fields are read only with a source label. A change previews date and number display without changing stored values. 3. Inspect UI, canonical API read and audit/receipt for the resulting version. 4. Apply the acceptance example: Change the display name and zone after an approval; the approval still resolves to the same actor and original absolute timestamp.</x:v>
      </x:c>
      <x:c r="G51" s="11" t="str">
        <x:v>Change the display name and zone after an approval; the approval still resolves to the same actor and original absolute timestamp. Required behaviour is preserved: The profile screen permits display name, interface language, reporting preferences, time zone and accessibility choices. Directory controlled fields are read only with a source label. A change previews date and number display without changing stored values.</x:v>
      </x:c>
      <x:c r="H51" s="13" t="str">
        <x:v>Not run</x:v>
      </x:c>
      <x:c r="I51" s="13" t="str"/>
      <x:c r="J51" s="13" t="str">
        <x:v>Primary owning component C01. Execute relevant channels; record actual fixture IDs and observed evidence.</x:v>
      </x:c>
    </x:row>
    <x:row r="52" ht="77" customHeight="1">
      <x:c r="A52" s="11" t="str">
        <x:v>TC-IAM-013-02</x:v>
      </x:c>
      <x:c r="B52" s="11" t="str">
        <x:v>FR-IAM-013 / BR-IAM-013 / SC01–SC08</x:v>
      </x:c>
      <x:c r="C52" s="11" t="str">
        <x:v>P1 / R1</x:v>
      </x:c>
      <x:c r="D52" s="11" t="str">
        <x:v>User profile and preferences validation and recovery</x:v>
      </x:c>
      <x:c r="E52" s="11" t="str">
        <x:v>Start from the same eligible fixture and retain the submitted draft; record the last committed head and receipt. Introduce the boundary or failure stated below.</x:v>
      </x:c>
      <x:c r="F52" s="11" t="str">
        <x:v>1. Exercise each independent condition in the validation contract, as separate recorded variants: Immutable identity and audit attribution never depend on display name. Preferences cannot suppress mandatory security notices or override an organisation reporting calendar. 2. Inspect the safe error/state and authorised recovery actions. 3. Correct the condition and retry under current authority and expected revision. 4. Compare durable effects and audit history with the original baseline.</x:v>
      </x:c>
      <x:c r="G52" s="11" t="str">
        <x:v>Immutable identity and audit attribution never depend on display name. Preferences cannot suppress mandatory security notices or override an organisation reporting calendar. Ordinary failed saves have no partial effect. Explicit bulk partial modes account for committed and unprocessed items. A retry does not duplicate the intended business effect.</x:v>
      </x:c>
      <x:c r="H52" s="13" t="str">
        <x:v>Not run</x:v>
      </x:c>
      <x:c r="I52" s="13" t="str"/>
      <x:c r="J52" s="13" t="str">
        <x:v>Expand multi-condition variants in the run record. Required negative coverage, not a claim that one assertion covers every security attack.</x:v>
      </x:c>
    </x:row>
    <x:row r="53" ht="103" customHeight="1">
      <x:c r="A53" s="11" t="str">
        <x:v>TC-IAM-014-01</x:v>
      </x:c>
      <x:c r="B53" s="11" t="str">
        <x:v>FR-IAM-014 / BR-IAM-014</x:v>
      </x:c>
      <x:c r="C53" s="11" t="str">
        <x:v>P0 / R1</x:v>
      </x:c>
      <x:c r="D53" s="11" t="str">
        <x:v>Departure and work reassignment intended outcome</x:v>
      </x:c>
      <x:c r="E53" s="11" t="str">
        <x:v>Synthetic tenant A; tenant B hidden markers; eligible actor with explicit capability, scope, purpose and current assurance. Set up the source acceptance fixture: Remove a report schedule owner with an export in progress; the system preserves receipts but prevents unapproved delivery and records the successor decision.</x:v>
      </x:c>
      <x:c r="F53" s="11" t="str">
        <x:v>1. Record current object revisions, policy and safe audit cursor. 2. Perform the specified interaction: The offboarding wizard first revokes access, then lists owned sources, schedules, drafts, credentials and approval tasks for an authorised successor. Each item is reassigned, cancelled or held with an owner; export and delivery jobs reauthorise before any sensitive action. 3. Inspect UI, canonical API read and audit/receipt for the resulting version. 4. Apply the acceptance example: Remove a report schedule owner with an export in progress; the system preserves receipts but prevents unapproved delivery and records the successor decision.</x:v>
      </x:c>
      <x:c r="G53" s="11" t="str">
        <x:v>Remove a report schedule owner with an export in progress; the system preserves receipts but prevents unapproved delivery and records the successor decision. Required behaviour is preserved: The offboarding wizard first revokes access, then lists owned sources, schedules, drafts, credentials and approval tasks for an authorised successor. Each item is reassigned, cancelled or held with an owner; export and delivery jobs reauthorise before any sensitive action.</x:v>
      </x:c>
      <x:c r="H53" s="13" t="str">
        <x:v>Not run</x:v>
      </x:c>
      <x:c r="I53" s="13" t="str"/>
      <x:c r="J53" s="13" t="str">
        <x:v>Primary owning component C01. Execute relevant channels; record actual fixture IDs and observed evidence.</x:v>
      </x:c>
    </x:row>
    <x:row r="54" ht="90" customHeight="1">
      <x:c r="A54" s="11" t="str">
        <x:v>TC-IAM-014-02</x:v>
      </x:c>
      <x:c r="B54" s="11" t="str">
        <x:v>FR-IAM-014 / BR-IAM-014 / SC01–SC08</x:v>
      </x:c>
      <x:c r="C54" s="11" t="str">
        <x:v>P0 / R1</x:v>
      </x:c>
      <x:c r="D54" s="11" t="str">
        <x:v>Departure and work reassignment validation and recovery</x:v>
      </x:c>
      <x:c r="E54" s="11" t="str">
        <x:v>Start from the same eligible fixture and retain the submitted draft; record the last committed head and receipt. Introduce the boundary or failure stated below.</x:v>
      </x:c>
      <x:c r="F54" s="11" t="str">
        <x:v>1. Exercise each independent condition in the validation contract, as separate recorded variants: Reassignment is not impersonation and never transfers the departed person's approval decision. Work cannot continue under an orphaned human session. Content visibility follows the successor's explicit grants. 2. Inspect the safe error/state and authorised recovery actions. 3. Correct the condition and retry under current authority and expected revision. 4. Compare durable effects and audit history with the original baseline.</x:v>
      </x:c>
      <x:c r="G54" s="11" t="str">
        <x:v>Reassignment is not impersonation and never transfers the departed person's approval decision. Work cannot continue under an orphaned human session. Content visibility follows the successor's explicit grants. Ordinary failed saves have no partial effect. Explicit bulk partial modes account for committed and unprocessed items. A retry does not duplicate the intended business effect.</x:v>
      </x:c>
      <x:c r="H54" s="13" t="str">
        <x:v>Not run</x:v>
      </x:c>
      <x:c r="I54" s="13" t="str"/>
      <x:c r="J54" s="13" t="str">
        <x:v>Expand multi-condition variants in the run record. Required negative coverage, not a claim that one assertion covers every security attack.</x:v>
      </x:c>
    </x:row>
    <x:row r="55" ht="90" customHeight="1">
      <x:c r="A55" s="11" t="str">
        <x:v>TC-ACC-001-01</x:v>
      </x:c>
      <x:c r="B55" s="11" t="str">
        <x:v>FR-ACC-001 / BR-ACC-001</x:v>
      </x:c>
      <x:c r="C55" s="11" t="str">
        <x:v>P0 / R1</x:v>
      </x:c>
      <x:c r="D55" s="11" t="str">
        <x:v>Deny by default intended outcome</x:v>
      </x:c>
      <x:c r="E55" s="11" t="str">
        <x:v>Synthetic tenant A; tenant B hidden markers; eligible actor with explicit capability, scope, purpose and current assurance. Set up the source acceptance fixture: Replace a participant ID with one from another tenant in a valid form submission; reject the reference and record no cross tenant relationship.</x:v>
      </x:c>
      <x:c r="F55" s="11" t="str">
        <x:v>1. Record current object revisions, policy and safe audit cursor. 2. Perform the specified interaction: The authorisation layer evaluates every resource and related reference before reading or writing. A client supplied tenant or object ID is a selector, never proof of access. Batch requests check each item and expose only permitted item outcomes. 3. Inspect UI, canonical API read and audit/receipt for the resulting version. 4. Apply the acceptance example: Replace a participant ID with one from another tenant in a valid form submission; reject the reference and record no cross tenant relationship.</x:v>
      </x:c>
      <x:c r="G55" s="11" t="str">
        <x:v>Replace a participant ID with one from another tenant in a valid form submission; reject the reference and record no cross tenant relationship. Required behaviour is preserved: The authorisation layer evaluates every resource and related reference before reading or writing. A client supplied tenant or object ID is a selector, never proof of access. Batch requests check each item and expose only permitted item outcomes.</x:v>
      </x:c>
      <x:c r="H55" s="13" t="str">
        <x:v>Not run</x:v>
      </x:c>
      <x:c r="I55" s="13" t="str"/>
      <x:c r="J55" s="13" t="str">
        <x:v>Primary owning component C02. Execute relevant channels; record actual fixture IDs and observed evidence.</x:v>
      </x:c>
    </x:row>
    <x:row r="56" ht="77" customHeight="1">
      <x:c r="A56" s="11" t="str">
        <x:v>TC-ACC-001-02</x:v>
      </x:c>
      <x:c r="B56" s="11" t="str">
        <x:v>FR-ACC-001 / BR-ACC-001 / SC01–SC08</x:v>
      </x:c>
      <x:c r="C56" s="11" t="str">
        <x:v>P0 / R1</x:v>
      </x:c>
      <x:c r="D56" s="11" t="str">
        <x:v>Deny by default validation and recovery</x:v>
      </x:c>
      <x:c r="E56" s="11" t="str">
        <x:v>Start from the same eligible fixture and retain the submitted draft; record the last committed head and receipt. Introduce the boundary or failure stated below.</x:v>
      </x:c>
      <x:c r="F56" s="11" t="str">
        <x:v>1. Exercise each independent condition in the validation contract, as separate recorded variants: For protected unknown IDs use RESOURCE_UNAVAILABLE without record names or counts. Failure to resolve policy denies the action rather than using a cached broad role. 2. Inspect the safe error/state and authorised recovery actions. 3. Correct the condition and retry under current authority and expected revision. 4. Compare durable effects and audit history with the original baseline.</x:v>
      </x:c>
      <x:c r="G56" s="11" t="str">
        <x:v>For protected unknown IDs use RESOURCE_UNAVAILABLE without record names or counts. Failure to resolve policy denies the action rather than using a cached broad role. Ordinary failed saves have no partial effect. Explicit bulk partial modes account for committed and unprocessed items. A retry does not duplicate the intended business effect.</x:v>
      </x:c>
      <x:c r="H56" s="13" t="str">
        <x:v>Not run</x:v>
      </x:c>
      <x:c r="I56" s="13" t="str"/>
      <x:c r="J56" s="13" t="str">
        <x:v>Expand multi-condition variants in the run record. Required negative coverage, not a claim that one assertion covers every security attack.</x:v>
      </x:c>
    </x:row>
    <x:row r="57" ht="90" customHeight="1">
      <x:c r="A57" s="11" t="str">
        <x:v>TC-ACC-002-01</x:v>
      </x:c>
      <x:c r="B57" s="11" t="str">
        <x:v>FR-ACC-002 / BR-ACC-002</x:v>
      </x:c>
      <x:c r="C57" s="11" t="str">
        <x:v>P0 / R1</x:v>
      </x:c>
      <x:c r="D57" s="11" t="str">
        <x:v>Fine grained scope intended outcome</x:v>
      </x:c>
      <x:c r="E57" s="11" t="str">
        <x:v>Synthetic tenant A; tenant B hidden markers; eligible actor with explicit capability, scope, purpose and current assurance. Set up the source acceptance fixture: Grant a reviewer access to one candidate and necessary evidence; attempts to edit the source or export the registry fail.</x:v>
      </x:c>
      <x:c r="F57" s="11" t="str">
        <x:v>1. Record current object revisions, policy and safe audit cursor. 2. Perform the specified interaction: A grant editor selects action, project or partner scope, record condition and permitted field categories separately. Record reads apply row and field policy before filters, sorting, aggregation or export. Writing a hidden field is denied even when the row is editable. 3. Inspect UI, canonical API read and audit/receipt for the resulting version. 4. Apply the acceptance example: Grant a reviewer access to one candidate and necessary evidence; attempts to edit the source or export the registry fail.</x:v>
      </x:c>
      <x:c r="G57" s="11" t="str">
        <x:v>Grant a reviewer access to one candidate and necessary evidence; attempts to edit the source or export the registry fail. Required behaviour is preserved: A grant editor selects action, project or partner scope, record condition and permitted field categories separately. Record reads apply row and field policy before filters, sorting, aggregation or export. Writing a hidden field is denied even when the row is editable.</x:v>
      </x:c>
      <x:c r="H57" s="13" t="str">
        <x:v>Not run</x:v>
      </x:c>
      <x:c r="I57" s="13" t="str"/>
      <x:c r="J57" s="13" t="str">
        <x:v>Primary owning component C02. Execute relevant channels; record actual fixture IDs and observed evidence.</x:v>
      </x:c>
    </x:row>
    <x:row r="58" ht="77" customHeight="1">
      <x:c r="A58" s="11" t="str">
        <x:v>TC-ACC-002-02</x:v>
      </x:c>
      <x:c r="B58" s="11" t="str">
        <x:v>FR-ACC-002 / BR-ACC-002 / SC01–SC08</x:v>
      </x:c>
      <x:c r="C58" s="11" t="str">
        <x:v>P0 / R1</x:v>
      </x:c>
      <x:c r="D58" s="11" t="str">
        <x:v>Fine grained scope validation and recovery</x:v>
      </x:c>
      <x:c r="E58" s="11" t="str">
        <x:v>Start from the same eligible fixture and retain the submitted draft; record the last committed head and receipt. Introduce the boundary or failure stated below.</x:v>
      </x:c>
      <x:c r="F58" s="11" t="str">
        <x:v>1. Exercise each independent condition in the validation contract, as separate recorded variants: A field omitted because of access is not interpreted as a request to clear it. Sensitive view, download, approval and publication are independent from ordinary read. 2. Inspect the safe error/state and authorised recovery actions. 3. Correct the condition and retry under current authority and expected revision. 4. Compare durable effects and audit history with the original baseline.</x:v>
      </x:c>
      <x:c r="G58" s="11" t="str">
        <x:v>A field omitted because of access is not interpreted as a request to clear it. Sensitive view, download, approval and publication are independent from ordinary read. Ordinary failed saves have no partial effect. Explicit bulk partial modes account for committed and unprocessed items. A retry does not duplicate the intended business effect.</x:v>
      </x:c>
      <x:c r="H58" s="13" t="str">
        <x:v>Not run</x:v>
      </x:c>
      <x:c r="I58" s="13" t="str"/>
      <x:c r="J58" s="13" t="str">
        <x:v>Expand multi-condition variants in the run record. Required negative coverage, not a claim that one assertion covers every security attack.</x:v>
      </x:c>
    </x:row>
    <x:row r="59" ht="103" customHeight="1">
      <x:c r="A59" s="11" t="str">
        <x:v>TC-ACC-003-01</x:v>
      </x:c>
      <x:c r="B59" s="11" t="str">
        <x:v>FR-ACC-003 / BR-ACC-003</x:v>
      </x:c>
      <x:c r="C59" s="11" t="str">
        <x:v>P0 / R1</x:v>
      </x:c>
      <x:c r="D59" s="11" t="str">
        <x:v>Effective permissions intended outcome</x:v>
      </x:c>
      <x:c r="E59" s="11" t="str">
        <x:v>Synthetic tenant A; tenant B hidden markers; eligible actor with explicit capability, scope, purpose and current assurance. Set up the source acceptance fixture: Give a person both analyst and partner templates; a restriction on another partner's rows remains effective and the explanation identifies the scope rule safely.</x:v>
      </x:c>
      <x:c r="F59" s="11" t="str">
        <x:v>1. Record current object revisions, policy and safe audit cursor. 2. Perform the specified interaction: Effective access inspection shows each permitted grant path, restrictions and missing assurance for a selected action. A normal user sees only explanations about their own permitted context; an authorised administrator may simulate subjects within their administration scope. 3. Inspect UI, canonical API read and audit/receipt for the resulting version. 4. Apply the acceptance example: Give a person both analyst and partner templates; a restriction on another partner's rows remains effective and the explanation identifies the scope rule safely.</x:v>
      </x:c>
      <x:c r="G59" s="11" t="str">
        <x:v>Give a person both analyst and partner templates; a restriction on another partner's rows remains effective and the explanation identifies the scope rule safely. Required behaviour is preserved: Effective access inspection shows each permitted grant path, restrictions and missing assurance for a selected action. A normal user sees only explanations about their own permitted context; an authorised administrator may simulate subjects within their administration scope.</x:v>
      </x:c>
      <x:c r="H59" s="13" t="str">
        <x:v>Not run</x:v>
      </x:c>
      <x:c r="I59" s="13" t="str"/>
      <x:c r="J59" s="13" t="str">
        <x:v>Primary owning component C02. Execute relevant channels; record actual fixture IDs and observed evidence.</x:v>
      </x:c>
    </x:row>
    <x:row r="60" ht="77" customHeight="1">
      <x:c r="A60" s="11" t="str">
        <x:v>TC-ACC-003-02</x:v>
      </x:c>
      <x:c r="B60" s="11" t="str">
        <x:v>FR-ACC-003 / BR-ACC-003 / SC01–SC08</x:v>
      </x:c>
      <x:c r="C60" s="11" t="str">
        <x:v>P0 / R1</x:v>
      </x:c>
      <x:c r="D60" s="11" t="str">
        <x:v>Effective permissions validation and recovery</x:v>
      </x:c>
      <x:c r="E60" s="11" t="str">
        <x:v>Start from the same eligible fixture and retain the submitted draft; record the last committed head and receipt. Introduce the boundary or failure stated below.</x:v>
      </x:c>
      <x:c r="F60" s="11" t="str">
        <x:v>1. Exercise each independent condition in the validation contract, as separate recorded variants: Do not expose names of hidden projects or sensitive field values while explaining denial. Explicit restriction wins across conflicting roles. 2. Inspect the safe error/state and authorised recovery actions. 3. Correct the condition and retry under current authority and expected revision. 4. Compare durable effects and audit history with the original baseline.</x:v>
      </x:c>
      <x:c r="G60" s="11" t="str">
        <x:v>Do not expose names of hidden projects or sensitive field values while explaining denial. Explicit restriction wins across conflicting roles. Ordinary failed saves have no partial effect. Explicit bulk partial modes account for committed and unprocessed items. A retry does not duplicate the intended business effect.</x:v>
      </x:c>
      <x:c r="H60" s="13" t="str">
        <x:v>Not run</x:v>
      </x:c>
      <x:c r="I60" s="13" t="str"/>
      <x:c r="J60" s="13" t="str">
        <x:v>Expand multi-condition variants in the run record. Required negative coverage, not a claim that one assertion covers every security attack.</x:v>
      </x:c>
    </x:row>
    <x:row r="61" ht="103" customHeight="1">
      <x:c r="A61" s="11" t="str">
        <x:v>TC-ACC-004-01</x:v>
      </x:c>
      <x:c r="B61" s="11" t="str">
        <x:v>FR-ACC-004 / BR-ACC-004</x:v>
      </x:c>
      <x:c r="C61" s="11" t="str">
        <x:v>P0 / R1</x:v>
      </x:c>
      <x:c r="D61" s="11" t="str">
        <x:v>Separation of duties intended outcome</x:v>
      </x:c>
      <x:c r="E61" s="11" t="str">
        <x:v>Synthetic tenant A; tenant B hidden markers; eligible actor with explicit capability, scope, purpose and current assurance. Set up the source acceptance fixture: The author becomes a reviewer through a second group and attempts approval; the system still requires a different eligible person.</x:v>
      </x:c>
      <x:c r="F61" s="11" t="str">
        <x:v>1. Record current object revisions, policy and safe audit cursor. 2. Perform the specified interaction: Before accepting approval, calculate the candidate's author set, verified identity aliases, delegated authorisation and current reviewer assignment. Reject overlap between reviewer and material authors. Emergency exceptions require a separately approved policy and cannot silently count self approval as independent. 3. Inspect UI, canonical API read and audit/receipt for the resulting version. 4. Apply the acceptance example: The author becomes a reviewer through a second group and attempts approval; the system still requires a different eligible person.</x:v>
      </x:c>
      <x:c r="G61" s="11" t="str">
        <x:v>The author becomes a reviewer through a second group and attempts approval; the system still requires a different eligible person. Required behaviour is preserved: Before accepting approval, calculate the candidate's author set, verified identity aliases, delegated authorisation and current reviewer assignment. Reject overlap between reviewer and material authors. Emergency exceptions require a separately approved policy and cannot silently count self approval as independent.</x:v>
      </x:c>
      <x:c r="H61" s="13" t="str">
        <x:v>Not run</x:v>
      </x:c>
      <x:c r="I61" s="13" t="str"/>
      <x:c r="J61" s="13" t="str">
        <x:v>Primary owning component C02. Execute relevant channels; record actual fixture IDs and observed evidence.</x:v>
      </x:c>
    </x:row>
    <x:row r="62" ht="77" customHeight="1">
      <x:c r="A62" s="11" t="str">
        <x:v>TC-ACC-004-02</x:v>
      </x:c>
      <x:c r="B62" s="11" t="str">
        <x:v>FR-ACC-004 / BR-ACC-004 / SC01–SC08</x:v>
      </x:c>
      <x:c r="C62" s="11" t="str">
        <x:v>P0 / R1</x:v>
      </x:c>
      <x:c r="D62" s="11" t="str">
        <x:v>Separation of duties validation and recovery</x:v>
      </x:c>
      <x:c r="E62" s="11" t="str">
        <x:v>Start from the same eligible fixture and retain the submitted draft; record the last committed head and receipt. Introduce the boundary or failure stated below.</x:v>
      </x:c>
      <x:c r="F62" s="11" t="str">
        <x:v>1. Exercise each independent condition in the validation contract, as separate recorded variants: A role switch, group change, delegated task or service identity does not create independence. Editing the candidate returns it to draft and invalidates old candidate decisions. 2. Inspect the safe error/state and authorised recovery actions. 3. Correct the condition and retry under current authority and expected revision. 4. Compare durable effects and audit history with the original baseline.</x:v>
      </x:c>
      <x:c r="G62" s="11" t="str">
        <x:v>A role switch, group change, delegated task or service identity does not create independence. Editing the candidate returns it to draft and invalidates old candidate decisions. Ordinary failed saves have no partial effect. Explicit bulk partial modes account for committed and unprocessed items. A retry does not duplicate the intended business effect.</x:v>
      </x:c>
      <x:c r="H62" s="13" t="str">
        <x:v>Not run</x:v>
      </x:c>
      <x:c r="I62" s="13" t="str"/>
      <x:c r="J62" s="13" t="str">
        <x:v>Expand multi-condition variants in the run record. Required negative coverage, not a claim that one assertion covers every security attack.</x:v>
      </x:c>
    </x:row>
    <x:row r="63" ht="103" customHeight="1">
      <x:c r="A63" s="11" t="str">
        <x:v>TC-ACC-005-01</x:v>
      </x:c>
      <x:c r="B63" s="11" t="str">
        <x:v>FR-ACC-005 / BR-ACC-005</x:v>
      </x:c>
      <x:c r="C63" s="11" t="str">
        <x:v>P0 / R1</x:v>
      </x:c>
      <x:c r="D63" s="11" t="str">
        <x:v>Permission safe derivation intended outcome</x:v>
      </x:c>
      <x:c r="E63" s="11" t="str">
        <x:v>Synthetic tenant A; tenant B hidden markers; eligible actor with explicit capability, scope, purpose and current assurance. Set up the source acceptance fixture: Copy a restricted dashboard to a partner workspace; its restricted metric remains unavailable until a valid substitute or disclosure is approved.</x:v>
      </x:c>
      <x:c r="F63" s="11" t="str">
        <x:v>1. Record current object revisions, policy and safe audit cursor. 2. Perform the specified interaction: Private derivatives record source restriction dependencies. Reading a dashboard, search result, saved analysis or AI answer rechecks those dependencies. An approved public aggregate uses a separate disclosure artifact with fixed approved content and no private drill down. 3. Inspect UI, canonical API read and audit/receipt for the resulting version. 4. Apply the acceptance example: Copy a restricted dashboard to a partner workspace; its restricted metric remains unavailable until a valid substitute or disclosure is approved.</x:v>
      </x:c>
      <x:c r="G63" s="11" t="str">
        <x:v>Copy a restricted dashboard to a partner workspace; its restricted metric remains unavailable until a valid substitute or disclosure is approved. Required behaviour is preserved: Private derivatives record source restriction dependencies. Reading a dashboard, search result, saved analysis or AI answer rechecks those dependencies. An approved public aggregate uses a separate disclosure artifact with fixed approved content and no private drill down.</x:v>
      </x:c>
      <x:c r="H63" s="13" t="str">
        <x:v>Not run</x:v>
      </x:c>
      <x:c r="I63" s="13" t="str"/>
      <x:c r="J63" s="13" t="str">
        <x:v>Primary owning component C02. Execute relevant channels; record actual fixture IDs and observed evidence.</x:v>
      </x:c>
    </x:row>
    <x:row r="64" ht="77" customHeight="1">
      <x:c r="A64" s="11" t="str">
        <x:v>TC-ACC-005-02</x:v>
      </x:c>
      <x:c r="B64" s="11" t="str">
        <x:v>FR-ACC-005 / BR-ACC-005 / SC01–SC08</x:v>
      </x:c>
      <x:c r="C64" s="11" t="str">
        <x:v>P0 / R1</x:v>
      </x:c>
      <x:c r="D64" s="11" t="str">
        <x:v>Permission safe derivation validation and recovery</x:v>
      </x:c>
      <x:c r="E64" s="11" t="str">
        <x:v>Start from the same eligible fixture and retain the submitted draft; record the last committed head and receipt. Introduce the boundary or failure stated below.</x:v>
      </x:c>
      <x:c r="F64" s="11" t="str">
        <x:v>1. Exercise each independent condition in the validation contract, as separate recorded variants: Combining one public and one restricted source does not make the result public. Copying content creates a new governed object and preserves restrictions until disclosure review. 2. Inspect the safe error/state and authorised recovery actions. 3. Correct the condition and retry under current authority and expected revision. 4. Compare durable effects and audit history with the original baseline.</x:v>
      </x:c>
      <x:c r="G64" s="11" t="str">
        <x:v>Combining one public and one restricted source does not make the result public. Copying content creates a new governed object and preserves restrictions until disclosure review. Ordinary failed saves have no partial effect. Explicit bulk partial modes account for committed and unprocessed items. A retry does not duplicate the intended business effect.</x:v>
      </x:c>
      <x:c r="H64" s="13" t="str">
        <x:v>Not run</x:v>
      </x:c>
      <x:c r="I64" s="13" t="str"/>
      <x:c r="J64" s="13" t="str">
        <x:v>Expand multi-condition variants in the run record. Required negative coverage, not a claim that one assertion covers every security attack.</x:v>
      </x:c>
    </x:row>
    <x:row r="65" ht="90" customHeight="1">
      <x:c r="A65" s="11" t="str">
        <x:v>TC-ACC-006-01</x:v>
      </x:c>
      <x:c r="B65" s="11" t="str">
        <x:v>FR-ACC-006 / BR-ACC-006</x:v>
      </x:c>
      <x:c r="C65" s="11" t="str">
        <x:v>P0 / R1</x:v>
      </x:c>
      <x:c r="D65" s="11" t="str">
        <x:v>External access lifecycle intended outcome</x:v>
      </x:c>
      <x:c r="E65" s="11" t="str">
        <x:v>Synthetic tenant A; tenant B hidden markers; eligible actor with explicit capability, scope, purpose and current assurance. Set up the source acceptance fixture: Issue a seven day report link and revoke it after one day; old URLs and generated download references cease serving the artifact.</x:v>
      </x:c>
      <x:c r="F65" s="11" t="str">
        <x:v>1. Record current object revisions, policy and safe audit cursor. 2. Perform the specified interaction: A share action requires artifact version, audience, permitted actions, owner, reason and expiry. Preview uses the intended recipient's effective view. Authenticated external access is the default; public links are limited to approved public artifacts. 3. Inspect UI, canonical API read and audit/receipt for the resulting version. 4. Apply the acceptance example: Issue a seven day report link and revoke it after one day; old URLs and generated download references cease serving the artifact.</x:v>
      </x:c>
      <x:c r="G65" s="11" t="str">
        <x:v>Issue a seven day report link and revoke it after one day; old URLs and generated download references cease serving the artifact. Required behaviour is preserved: A share action requires artifact version, audience, permitted actions, owner, reason and expiry. Preview uses the intended recipient's effective view. Authenticated external access is the default; public links are limited to approved public artifacts.</x:v>
      </x:c>
      <x:c r="H65" s="13" t="str">
        <x:v>Not run</x:v>
      </x:c>
      <x:c r="I65" s="13" t="str"/>
      <x:c r="J65" s="13" t="str">
        <x:v>Primary owning component C02. Execute relevant channels; record actual fixture IDs and observed evidence.</x:v>
      </x:c>
    </x:row>
    <x:row r="66" ht="77" customHeight="1">
      <x:c r="A66" s="11" t="str">
        <x:v>TC-ACC-006-02</x:v>
      </x:c>
      <x:c r="B66" s="11" t="str">
        <x:v>FR-ACC-006 / BR-ACC-006 / SC01–SC08</x:v>
      </x:c>
      <x:c r="C66" s="11" t="str">
        <x:v>P0 / R1</x:v>
      </x:c>
      <x:c r="D66" s="11" t="str">
        <x:v>External access lifecycle validation and recovery</x:v>
      </x:c>
      <x:c r="E66" s="11" t="str">
        <x:v>Start from the same eligible fixture and retain the submitted draft; record the last committed head and receipt. Introduce the boundary or failure stated below.</x:v>
      </x:c>
      <x:c r="F66" s="11" t="str">
        <x:v>1. Exercise each independent condition in the validation contract, as separate recorded variants: Link possession does not authorise sensitive data. Changing classification revokes or revalidates existing disclosures. Expired links show unavailable without an artifact preview. 2. Inspect the safe error/state and authorised recovery actions. 3. Correct the condition and retry under current authority and expected revision. 4. Compare durable effects and audit history with the original baseline.</x:v>
      </x:c>
      <x:c r="G66" s="11" t="str">
        <x:v>Link possession does not authorise sensitive data. Changing classification revokes or revalidates existing disclosures. Expired links show unavailable without an artifact preview. Ordinary failed saves have no partial effect. Explicit bulk partial modes account for committed and unprocessed items. A retry does not duplicate the intended business effect.</x:v>
      </x:c>
      <x:c r="H66" s="13" t="str">
        <x:v>Not run</x:v>
      </x:c>
      <x:c r="I66" s="13" t="str"/>
      <x:c r="J66" s="13" t="str">
        <x:v>Expand multi-condition variants in the run record. Required negative coverage, not a claim that one assertion covers every security attack.</x:v>
      </x:c>
    </x:row>
    <x:row r="67" ht="103" customHeight="1">
      <x:c r="A67" s="11" t="str">
        <x:v>TC-ACC-007-01</x:v>
      </x:c>
      <x:c r="B67" s="11" t="str">
        <x:v>FR-ACC-007 / BR-ACC-007</x:v>
      </x:c>
      <x:c r="C67" s="11" t="str">
        <x:v>P0 / R1</x:v>
      </x:c>
      <x:c r="D67" s="11" t="str">
        <x:v>Export and bulk access intended outcome</x:v>
      </x:c>
      <x:c r="E67" s="11" t="str">
        <x:v>Synthetic tenant A; tenant B hidden markers; eligible actor with explicit capability, scope, purpose and current assurance. Set up the source acceptance fixture: Generate an export, revoke its requester before download and attempt retrieval from the original URL; no bytes are served after the revocation bound.</x:v>
      </x:c>
      <x:c r="F67" s="11" t="str">
        <x:v>1. Record current object revisions, policy and safe audit cursor. 2. Perform the specified interaction: Export preview lists selected fields, filters, classification, row estimate and intended format. Authorisation is checked when requested, when execution starts, when sensitive output is generated and when the result is downloaded. The receipt identifies the export owner and expiry. 3. Inspect UI, canonical API read and audit/receipt for the resulting version. 4. Apply the acceptance example: Generate an export, revoke its requester before download and attempt retrieval from the original URL; no bytes are served after the revocation bound.</x:v>
      </x:c>
      <x:c r="G67" s="11" t="str">
        <x:v>Generate an export, revoke its requester before download and attempt retrieval from the original URL; no bytes are served after the revocation bound. Required behaviour is preserved: Export preview lists selected fields, filters, classification, row estimate and intended format. Authorisation is checked when requested, when execution starts, when sensitive output is generated and when the result is downloaded. The receipt identifies the export owner and expiry.</x:v>
      </x:c>
      <x:c r="H67" s="13" t="str">
        <x:v>Not run</x:v>
      </x:c>
      <x:c r="I67" s="13" t="str"/>
      <x:c r="J67" s="13" t="str">
        <x:v>Primary owning component C02. Execute relevant channels; record actual fixture IDs and observed evidence.</x:v>
      </x:c>
    </x:row>
    <x:row r="68" ht="77" customHeight="1">
      <x:c r="A68" s="11" t="str">
        <x:v>TC-ACC-007-02</x:v>
      </x:c>
      <x:c r="B68" s="11" t="str">
        <x:v>FR-ACC-007 / BR-ACC-007 / SC01–SC08</x:v>
      </x:c>
      <x:c r="C68" s="11" t="str">
        <x:v>P0 / R1</x:v>
      </x:c>
      <x:c r="D68" s="11" t="str">
        <x:v>Export and bulk access validation and recovery</x:v>
      </x:c>
      <x:c r="E68" s="11" t="str">
        <x:v>Start from the same eligible fixture and retain the submitted draft; record the last committed head and receipt. Introduce the boundary or failure stated below.</x:v>
      </x:c>
      <x:c r="F68" s="11" t="str">
        <x:v>1. Exercise each independent condition in the validation contract, as separate recorded variants: Generated download access is authenticated or otherwise bound to a current approved disclosure. A link cannot outlive the policy grant by relying on an old signature alone. 2. Inspect the safe error/state and authorised recovery actions. 3. Correct the condition and retry under current authority and expected revision. 4. Compare durable effects and audit history with the original baseline.</x:v>
      </x:c>
      <x:c r="G68" s="11" t="str">
        <x:v>Generated download access is authenticated or otherwise bound to a current approved disclosure. A link cannot outlive the policy grant by relying on an old signature alone. Ordinary failed saves have no partial effect. Explicit bulk partial modes account for committed and unprocessed items. A retry does not duplicate the intended business effect.</x:v>
      </x:c>
      <x:c r="H68" s="13" t="str">
        <x:v>Not run</x:v>
      </x:c>
      <x:c r="I68" s="13" t="str"/>
      <x:c r="J68" s="13" t="str">
        <x:v>Expand multi-condition variants in the run record. Required negative coverage, not a claim that one assertion covers every security attack.</x:v>
      </x:c>
    </x:row>
    <x:row r="69" ht="103" customHeight="1">
      <x:c r="A69" s="11" t="str">
        <x:v>TC-ACC-008-01</x:v>
      </x:c>
      <x:c r="B69" s="11" t="str">
        <x:v>FR-ACC-008 / BR-ACC-008</x:v>
      </x:c>
      <x:c r="C69" s="11" t="str">
        <x:v>P0 / R1</x:v>
      </x:c>
      <x:c r="D69" s="11" t="str">
        <x:v>Privileged support access intended outcome</x:v>
      </x:c>
      <x:c r="E69" s="11" t="str">
        <x:v>Synthetic tenant A; tenant B hidden markers; eligible actor with explicit capability, scope, purpose and current assurance. Set up the source acceptance fixture: Approve a support session for one failed import and attempt owner transfer; the diagnostic read succeeds and transfer is denied.</x:v>
      </x:c>
      <x:c r="F69" s="11" t="str">
        <x:v>1. Record current object revisions, policy and safe audit cursor. 2. Perform the specified interaction: Support access begins with a case tied to tenant consent policy, requested objects, purpose and duration. The operator uses their real identity and an active elevation grant; every sensitive read and mutation is attributable. The tenant may end access immediately. 3. Inspect UI, canonical API read and audit/receipt for the resulting version. 4. Apply the acceptance example: Approve a support session for one failed import and attempt owner transfer; the diagnostic read succeeds and transfer is denied.</x:v>
      </x:c>
      <x:c r="G69" s="11" t="str">
        <x:v>Approve a support session for one failed import and attempt owner transfer; the diagnostic read succeeds and transfer is denied. Required behaviour is preserved: Support access begins with a case tied to tenant consent policy, requested objects, purpose and duration. The operator uses their real identity and an active elevation grant; every sensitive read and mutation is attributable. The tenant may end access immediately.</x:v>
      </x:c>
      <x:c r="H69" s="13" t="str">
        <x:v>Not run</x:v>
      </x:c>
      <x:c r="I69" s="13" t="str"/>
      <x:c r="J69" s="13" t="str">
        <x:v>Primary owning component C02. Execute relevant channels; record actual fixture IDs and observed evidence.</x:v>
      </x:c>
    </x:row>
    <x:row r="70" ht="77" customHeight="1">
      <x:c r="A70" s="11" t="str">
        <x:v>TC-ACC-008-02</x:v>
      </x:c>
      <x:c r="B70" s="11" t="str">
        <x:v>FR-ACC-008 / BR-ACC-008 / SC01–SC08</x:v>
      </x:c>
      <x:c r="C70" s="11" t="str">
        <x:v>P0 / R1</x:v>
      </x:c>
      <x:c r="D70" s="11" t="str">
        <x:v>Privileged support access validation and recovery</x:v>
      </x:c>
      <x:c r="E70" s="11" t="str">
        <x:v>Start from the same eligible fixture and retain the submitted draft; record the last committed head and receipt. Introduce the boundary or failure stated below.</x:v>
      </x:c>
      <x:c r="F70" s="11" t="str">
        <x:v>1. Exercise each independent condition in the validation contract, as separate recorded variants: No hidden impersonation or universal support account. Excluded operations remain blocked. Download rights and participant identity access require explicit additional scope. 2. Inspect the safe error/state and authorised recovery actions. 3. Correct the condition and retry under current authority and expected revision. 4. Compare durable effects and audit history with the original baseline.</x:v>
      </x:c>
      <x:c r="G70" s="11" t="str">
        <x:v>No hidden impersonation or universal support account. Excluded operations remain blocked. Download rights and participant identity access require explicit additional scope. Ordinary failed saves have no partial effect. Explicit bulk partial modes account for committed and unprocessed items. A retry does not duplicate the intended business effect.</x:v>
      </x:c>
      <x:c r="H70" s="13" t="str">
        <x:v>Not run</x:v>
      </x:c>
      <x:c r="I70" s="13" t="str"/>
      <x:c r="J70" s="13" t="str">
        <x:v>Expand multi-condition variants in the run record. Required negative coverage, not a claim that one assertion covers every security attack.</x:v>
      </x:c>
    </x:row>
    <x:row r="71" ht="103" customHeight="1">
      <x:c r="A71" s="11" t="str">
        <x:v>TC-ACC-009-01</x:v>
      </x:c>
      <x:c r="B71" s="11" t="str">
        <x:v>FR-ACC-009 / BR-ACC-009</x:v>
      </x:c>
      <x:c r="C71" s="11" t="str">
        <x:v>P0 / R1</x:v>
      </x:c>
      <x:c r="D71" s="11" t="str">
        <x:v>Privacy preserving aggregates intended outcome</x:v>
      </x:c>
      <x:c r="E71" s="11" t="str">
        <x:v>Synthetic tenant A; tenant B hidden markers; eligible actor with explicit capability, scope, purpose and current assurance. Set up the source acceptance fixture: Publish groups of two and eight with a total of ten; do not expose the eight and ten combination if it reveals the suppressed two.</x:v>
      </x:c>
      <x:c r="F71" s="11" t="str">
        <x:v>1. Record current object revisions, policy and safe audit cursor. 2. Perform the specified interaction: The disclosure reviewer selects minimum cell threshold, complementary suppression and allowed fixed slices. Preview tests totals, cross tables and filter combinations for reconstruction. Public APIs and downloads return the same suppressed representation without hidden raw values. 3. Inspect UI, canonical API read and audit/receipt for the resulting version. 4. Apply the acceptance example: Publish groups of two and eight with a total of ten; do not expose the eight and ten combination if it reveals the suppressed two.</x:v>
      </x:c>
      <x:c r="G71" s="11" t="str">
        <x:v>Publish groups of two and eight with a total of ten; do not expose the eight and ten combination if it reveals the suppressed two. Required behaviour is preserved: The disclosure reviewer selects minimum cell threshold, complementary suppression and allowed fixed slices. Preview tests totals, cross tables and filter combinations for reconstruction. Public APIs and downloads return the same suppressed representation without hidden raw values.</x:v>
      </x:c>
      <x:c r="H71" s="13" t="str">
        <x:v>Not run</x:v>
      </x:c>
      <x:c r="I71" s="13" t="str"/>
      <x:c r="J71" s="13" t="str">
        <x:v>Primary owning component C02. Execute relevant channels; record actual fixture IDs and observed evidence.</x:v>
      </x:c>
    </x:row>
    <x:row r="72" ht="90" customHeight="1">
      <x:c r="A72" s="11" t="str">
        <x:v>TC-ACC-009-02</x:v>
      </x:c>
      <x:c r="B72" s="11" t="str">
        <x:v>FR-ACC-009 / BR-ACC-009 / SC01–SC08</x:v>
      </x:c>
      <x:c r="C72" s="11" t="str">
        <x:v>P0 / R1</x:v>
      </x:c>
      <x:c r="D72" s="11" t="str">
        <x:v>Privacy preserving aggregates validation and recovery</x:v>
      </x:c>
      <x:c r="E72" s="11" t="str">
        <x:v>Start from the same eligible fixture and retain the submitted draft; record the last committed head and receipt. Introduce the boundary or failure stated below.</x:v>
      </x:c>
      <x:c r="F72" s="11" t="str">
        <x:v>1. Exercise each independent condition in the validation contract, as separate recorded variants: Default threshold five is a minimum rule, not a guarantee. If complementary suppression or differencing cannot be bounded, withhold the affected slice or expose only a reviewed fixed artifact. 2. Inspect the safe error/state and authorised recovery actions. 3. Correct the condition and retry under current authority and expected revision. 4. Compare durable effects and audit history with the original baseline.</x:v>
      </x:c>
      <x:c r="G72" s="11" t="str">
        <x:v>Default threshold five is a minimum rule, not a guarantee. If complementary suppression or differencing cannot be bounded, withhold the affected slice or expose only a reviewed fixed artifact. Ordinary failed saves have no partial effect. Explicit bulk partial modes account for committed and unprocessed items. A retry does not duplicate the intended business effect.</x:v>
      </x:c>
      <x:c r="H72" s="13" t="str">
        <x:v>Not run</x:v>
      </x:c>
      <x:c r="I72" s="13" t="str"/>
      <x:c r="J72" s="13" t="str">
        <x:v>Expand multi-condition variants in the run record. Required negative coverage, not a claim that one assertion covers every security attack.</x:v>
      </x:c>
    </x:row>
    <x:row r="73" ht="90" customHeight="1">
      <x:c r="A73" s="11" t="str">
        <x:v>TC-ACC-010-01</x:v>
      </x:c>
      <x:c r="B73" s="11" t="str">
        <x:v>FR-ACC-010 / BR-ACC-010</x:v>
      </x:c>
      <x:c r="C73" s="11" t="str">
        <x:v>P0 / R1</x:v>
      </x:c>
      <x:c r="D73" s="11" t="str">
        <x:v>Partner limited collaboration intended outcome</x:v>
      </x:c>
      <x:c r="E73" s="11" t="str">
        <x:v>Synthetic tenant A; tenant B hidden markers; eligible actor with explicit capability, scope, purpose and current assurance. Set up the source acceptance fixture: Search another partner's participant name and request its guessed report URL; neither leaks existence, snippet or count.</x:v>
      </x:c>
      <x:c r="F73" s="11" t="str">
        <x:v>1. Record current object revisions, policy and safe audit cursor. 2. Perform the specified interaction: Partner assignment binds a partner organisation to specified obligations and shared artifacts. All lists, comments, mentions, lookup suggestions, task counts and previews apply that scope. Funder access uses separately approved result views. 3. Inspect UI, canonical API read and audit/receipt for the resulting version. 4. Apply the acceptance example: Search another partner's participant name and request its guessed report URL; neither leaks existence, snippet or count.</x:v>
      </x:c>
      <x:c r="G73" s="11" t="str">
        <x:v>Search another partner's participant name and request its guessed report URL; neither leaks existence, snippet or count. Required behaviour is preserved: Partner assignment binds a partner organisation to specified obligations and shared artifacts. All lists, comments, mentions, lookup suggestions, task counts and previews apply that scope. Funder access uses separately approved result views.</x:v>
      </x:c>
      <x:c r="H73" s="13" t="str">
        <x:v>Not run</x:v>
      </x:c>
      <x:c r="I73" s="13" t="str"/>
      <x:c r="J73" s="13" t="str">
        <x:v>Primary owning component C02. Execute relevant channels; record actual fixture IDs and observed evidence.</x:v>
      </x:c>
    </x:row>
    <x:row r="74" ht="77" customHeight="1">
      <x:c r="A74" s="11" t="str">
        <x:v>TC-ACC-010-02</x:v>
      </x:c>
      <x:c r="B74" s="11" t="str">
        <x:v>FR-ACC-010 / BR-ACC-010 / SC01–SC08</x:v>
      </x:c>
      <x:c r="C74" s="11" t="str">
        <x:v>P0 / R1</x:v>
      </x:c>
      <x:c r="D74" s="11" t="str">
        <x:v>Partner limited collaboration validation and recovery</x:v>
      </x:c>
      <x:c r="E74" s="11" t="str">
        <x:v>Start from the same eligible fixture and retain the submitted draft; record the last committed head and receipt. Introduce the boundary or failure stated below.</x:v>
      </x:c>
      <x:c r="F74" s="11" t="str">
        <x:v>1. Exercise each independent condition in the validation contract, as separate recorded variants: A partner's author identity does not grant access to another partner's contributor record. Shared summary status may be disclosed only through an approved definition. 2. Inspect the safe error/state and authorised recovery actions. 3. Correct the condition and retry under current authority and expected revision. 4. Compare durable effects and audit history with the original baseline.</x:v>
      </x:c>
      <x:c r="G74" s="11" t="str">
        <x:v>A partner's author identity does not grant access to another partner's contributor record. Shared summary status may be disclosed only through an approved definition. Ordinary failed saves have no partial effect. Explicit bulk partial modes account for committed and unprocessed items. A retry does not duplicate the intended business effect.</x:v>
      </x:c>
      <x:c r="H74" s="13" t="str">
        <x:v>Not run</x:v>
      </x:c>
      <x:c r="I74" s="13" t="str"/>
      <x:c r="J74" s="13" t="str">
        <x:v>Expand multi-condition variants in the run record. Required negative coverage, not a claim that one assertion covers every security attack.</x:v>
      </x:c>
    </x:row>
    <x:row r="75" ht="90" customHeight="1">
      <x:c r="A75" s="11" t="str">
        <x:v>TC-ACC-011-01</x:v>
      </x:c>
      <x:c r="B75" s="11" t="str">
        <x:v>FR-ACC-011 / BR-ACC-011</x:v>
      </x:c>
      <x:c r="C75" s="11" t="str">
        <x:v>P0 / R1</x:v>
      </x:c>
      <x:c r="D75" s="11" t="str">
        <x:v>Access changes and existing artifacts intended outcome</x:v>
      </x:c>
      <x:c r="E75" s="11" t="str">
        <x:v>Synthetic tenant A; tenant B hidden markers; eligible actor with explicit capability, scope, purpose and current assurance. Set up the source acceptance fixture: Remove source access after an AI answer was saved; reopening the conversation does not reveal the revoked source text through its summary.</x:v>
      </x:c>
      <x:c r="F75" s="11" t="str">
        <x:v>1. Record current object revisions, policy and safe audit cursor. 2. Perform the specified interaction: A grant change creates a revocation event covering active sessions, cached reads, queued jobs, generated artifacts and AI dependencies. New sensitive actions evaluate current policy immediately; online presentation converges within the 60 second bound. 3. Inspect UI, canonical API read and audit/receipt for the resulting version. 4. Apply the acceptance example: Remove source access after an AI answer was saved; reopening the conversation does not reveal the revoked source text through its summary.</x:v>
      </x:c>
      <x:c r="G75" s="11" t="str">
        <x:v>Remove source access after an AI answer was saved; reopening the conversation does not reveal the revoked source text through its summary. Required behaviour is preserved: A grant change creates a revocation event covering active sessions, cached reads, queued jobs, generated artifacts and AI dependencies. New sensitive actions evaluate current policy immediately; online presentation converges within the 60 second bound.</x:v>
      </x:c>
      <x:c r="H75" s="13" t="str">
        <x:v>Not run</x:v>
      </x:c>
      <x:c r="I75" s="13" t="str"/>
      <x:c r="J75" s="13" t="str">
        <x:v>Primary owning component C02. Execute relevant channels; record actual fixture IDs and observed evidence.</x:v>
      </x:c>
    </x:row>
    <x:row r="76" ht="90" customHeight="1">
      <x:c r="A76" s="11" t="str">
        <x:v>TC-ACC-011-02</x:v>
      </x:c>
      <x:c r="B76" s="11" t="str">
        <x:v>FR-ACC-011 / BR-ACC-011 / SC01–SC08</x:v>
      </x:c>
      <x:c r="C76" s="11" t="str">
        <x:v>P0 / R1</x:v>
      </x:c>
      <x:c r="D76" s="11" t="str">
        <x:v>Access changes and existing artifacts validation and recovery</x:v>
      </x:c>
      <x:c r="E76" s="11" t="str">
        <x:v>Start from the same eligible fixture and retain the submitted draft; record the last committed head and receipt. Introduce the boundary or failure stated below.</x:v>
      </x:c>
      <x:c r="F76" s="11" t="str">
        <x:v>1. Exercise each independent condition in the validation contract, as separate recorded variants: Previously downloaded copies are reported as external disclosures, not remotely erased. Restriction of a source can withhold a prior conversation segment or artifact under platform control. 2. Inspect the safe error/state and authorised recovery actions. 3. Correct the condition and retry under current authority and expected revision. 4. Compare durable effects and audit history with the original baseline.</x:v>
      </x:c>
      <x:c r="G76" s="11" t="str">
        <x:v>Previously downloaded copies are reported as external disclosures, not remotely erased. Restriction of a source can withhold a prior conversation segment or artifact under platform control. Ordinary failed saves have no partial effect. Explicit bulk partial modes account for committed and unprocessed items. A retry does not duplicate the intended business effect.</x:v>
      </x:c>
      <x:c r="H76" s="13" t="str">
        <x:v>Not run</x:v>
      </x:c>
      <x:c r="I76" s="13" t="str"/>
      <x:c r="J76" s="13" t="str">
        <x:v>Expand multi-condition variants in the run record. Required negative coverage, not a claim that one assertion covers every security attack.</x:v>
      </x:c>
    </x:row>
    <x:row r="77" ht="103" customHeight="1">
      <x:c r="A77" s="11" t="str">
        <x:v>TC-ACC-012-01</x:v>
      </x:c>
      <x:c r="B77" s="11" t="str">
        <x:v>FR-ACC-012 / BR-ACC-012</x:v>
      </x:c>
      <x:c r="C77" s="11" t="str">
        <x:v>P1 / R2</x:v>
      </x:c>
      <x:c r="D77" s="11" t="str">
        <x:v>Administrative review and simulation intended outcome</x:v>
      </x:c>
      <x:c r="E77" s="11" t="str">
        <x:v>Synthetic tenant A; tenant B hidden markers; eligible actor with explicit capability, scope, purpose and current assurance. Set up the source acceptance fixture: Expand a group to a new programme, inspect the candidate access difference and then change the group's membership; execution requires a fresh preview.</x:v>
      </x:c>
      <x:c r="F77" s="11" t="str">
        <x:v>1. Record current object revisions, policy and safe audit cursor. 2. Perform the specified interaction: An administrator drafts an access change and chooses representative subjects. The preview calculates gained and lost capabilities, affected restricted classes, links and schedules. Sensitive expansion requires a second eligible reviewer and a current policy comparison at execution. 3. Inspect UI, canonical API read and audit/receipt for the resulting version. 4. Apply the acceptance example: Expand a group to a new programme, inspect the candidate access difference and then change the group's membership; execution requires a fresh preview.</x:v>
      </x:c>
      <x:c r="G77" s="11" t="str">
        <x:v>Expand a group to a new programme, inspect the candidate access difference and then change the group's membership; execution requires a fresh preview. Required behaviour is preserved: An administrator drafts an access change and chooses representative subjects. The preview calculates gained and lost capabilities, affected restricted classes, links and schedules. Sensitive expansion requires a second eligible reviewer and a current policy comparison at execution.</x:v>
      </x:c>
      <x:c r="H77" s="13" t="str">
        <x:v>Not run</x:v>
      </x:c>
      <x:c r="I77" s="13" t="str"/>
      <x:c r="J77" s="13" t="str">
        <x:v>Primary owning component C02. Execute relevant channels; record actual fixture IDs and observed evidence.</x:v>
      </x:c>
    </x:row>
    <x:row r="78" ht="77" customHeight="1">
      <x:c r="A78" s="11" t="str">
        <x:v>TC-ACC-012-02</x:v>
      </x:c>
      <x:c r="B78" s="11" t="str">
        <x:v>FR-ACC-012 / BR-ACC-012 / SC01–SC08</x:v>
      </x:c>
      <x:c r="C78" s="11" t="str">
        <x:v>P1 / R2</x:v>
      </x:c>
      <x:c r="D78" s="11" t="str">
        <x:v>Administrative review and simulation validation and recovery</x:v>
      </x:c>
      <x:c r="E78" s="11" t="str">
        <x:v>Start from the same eligible fixture and retain the submitted draft; record the last committed head and receipt. Introduce the boundary or failure stated below.</x:v>
      </x:c>
      <x:c r="F78" s="11" t="str">
        <x:v>1. Exercise each independent condition in the validation contract, as separate recorded variants: Simulation is read only. It cannot reveal data beyond the administrator's review scope; use counts or redacted scope labels only when permitted. 2. Inspect the safe error/state and authorised recovery actions. 3. Correct the condition and retry under current authority and expected revision. 4. Compare durable effects and audit history with the original baseline.</x:v>
      </x:c>
      <x:c r="G78" s="11" t="str">
        <x:v>Simulation is read only. It cannot reveal data beyond the administrator's review scope; use counts or redacted scope labels only when permitted. Ordinary failed saves have no partial effect. Explicit bulk partial modes account for committed and unprocessed items. A retry does not duplicate the intended business effect.</x:v>
      </x:c>
      <x:c r="H78" s="13" t="str">
        <x:v>Not run</x:v>
      </x:c>
      <x:c r="I78" s="13" t="str"/>
      <x:c r="J78" s="13" t="str">
        <x:v>Expand multi-condition variants in the run record. Required negative coverage, not a claim that one assertion covers every security attack.</x:v>
      </x:c>
    </x:row>
    <x:row r="79" ht="103" customHeight="1">
      <x:c r="A79" s="11" t="str">
        <x:v>TC-PLN-001-01</x:v>
      </x:c>
      <x:c r="B79" s="11" t="str">
        <x:v>FR-PLN-001 / BR-PLN-001</x:v>
      </x:c>
      <x:c r="C79" s="11" t="str">
        <x:v>P0 / R1</x:v>
      </x:c>
      <x:c r="D79" s="11" t="str">
        <x:v>Results hierarchy intended outcome</x:v>
      </x:c>
      <x:c r="E79" s="11" t="str">
        <x:v>Synthetic tenant A; tenant B hidden markers; eligible actor with explicit capability, scope, purpose and current assurance. Set up the source acceptance fixture: Rename one output in the table and verify the graph and indicator bindings update within the same draft without creating a duplicate node.</x:v>
      </x:c>
      <x:c r="F79" s="11" t="str">
        <x:v>1. Record current object revisions, policy and safe audit cursor. 2. Perform the specified interaction: The planner creates typed framework nodes in a table or relationship view. Both views edit the same stable node identities and version. Required node title, description, owner and intended result level are validated before review; activities may link to output nodes. 3. Inspect UI, canonical API read and audit/receipt for the resulting version. 4. Apply the acceptance example: Rename one output in the table and verify the graph and indicator bindings update within the same draft without creating a duplicate node.</x:v>
      </x:c>
      <x:c r="G79" s="11" t="str">
        <x:v>Rename one output in the table and verify the graph and indicator bindings update within the same draft without creating a duplicate node. Required behaviour is preserved: The planner creates typed framework nodes in a table or relationship view. Both views edit the same stable node identities and version. Required node title, description, owner and intended result level are validated before review; activities may link to output nodes.</x:v>
      </x:c>
      <x:c r="H79" s="13" t="str">
        <x:v>Not run</x:v>
      </x:c>
      <x:c r="I79" s="13" t="str"/>
      <x:c r="J79" s="13" t="str">
        <x:v>Primary owning component C03. Execute relevant channels; record actual fixture IDs and observed evidence.</x:v>
      </x:c>
    </x:row>
    <x:row r="80" ht="77" customHeight="1">
      <x:c r="A80" s="11" t="str">
        <x:v>TC-PLN-001-02</x:v>
      </x:c>
      <x:c r="B80" s="11" t="str">
        <x:v>FR-PLN-001 / BR-PLN-001 / SC01–SC08</x:v>
      </x:c>
      <x:c r="C80" s="11" t="str">
        <x:v>P0 / R1</x:v>
      </x:c>
      <x:c r="D80" s="11" t="str">
        <x:v>Results hierarchy validation and recovery</x:v>
      </x:c>
      <x:c r="E80" s="11" t="str">
        <x:v>Start from the same eligible fixture and retain the submitted draft; record the last committed head and receipt. Introduce the boundary or failure stated below.</x:v>
      </x:c>
      <x:c r="F80" s="11" t="str">
        <x:v>1. Exercise each independent condition in the validation contract, as separate recorded variants: Reject cycles in containment, orphaned parent references and deletion of a referenced approved node. Relationship links and numeric aggregation links are distinct objects. 2. Inspect the safe error/state and authorised recovery actions. 3. Correct the condition and retry under current authority and expected revision. 4. Compare durable effects and audit history with the original baseline.</x:v>
      </x:c>
      <x:c r="G80" s="11" t="str">
        <x:v>Reject cycles in containment, orphaned parent references and deletion of a referenced approved node. Relationship links and numeric aggregation links are distinct objects. Ordinary failed saves have no partial effect. Explicit bulk partial modes account for committed and unprocessed items. A retry does not duplicate the intended business effect.</x:v>
      </x:c>
      <x:c r="H80" s="13" t="str">
        <x:v>Not run</x:v>
      </x:c>
      <x:c r="I80" s="13" t="str"/>
      <x:c r="J80" s="13" t="str">
        <x:v>Expand multi-condition variants in the run record. Required negative coverage, not a claim that one assertion covers every security attack.</x:v>
      </x:c>
    </x:row>
    <x:row r="81" ht="90" customHeight="1">
      <x:c r="A81" s="11" t="str">
        <x:v>TC-PLN-002-01</x:v>
      </x:c>
      <x:c r="B81" s="11" t="str">
        <x:v>FR-PLN-002 / BR-PLN-002</x:v>
      </x:c>
      <x:c r="C81" s="11" t="str">
        <x:v>P1 / R2</x:v>
      </x:c>
      <x:c r="D81" s="11" t="str">
        <x:v>Theory of change relationships intended outcome</x:v>
      </x:c>
      <x:c r="E81" s="11" t="str">
        <x:v>Synthetic tenant A; tenant B hidden markers; eligible actor with explicit capability, scope, purpose and current assurance. Set up the source acceptance fixture: Link two outcomes to one impact and inspect the parent result; it remains uncalculated until an explicit approved numeric rule exists.</x:v>
      </x:c>
      <x:c r="F81" s="11" t="str">
        <x:v>1. Record current object revisions, policy and safe audit cursor. 2. Perform the specified interaction: The theory of change editor adds directed contribution links with rationale, assumptions, evidence strength and optional external context. Cross programme links require permission to both endpoints or a separately shared summary endpoint. 3. Inspect UI, canonical API read and audit/receipt for the resulting version. 4. Apply the acceptance example: Link two outcomes to one impact and inspect the parent result; it remains uncalculated until an explicit approved numeric rule exists.</x:v>
      </x:c>
      <x:c r="G81" s="11" t="str">
        <x:v>Link two outcomes to one impact and inspect the parent result; it remains uncalculated until an explicit approved numeric rule exists. Required behaviour is preserved: The theory of change editor adds directed contribution links with rationale, assumptions, evidence strength and optional external context. Cross programme links require permission to both endpoints or a separately shared summary endpoint.</x:v>
      </x:c>
      <x:c r="H81" s="13" t="str">
        <x:v>Not run</x:v>
      </x:c>
      <x:c r="I81" s="13" t="str"/>
      <x:c r="J81" s="13" t="str">
        <x:v>Primary owning component C03. Execute relevant channels; record actual fixture IDs and observed evidence.</x:v>
      </x:c>
    </x:row>
    <x:row r="82" ht="77" customHeight="1">
      <x:c r="A82" s="11" t="str">
        <x:v>TC-PLN-002-02</x:v>
      </x:c>
      <x:c r="B82" s="11" t="str">
        <x:v>FR-PLN-002 / BR-PLN-002 / SC01–SC08</x:v>
      </x:c>
      <x:c r="C82" s="11" t="str">
        <x:v>P1 / R2</x:v>
      </x:c>
      <x:c r="D82" s="11" t="str">
        <x:v>Theory of change relationships validation and recovery</x:v>
      </x:c>
      <x:c r="E82" s="11" t="str">
        <x:v>Start from the same eligible fixture and retain the submitted draft; record the last committed head and receipt. Introduce the boundary or failure stated below.</x:v>
      </x:c>
      <x:c r="F82" s="11" t="str">
        <x:v>1. Exercise each independent condition in the validation contract, as separate recorded variants: Alternative causal pathways are allowed; a containment cycle is not. Adding a theory relationship never creates a numeric sum, deduplication rule or causal proof. 2. Inspect the safe error/state and authorised recovery actions. 3. Correct the condition and retry under current authority and expected revision. 4. Compare durable effects and audit history with the original baseline.</x:v>
      </x:c>
      <x:c r="G82" s="11" t="str">
        <x:v>Alternative causal pathways are allowed; a containment cycle is not. Adding a theory relationship never creates a numeric sum, deduplication rule or causal proof. Ordinary failed saves have no partial effect. Explicit bulk partial modes account for committed and unprocessed items. A retry does not duplicate the intended business effect.</x:v>
      </x:c>
      <x:c r="H82" s="13" t="str">
        <x:v>Not run</x:v>
      </x:c>
      <x:c r="I82" s="13" t="str"/>
      <x:c r="J82" s="13" t="str">
        <x:v>Expand multi-condition variants in the run record. Required negative coverage, not a claim that one assertion covers every security attack.</x:v>
      </x:c>
    </x:row>
    <x:row r="83" ht="90" customHeight="1">
      <x:c r="A83" s="11" t="str">
        <x:v>TC-PLN-003-01</x:v>
      </x:c>
      <x:c r="B83" s="11" t="str">
        <x:v>FR-PLN-003 / BR-PLN-003</x:v>
      </x:c>
      <x:c r="C83" s="11" t="str">
        <x:v>P0 / R1</x:v>
      </x:c>
      <x:c r="D83" s="11" t="str">
        <x:v>Framework baselines intended outcome</x:v>
      </x:c>
      <x:c r="E83" s="11" t="str">
        <x:v>Synthetic tenant A; tenant B hidden markers; eligible actor with explicit capability, scope, purpose and current assurance. Set up the source acceptance fixture: Revise an outcome in July and regenerate the March report; March retains its approved hierarchy and language.</x:v>
      </x:c>
      <x:c r="F83" s="11" t="str">
        <x:v>1. Record current object revisions, policy and safe audit cursor. 2. Perform the specified interaction: Submit a framework candidate with its completeness report and change comparison. Review shows impacted indicators, targets, activities, templates and obligations. Approval freezes a baseline version; subsequent changes start a child draft with effective date. 3. Inspect UI, canonical API read and audit/receipt for the resulting version. 4. Apply the acceptance example: Revise an outcome in July and regenerate the March report; March retains its approved hierarchy and language.</x:v>
      </x:c>
      <x:c r="G83" s="11" t="str">
        <x:v>Revise an outcome in July and regenerate the March report; March retains its approved hierarchy and language. Required behaviour is preserved: Submit a framework candidate with its completeness report and change comparison. Review shows impacted indicators, targets, activities, templates and obligations. Approval freezes a baseline version; subsequent changes start a child draft with effective date.</x:v>
      </x:c>
      <x:c r="H83" s="13" t="str">
        <x:v>Not run</x:v>
      </x:c>
      <x:c r="I83" s="13" t="str"/>
      <x:c r="J83" s="13" t="str">
        <x:v>Primary owning component C03. Execute relevant channels; record actual fixture IDs and observed evidence.</x:v>
      </x:c>
    </x:row>
    <x:row r="84" ht="77" customHeight="1">
      <x:c r="A84" s="11" t="str">
        <x:v>TC-PLN-003-02</x:v>
      </x:c>
      <x:c r="B84" s="11" t="str">
        <x:v>FR-PLN-003 / BR-PLN-003 / SC01–SC08</x:v>
      </x:c>
      <x:c r="C84" s="11" t="str">
        <x:v>P0 / R1</x:v>
      </x:c>
      <x:c r="D84" s="11" t="str">
        <x:v>Framework baselines validation and recovery</x:v>
      </x:c>
      <x:c r="E84" s="11" t="str">
        <x:v>Start from the same eligible fixture and retain the submitted draft; record the last committed head and receipt. Introduce the boundary or failure stated below.</x:v>
      </x:c>
      <x:c r="F84" s="11" t="str">
        <x:v>1. Exercise each independent condition in the validation contract, as separate recorded variants: A previously approved reporting snapshot references its original baseline. Deleting an obsolete draft does not delete approved history or source citations. 2. Inspect the safe error/state and authorised recovery actions. 3. Correct the condition and retry under current authority and expected revision. 4. Compare durable effects and audit history with the original baseline.</x:v>
      </x:c>
      <x:c r="G84" s="11" t="str">
        <x:v>A previously approved reporting snapshot references its original baseline. Deleting an obsolete draft does not delete approved history or source citations. Ordinary failed saves have no partial effect. Explicit bulk partial modes account for committed and unprocessed items. A retry does not duplicate the intended business effect.</x:v>
      </x:c>
      <x:c r="H84" s="13" t="str">
        <x:v>Not run</x:v>
      </x:c>
      <x:c r="I84" s="13" t="str"/>
      <x:c r="J84" s="13" t="str">
        <x:v>Expand multi-condition variants in the run record. Required negative coverage, not a claim that one assertion covers every security attack.</x:v>
      </x:c>
    </x:row>
    <x:row r="85" ht="103" customHeight="1">
      <x:c r="A85" s="11" t="str">
        <x:v>TC-PLN-004-01</x:v>
      </x:c>
      <x:c r="B85" s="11" t="str">
        <x:v>FR-PLN-004 / BR-PLN-004</x:v>
      </x:c>
      <x:c r="C85" s="11" t="str">
        <x:v>P1 / R1</x:v>
      </x:c>
      <x:c r="D85" s="11" t="str">
        <x:v>Reusable libraries intended outcome</x:v>
      </x:c>
      <x:c r="E85" s="11" t="str">
        <x:v>Synthetic tenant A; tenant B hidden markers; eligible actor with explicit capability, scope, purpose and current assurance. Set up the source acceptance fixture: Update a template denominator and confirm two consuming projects remain on their existing versions until each adopts a reviewed revision.</x:v>
      </x:c>
      <x:c r="F85" s="11" t="str">
        <x:v>1. Record current object revisions, policy and safe audit cursor. 2. Perform the specified interaction: A library curator publishes a version with applicability, owner, review date and permitted override fields. Instantiation selects a pinned copy or a managed update relationship. Update notices show semantic differences and affected local changes before adoption. 3. Inspect UI, canonical API read and audit/receipt for the resulting version. 4. Apply the acceptance example: Update a template denominator and confirm two consuming projects remain on their existing versions until each adopts a reviewed revision.</x:v>
      </x:c>
      <x:c r="G85" s="11" t="str">
        <x:v>Update a template denominator and confirm two consuming projects remain on their existing versions until each adopts a reviewed revision. Required behaviour is preserved: A library curator publishes a version with applicability, owner, review date and permitted override fields. Instantiation selects a pinned copy or a managed update relationship. Update notices show semantic differences and affected local changes before adoption.</x:v>
      </x:c>
      <x:c r="H85" s="13" t="str">
        <x:v>Not run</x:v>
      </x:c>
      <x:c r="I85" s="13" t="str"/>
      <x:c r="J85" s="13" t="str">
        <x:v>Primary owning component C03. Execute relevant channels; record actual fixture IDs and observed evidence.</x:v>
      </x:c>
    </x:row>
    <x:row r="86" ht="90" customHeight="1">
      <x:c r="A86" s="11" t="str">
        <x:v>TC-PLN-004-02</x:v>
      </x:c>
      <x:c r="B86" s="11" t="str">
        <x:v>FR-PLN-004 / BR-PLN-004 / SC01–SC08</x:v>
      </x:c>
      <x:c r="C86" s="11" t="str">
        <x:v>P1 / R1</x:v>
      </x:c>
      <x:c r="D86" s="11" t="str">
        <x:v>Reusable libraries validation and recovery</x:v>
      </x:c>
      <x:c r="E86" s="11" t="str">
        <x:v>Start from the same eligible fixture and retain the submitted draft; record the last committed head and receipt. Introduce the boundary or failure stated below.</x:v>
      </x:c>
      <x:c r="F86" s="11" t="str">
        <x:v>1. Exercise each independent condition in the validation contract, as separate recorded variants: Even managed instances do not update approved definitions automatically. A project may reject an update with a recorded reason; library retirement prevents new use without invalidating old reports. 2. Inspect the safe error/state and authorised recovery actions. 3. Correct the condition and retry under current authority and expected revision. 4. Compare durable effects and audit history with the original baseline.</x:v>
      </x:c>
      <x:c r="G86" s="11" t="str">
        <x:v>Even managed instances do not update approved definitions automatically. A project may reject an update with a recorded reason; library retirement prevents new use without invalidating old reports. Ordinary failed saves have no partial effect. Explicit bulk partial modes account for committed and unprocessed items. A retry does not duplicate the intended business effect.</x:v>
      </x:c>
      <x:c r="H86" s="13" t="str">
        <x:v>Not run</x:v>
      </x:c>
      <x:c r="I86" s="13" t="str"/>
      <x:c r="J86" s="13" t="str">
        <x:v>Expand multi-condition variants in the run record. Required negative coverage, not a claim that one assertion covers every security attack.</x:v>
      </x:c>
    </x:row>
    <x:row r="87" ht="90" customHeight="1">
      <x:c r="A87" s="11" t="str">
        <x:v>TC-PLN-005-01</x:v>
      </x:c>
      <x:c r="B87" s="11" t="str">
        <x:v>FR-PLN-005 / BR-PLN-005</x:v>
      </x:c>
      <x:c r="C87" s="11" t="str">
        <x:v>P1 / R2</x:v>
      </x:c>
      <x:c r="D87" s="11" t="str">
        <x:v>Standard mappings intended outcome</x:v>
      </x:c>
      <x:c r="E87" s="11" t="str">
        <x:v>Synthetic tenant A; tenant B hidden markers; eligible actor with explicit capability, scope, purpose and current assurance. Set up the source acceptance fixture: Map one local measure to two SDG entries and verify the organisational unique result is still counted once.</x:v>
      </x:c>
      <x:c r="F87" s="11" t="str">
        <x:v>1. Record current object revisions, policy and safe audit cursor. 2. Perform the specified interaction: A mapping editor links local nodes or indicators to a versioned external standard using a relation type such as related to, contributes to or equivalent by reviewed definition. It records rationale and reviewer. 3. Inspect UI, canonical API read and audit/receipt for the resulting version. 4. Apply the acceptance example: Map one local measure to two SDG entries and verify the organisational unique result is still counted once.</x:v>
      </x:c>
      <x:c r="G87" s="11" t="str">
        <x:v>Map one local measure to two SDG entries and verify the organisational unique result is still counted once. Required behaviour is preserved: A mapping editor links local nodes or indicators to a versioned external standard using a relation type such as related to, contributes to or equivalent by reviewed definition. It records rationale and reviewer.</x:v>
      </x:c>
      <x:c r="H87" s="13" t="str">
        <x:v>Not run</x:v>
      </x:c>
      <x:c r="I87" s="13" t="str"/>
      <x:c r="J87" s="13" t="str">
        <x:v>Primary owning component C03. Execute relevant channels; record actual fixture IDs and observed evidence.</x:v>
      </x:c>
    </x:row>
    <x:row r="88" ht="90" customHeight="1">
      <x:c r="A88" s="11" t="str">
        <x:v>TC-PLN-005-02</x:v>
      </x:c>
      <x:c r="B88" s="11" t="str">
        <x:v>FR-PLN-005 / BR-PLN-005 / SC01–SC08</x:v>
      </x:c>
      <x:c r="C88" s="11" t="str">
        <x:v>P1 / R2</x:v>
      </x:c>
      <x:c r="D88" s="11" t="str">
        <x:v>Standard mappings validation and recovery</x:v>
      </x:c>
      <x:c r="E88" s="11" t="str">
        <x:v>Start from the same eligible fixture and retain the submitted draft; record the last committed head and receipt. Introduce the boundary or failure stated below.</x:v>
      </x:c>
      <x:c r="F88" s="11" t="str">
        <x:v>1. Exercise each independent condition in the validation contract, as separate recorded variants: Many to many mappings organise reporting only. They do not imply mathematical equivalence, unit conversion or additive attribution. An unavailable standard version remains a historical reference. 2. Inspect the safe error/state and authorised recovery actions. 3. Correct the condition and retry under current authority and expected revision. 4. Compare durable effects and audit history with the original baseline.</x:v>
      </x:c>
      <x:c r="G88" s="11" t="str">
        <x:v>Many to many mappings organise reporting only. They do not imply mathematical equivalence, unit conversion or additive attribution. An unavailable standard version remains a historical reference. Ordinary failed saves have no partial effect. Explicit bulk partial modes account for committed and unprocessed items. A retry does not duplicate the intended business effect.</x:v>
      </x:c>
      <x:c r="H88" s="13" t="str">
        <x:v>Not run</x:v>
      </x:c>
      <x:c r="I88" s="13" t="str"/>
      <x:c r="J88" s="13" t="str">
        <x:v>Expand multi-condition variants in the run record. Required negative coverage, not a claim that one assertion covers every security attack.</x:v>
      </x:c>
    </x:row>
    <x:row r="89" ht="90" customHeight="1">
      <x:c r="A89" s="11" t="str">
        <x:v>TC-PLN-006-01</x:v>
      </x:c>
      <x:c r="B89" s="11" t="str">
        <x:v>FR-PLN-006 / BR-PLN-006</x:v>
      </x:c>
      <x:c r="C89" s="11" t="str">
        <x:v>P0 / R1</x:v>
      </x:c>
      <x:c r="D89" s="11" t="str">
        <x:v>Measurement plan intended outcome</x:v>
      </x:c>
      <x:c r="E89" s="11" t="str">
        <x:v>Synthetic tenant A; tenant B hidden markers; eligible actor with explicit capability, scope, purpose and current assurance. Set up the source acceptance fixture: Attempt activation with an unassigned reviewer and missing denominator method; show both exact fields and prevent Ready to Active until resolved.</x:v>
      </x:c>
      <x:c r="F89" s="11" t="str">
        <x:v>1. Record current object revisions, policy and safe audit cursor. 2. Perform the specified interaction: The measurement plan matrix requires source mode, method, collection owner, reviewer, calendar, coverage and evidence rule for each active indicator. Activation runs completeness checks and creates assigned remediation items for gaps. 3. Inspect UI, canonical API read and audit/receipt for the resulting version. 4. Apply the acceptance example: Attempt activation with an unassigned reviewer and missing denominator method; show both exact fields and prevent Ready to Active until resolved.</x:v>
      </x:c>
      <x:c r="G89" s="11" t="str">
        <x:v>Attempt activation with an unassigned reviewer and missing denominator method; show both exact fields and prevent Ready to Active until resolved. Required behaviour is preserved: The measurement plan matrix requires source mode, method, collection owner, reviewer, calendar, coverage and evidence rule for each active indicator. Activation runs completeness checks and creates assigned remediation items for gaps.</x:v>
      </x:c>
      <x:c r="H89" s="13" t="str">
        <x:v>Not run</x:v>
      </x:c>
      <x:c r="I89" s="13" t="str"/>
      <x:c r="J89" s="13" t="str">
        <x:v>Primary owning component C03. Execute relevant channels; record actual fixture IDs and observed evidence.</x:v>
      </x:c>
    </x:row>
    <x:row r="90" ht="77" customHeight="1">
      <x:c r="A90" s="11" t="str">
        <x:v>TC-PLN-006-02</x:v>
      </x:c>
      <x:c r="B90" s="11" t="str">
        <x:v>FR-PLN-006 / BR-PLN-006 / SC01–SC08</x:v>
      </x:c>
      <x:c r="C90" s="11" t="str">
        <x:v>P0 / R1</x:v>
      </x:c>
      <x:c r="D90" s="11" t="str">
        <x:v>Measurement plan validation and recovery</x:v>
      </x:c>
      <x:c r="E90" s="11" t="str">
        <x:v>Start from the same eligible fixture and retain the submitted draft; record the last committed head and receipt. Introduce the boundary or failure stated below.</x:v>
      </x:c>
      <x:c r="F90" s="11" t="str">
        <x:v>1. Exercise each independent condition in the validation contract, as separate recorded variants: Collector and reviewer must be eligible and independent where required. A missing source binding cannot be replaced by a default zero series. 2. Inspect the safe error/state and authorised recovery actions. 3. Correct the condition and retry under current authority and expected revision. 4. Compare durable effects and audit history with the original baseline.</x:v>
      </x:c>
      <x:c r="G90" s="11" t="str">
        <x:v>Collector and reviewer must be eligible and independent where required. A missing source binding cannot be replaced by a default zero series. Ordinary failed saves have no partial effect. Explicit bulk partial modes account for committed and unprocessed items. A retry does not duplicate the intended business effect.</x:v>
      </x:c>
      <x:c r="H90" s="13" t="str">
        <x:v>Not run</x:v>
      </x:c>
      <x:c r="I90" s="13" t="str"/>
      <x:c r="J90" s="13" t="str">
        <x:v>Expand multi-condition variants in the run record. Required negative coverage, not a claim that one assertion covers every security attack.</x:v>
      </x:c>
    </x:row>
    <x:row r="91" ht="90" customHeight="1">
      <x:c r="A91" s="11" t="str">
        <x:v>TC-PLN-007-01</x:v>
      </x:c>
      <x:c r="B91" s="11" t="str">
        <x:v>FR-PLN-007 / BR-PLN-007</x:v>
      </x:c>
      <x:c r="C91" s="11" t="str">
        <x:v>P1 / R1</x:v>
      </x:c>
      <x:c r="D91" s="11" t="str">
        <x:v>Assumptions and context intended outcome</x:v>
      </x:c>
      <x:c r="E91" s="11" t="str">
        <x:v>Synthetic tenant A; tenant B hidden markers; eligible actor with explicit capability, scope, purpose and current assurance. Set up the source acceptance fixture: Invalidate a funding assumption after a baseline was approved; the linked outcome is flagged and historical results remain unchanged.</x:v>
      </x:c>
      <x:c r="F91" s="11" t="str">
        <x:v>1. Record current object revisions, policy and safe audit cursor. 2. Perform the specified interaction: Managers create assumptions and context records linked to nodes, with expected condition, evidence, owner, review date and status. Marking an assumption invalid generates a review task and highlights affected planning views. 3. Inspect UI, canonical API read and audit/receipt for the resulting version. 4. Apply the acceptance example: Invalidate a funding assumption after a baseline was approved; the linked outcome is flagged and historical results remain unchanged.</x:v>
      </x:c>
      <x:c r="G91" s="11" t="str">
        <x:v>Invalidate a funding assumption after a baseline was approved; the linked outcome is flagged and historical results remain unchanged. Required behaviour is preserved: Managers create assumptions and context records linked to nodes, with expected condition, evidence, owner, review date and status. Marking an assumption invalid generates a review task and highlights affected planning views.</x:v>
      </x:c>
      <x:c r="H91" s="13" t="str">
        <x:v>Not run</x:v>
      </x:c>
      <x:c r="I91" s="13" t="str"/>
      <x:c r="J91" s="13" t="str">
        <x:v>Primary owning component C03. Execute relevant channels; record actual fixture IDs and observed evidence.</x:v>
      </x:c>
    </x:row>
    <x:row r="92" ht="77" customHeight="1">
      <x:c r="A92" s="11" t="str">
        <x:v>TC-PLN-007-02</x:v>
      </x:c>
      <x:c r="B92" s="11" t="str">
        <x:v>FR-PLN-007 / BR-PLN-007 / SC01–SC08</x:v>
      </x:c>
      <x:c r="C92" s="11" t="str">
        <x:v>P1 / R1</x:v>
      </x:c>
      <x:c r="D92" s="11" t="str">
        <x:v>Assumptions and context validation and recovery</x:v>
      </x:c>
      <x:c r="E92" s="11" t="str">
        <x:v>Start from the same eligible fixture and retain the submitted draft; record the last committed head and receipt. Introduce the boundary or failure stated below.</x:v>
      </x:c>
      <x:c r="F92" s="11" t="str">
        <x:v>1. Exercise each independent condition in the validation contract, as separate recorded variants: An assumption status changes interpretation, not recorded actuals. Changes to a past assumption retain the previous assessment and effective date. 2. Inspect the safe error/state and authorised recovery actions. 3. Correct the condition and retry under current authority and expected revision. 4. Compare durable effects and audit history with the original baseline.</x:v>
      </x:c>
      <x:c r="G92" s="11" t="str">
        <x:v>An assumption status changes interpretation, not recorded actuals. Changes to a past assumption retain the previous assessment and effective date. Ordinary failed saves have no partial effect. Explicit bulk partial modes account for committed and unprocessed items. A retry does not duplicate the intended business effect.</x:v>
      </x:c>
      <x:c r="H92" s="13" t="str">
        <x:v>Not run</x:v>
      </x:c>
      <x:c r="I92" s="13" t="str"/>
      <x:c r="J92" s="13" t="str">
        <x:v>Expand multi-condition variants in the run record. Required negative coverage, not a claim that one assertion covers every security attack.</x:v>
      </x:c>
    </x:row>
    <x:row r="93" ht="103" customHeight="1">
      <x:c r="A93" s="11" t="str">
        <x:v>TC-PLN-008-01</x:v>
      </x:c>
      <x:c r="B93" s="11" t="str">
        <x:v>FR-PLN-008 / BR-PLN-008</x:v>
      </x:c>
      <x:c r="C93" s="11" t="str">
        <x:v>P2 / R3</x:v>
      </x:c>
      <x:c r="D93" s="11" t="str">
        <x:v>Planning scenarios intended outcome</x:v>
      </x:c>
      <x:c r="E93" s="11" t="str">
        <x:v>Synthetic tenant A; tenant B hidden markers; eligible actor with explicit capability, scope, purpose and current assurance. Set up the source acceptance fixture: Compare two funding scenarios and adopt one; the original targets remain official until all required amendment decisions complete.</x:v>
      </x:c>
      <x:c r="F93" s="11" t="str">
        <x:v>1. Record current object revisions, policy and safe audit cursor. 2. Perform the specified interaction: A scenario starts from a pinned programme baseline and records altered targets, budgets, timing and assumptions. Comparison shows differences and calculated projections separately from approved actuals. Adoption creates ordinary amendment proposals for each governed object. 3. Inspect UI, canonical API read and audit/receipt for the resulting version. 4. Apply the acceptance example: Compare two funding scenarios and adopt one; the original targets remain official until all required amendment decisions complete.</x:v>
      </x:c>
      <x:c r="G93" s="11" t="str">
        <x:v>Compare two funding scenarios and adopt one; the original targets remain official until all required amendment decisions complete. Required behaviour is preserved: A scenario starts from a pinned programme baseline and records altered targets, budgets, timing and assumptions. Comparison shows differences and calculated projections separately from approved actuals. Adoption creates ordinary amendment proposals for each governed object.</x:v>
      </x:c>
      <x:c r="H93" s="13" t="str">
        <x:v>Not run</x:v>
      </x:c>
      <x:c r="I93" s="13" t="str"/>
      <x:c r="J93" s="13" t="str">
        <x:v>Primary owning component C03. Execute relevant channels; record actual fixture IDs and observed evidence.</x:v>
      </x:c>
    </x:row>
    <x:row r="94" ht="77" customHeight="1">
      <x:c r="A94" s="11" t="str">
        <x:v>TC-PLN-008-02</x:v>
      </x:c>
      <x:c r="B94" s="11" t="str">
        <x:v>FR-PLN-008 / BR-PLN-008 / SC01–SC08</x:v>
      </x:c>
      <x:c r="C94" s="11" t="str">
        <x:v>P2 / R3</x:v>
      </x:c>
      <x:c r="D94" s="11" t="str">
        <x:v>Planning scenarios validation and recovery</x:v>
      </x:c>
      <x:c r="E94" s="11" t="str">
        <x:v>Start from the same eligible fixture and retain the submitted draft; record the last committed head and receipt. Introduce the boundary or failure stated below.</x:v>
      </x:c>
      <x:c r="F94" s="11" t="str">
        <x:v>1. Exercise each independent condition in the validation contract, as separate recorded variants: No direct promote operation can bypass target, budget or framework approval. Abandoned scenarios remain labelled and are excluded from official portfolio views. 2. Inspect the safe error/state and authorised recovery actions. 3. Correct the condition and retry under current authority and expected revision. 4. Compare durable effects and audit history with the original baseline.</x:v>
      </x:c>
      <x:c r="G94" s="11" t="str">
        <x:v>No direct promote operation can bypass target, budget or framework approval. Abandoned scenarios remain labelled and are excluded from official portfolio views. Ordinary failed saves have no partial effect. Explicit bulk partial modes account for committed and unprocessed items. A retry does not duplicate the intended business effect.</x:v>
      </x:c>
      <x:c r="H94" s="13" t="str">
        <x:v>Not run</x:v>
      </x:c>
      <x:c r="I94" s="13" t="str"/>
      <x:c r="J94" s="13" t="str">
        <x:v>Expand multi-condition variants in the run record. Required negative coverage, not a claim that one assertion covers every security attack.</x:v>
      </x:c>
    </x:row>
    <x:row r="95" ht="103" customHeight="1">
      <x:c r="A95" s="11" t="str">
        <x:v>TC-PLN-009-01</x:v>
      </x:c>
      <x:c r="B95" s="11" t="str">
        <x:v>FR-PLN-009 / BR-PLN-009</x:v>
      </x:c>
      <x:c r="C95" s="11" t="str">
        <x:v>P1 / R1</x:v>
      </x:c>
      <x:c r="D95" s="11" t="str">
        <x:v>Document assisted setup intended outcome</x:v>
      </x:c>
      <x:c r="E95" s="11" t="str">
        <x:v>Synthetic tenant A; tenant B hidden markers; eligible actor with explicit capability, scope, purpose and current assurance. Set up the source acceptance fixture: Process a proposal containing two different end dates; setup shows both references and cannot activate until the owner resolves the conflict.</x:v>
      </x:c>
      <x:c r="F95" s="11" t="str">
        <x:v>1. Record current object revisions, policy and safe audit cursor. 2. Perform the specified interaction: Setup offers manual, library and document assisted paths into the same draft entities. Extraction presents source location, proposed field, ambiguity and inference label. The user accepts or edits selected values and sees unresolved fields before submission. 3. Inspect UI, canonical API read and audit/receipt for the resulting version. 4. Apply the acceptance example: Process a proposal containing two different end dates; setup shows both references and cannot activate until the owner resolves the conflict.</x:v>
      </x:c>
      <x:c r="G95" s="11" t="str">
        <x:v>Process a proposal containing two different end dates; setup shows both references and cannot activate until the owner resolves the conflict. Required behaviour is preserved: Setup offers manual, library and document assisted paths into the same draft entities. Extraction presents source location, proposed field, ambiguity and inference label. The user accepts or edits selected values and sees unresolved fields before submission.</x:v>
      </x:c>
      <x:c r="H95" s="13" t="str">
        <x:v>Not run</x:v>
      </x:c>
      <x:c r="I95" s="13" t="str"/>
      <x:c r="J95" s="13" t="str">
        <x:v>Primary owning component C03. Execute relevant channels; record actual fixture IDs and observed evidence.</x:v>
      </x:c>
    </x:row>
    <x:row r="96" ht="90" customHeight="1">
      <x:c r="A96" s="11" t="str">
        <x:v>TC-PLN-009-02</x:v>
      </x:c>
      <x:c r="B96" s="11" t="str">
        <x:v>FR-PLN-009 / BR-PLN-009 / SC01–SC08</x:v>
      </x:c>
      <x:c r="C96" s="11" t="str">
        <x:v>P1 / R1</x:v>
      </x:c>
      <x:c r="D96" s="11" t="str">
        <x:v>Document assisted setup validation and recovery</x:v>
      </x:c>
      <x:c r="E96" s="11" t="str">
        <x:v>Start from the same eligible fixture and retain the submitted draft; record the last committed head and receipt. Introduce the boundary or failure stated below.</x:v>
      </x:c>
      <x:c r="F96" s="11" t="str">
        <x:v>1. Exercise each independent condition in the validation contract, as separate recorded variants: Missing dates, populations or commitments stay missing. AI inferred relationships are not source facts; material additions require normal review. No source text can execute a product command. 2. Inspect the safe error/state and authorised recovery actions. 3. Correct the condition and retry under current authority and expected revision. 4. Compare durable effects and audit history with the original baseline.</x:v>
      </x:c>
      <x:c r="G96" s="11" t="str">
        <x:v>Missing dates, populations or commitments stay missing. AI inferred relationships are not source facts; material additions require normal review. No source text can execute a product command. Ordinary failed saves have no partial effect. Explicit bulk partial modes account for committed and unprocessed items. A retry does not duplicate the intended business effect.</x:v>
      </x:c>
      <x:c r="H96" s="13" t="str">
        <x:v>Not run</x:v>
      </x:c>
      <x:c r="I96" s="13" t="str"/>
      <x:c r="J96" s="13" t="str">
        <x:v>Expand multi-condition variants in the run record. Required negative coverage, not a claim that one assertion covers every security attack.</x:v>
      </x:c>
    </x:row>
    <x:row r="97" ht="103" customHeight="1">
      <x:c r="A97" s="11" t="str">
        <x:v>TC-PLN-010-01</x:v>
      </x:c>
      <x:c r="B97" s="11" t="str">
        <x:v>FR-PLN-010 / BR-PLN-010</x:v>
      </x:c>
      <x:c r="C97" s="11" t="str">
        <x:v>P0 / R1</x:v>
      </x:c>
      <x:c r="D97" s="11" t="str">
        <x:v>Framework completeness review intended outcome</x:v>
      </x:c>
      <x:c r="E97" s="11" t="str">
        <x:v>Synthetic tenant A; tenant B hidden markers; eligible actor with explicit capability, scope, purpose and current assurance. Set up the source acceptance fixture: Submit a framework with an unmeasured output; approval either includes a permitted documented exception or remains blocked with an assigned action.</x:v>
      </x:c>
      <x:c r="F97" s="11" t="str">
        <x:v>1. Record current object revisions, policy and safe audit cursor. 2. Perform the specified interaction: The completeness view checks orphan nodes, unmeasured outcomes, missing owners, invalid sources, unreviewed assumptions and conflicting reporting obligations. Each issue has severity, object, rule and assigned resolver. Eligible exceptions require reason and review date. 3. Inspect UI, canonical API read and audit/receipt for the resulting version. 4. Apply the acceptance example: Submit a framework with an unmeasured output; approval either includes a permitted documented exception or remains blocked with an assigned action.</x:v>
      </x:c>
      <x:c r="G97" s="11" t="str">
        <x:v>Submit a framework with an unmeasured output; approval either includes a permitted documented exception or remains blocked with an assigned action. Required behaviour is preserved: The completeness view checks orphan nodes, unmeasured outcomes, missing owners, invalid sources, unreviewed assumptions and conflicting reporting obligations. Each issue has severity, object, rule and assigned resolver. Eligible exceptions require reason and review date.</x:v>
      </x:c>
      <x:c r="H97" s="13" t="str">
        <x:v>Not run</x:v>
      </x:c>
      <x:c r="I97" s="13" t="str"/>
      <x:c r="J97" s="13" t="str">
        <x:v>Primary owning component C03. Execute relevant channels; record actual fixture IDs and observed evidence.</x:v>
      </x:c>
    </x:row>
    <x:row r="98" ht="77" customHeight="1">
      <x:c r="A98" s="11" t="str">
        <x:v>TC-PLN-010-02</x:v>
      </x:c>
      <x:c r="B98" s="11" t="str">
        <x:v>FR-PLN-010 / BR-PLN-010 / SC01–SC08</x:v>
      </x:c>
      <x:c r="C98" s="11" t="str">
        <x:v>P0 / R1</x:v>
      </x:c>
      <x:c r="D98" s="11" t="str">
        <x:v>Framework completeness review validation and recovery</x:v>
      </x:c>
      <x:c r="E98" s="11" t="str">
        <x:v>Start from the same eligible fixture and retain the submitted draft; record the last committed head and receipt. Introduce the boundary or failure stated below.</x:v>
      </x:c>
      <x:c r="F98" s="11" t="str">
        <x:v>1. Exercise each independent condition in the validation contract, as separate recorded variants: Structural invalidity and unsupported official arithmetic cannot be excepted. A warning can be accepted only by the named authority and remains visible in baseline evidence. 2. Inspect the safe error/state and authorised recovery actions. 3. Correct the condition and retry under current authority and expected revision. 4. Compare durable effects and audit history with the original baseline.</x:v>
      </x:c>
      <x:c r="G98" s="11" t="str">
        <x:v>Structural invalidity and unsupported official arithmetic cannot be excepted. A warning can be accepted only by the named authority and remains visible in baseline evidence. Ordinary failed saves have no partial effect. Explicit bulk partial modes account for committed and unprocessed items. A retry does not duplicate the intended business effect.</x:v>
      </x:c>
      <x:c r="H98" s="13" t="str">
        <x:v>Not run</x:v>
      </x:c>
      <x:c r="I98" s="13" t="str"/>
      <x:c r="J98" s="13" t="str">
        <x:v>Expand multi-condition variants in the run record. Required negative coverage, not a claim that one assertion covers every security attack.</x:v>
      </x:c>
    </x:row>
    <x:row r="99" ht="103" customHeight="1">
      <x:c r="A99" s="11" t="str">
        <x:v>TC-PRG-001-01</x:v>
      </x:c>
      <x:c r="B99" s="11" t="str">
        <x:v>FR-PRG-001 / BR-PRG-001</x:v>
      </x:c>
      <x:c r="C99" s="11" t="str">
        <x:v>P0 / R1</x:v>
      </x:c>
      <x:c r="D99" s="11" t="str">
        <x:v>Programme and project registry intended outcome</x:v>
      </x:c>
      <x:c r="E99" s="11" t="str">
        <x:v>Synthetic tenant A; tenant B hidden markers; eligible actor with explicit capability, scope, purpose and current assurance. Set up the source acceptance fixture: Create project P in two thematic portfolios and confirm the organisation registry contains one project identity and two memberships.</x:v>
      </x:c>
      <x:c r="F99" s="11" t="str">
        <x:v>1. Record current object revisions, policy and safe audit cursor. 2. Perform the specified interaction: Programme creation validates a tenant unique code, title, dates, owner, geography and reporting calendar. Users add portfolio memberships with effective dates. Registry filters apply access before counts and allow archive or reopen only through lifecycle actions. 3. Inspect UI, canonical API read and audit/receipt for the resulting version. 4. Apply the acceptance example: Create project P in two thematic portfolios and confirm the organisation registry contains one project identity and two memberships.</x:v>
      </x:c>
      <x:c r="G99" s="11" t="str">
        <x:v>Create project P in two thematic portfolios and confirm the organisation registry contains one project identity and two memberships. Required behaviour is preserved: Programme creation validates a tenant unique code, title, dates, owner, geography and reporting calendar. Users add portfolio memberships with effective dates. Registry filters apply access before counts and allow archive or reopen only through lifecycle actions.</x:v>
      </x:c>
      <x:c r="H99" s="13" t="str">
        <x:v>Not run</x:v>
      </x:c>
      <x:c r="I99" s="13" t="str"/>
      <x:c r="J99" s="13" t="str">
        <x:v>Primary owning component C03. Execute relevant channels; record actual fixture IDs and observed evidence.</x:v>
      </x:c>
    </x:row>
    <x:row r="100" ht="77" customHeight="1">
      <x:c r="A100" s="11" t="str">
        <x:v>TC-PRG-001-02</x:v>
      </x:c>
      <x:c r="B100" s="11" t="str">
        <x:v>FR-PRG-001 / BR-PRG-001 / SC01–SC08</x:v>
      </x:c>
      <x:c r="C100" s="11" t="str">
        <x:v>P0 / R1</x:v>
      </x:c>
      <x:c r="D100" s="11" t="str">
        <x:v>Programme and project registry validation and recovery</x:v>
      </x:c>
      <x:c r="E100" s="11" t="str">
        <x:v>Start from the same eligible fixture and retain the submitted draft; record the last committed head and receipt. Introduce the boundary or failure stated below.</x:v>
      </x:c>
      <x:c r="F100" s="11" t="str">
        <x:v>1. Exercise each independent condition in the validation contract, as separate recorded variants: A project may appear in several views without duplicating its underlying identity. Archived projects remain searchable to authorised auditors but cannot receive ordinary new submissions. 2. Inspect the safe error/state and authorised recovery actions. 3. Correct the condition and retry under current authority and expected revision. 4. Compare durable effects and audit history with the original baseline.</x:v>
      </x:c>
      <x:c r="G100" s="11" t="str">
        <x:v>A project may appear in several views without duplicating its underlying identity. Archived projects remain searchable to authorised auditors but cannot receive ordinary new submissions. Ordinary failed saves have no partial effect. Explicit bulk partial modes account for committed and unprocessed items. A retry does not duplicate the intended business effect.</x:v>
      </x:c>
      <x:c r="H100" s="13" t="str">
        <x:v>Not run</x:v>
      </x:c>
      <x:c r="I100" s="13" t="str"/>
      <x:c r="J100" s="13" t="str">
        <x:v>Expand multi-condition variants in the run record. Required negative coverage, not a claim that one assertion covers every security attack.</x:v>
      </x:c>
    </x:row>
    <x:row r="101" ht="90" customHeight="1">
      <x:c r="A101" s="11" t="str">
        <x:v>TC-PRG-002-01</x:v>
      </x:c>
      <x:c r="B101" s="11" t="str">
        <x:v>FR-PRG-002 / BR-PRG-002</x:v>
      </x:c>
      <x:c r="C101" s="11" t="str">
        <x:v>P1 / R1</x:v>
      </x:c>
      <x:c r="D101" s="11" t="str">
        <x:v>Activities and milestones intended outcome</x:v>
      </x:c>
      <x:c r="E101" s="11" t="str">
        <x:v>Synthetic tenant A; tenant B hidden markers; eligible actor with explicit capability, scope, purpose and current assurance. Set up the source acceptance fixture: Delay activity A, which precedes B; B shows dependency risk, its approved due date is retained and no indicator achievement is invented.</x:v>
      </x:c>
      <x:c r="F101" s="11" t="str">
        <x:v>1. Record current object revisions, policy and safe audit cursor. 2. Perform the specified interaction: Managers define activities with assignee, start, due date, predecessor links, milestone evidence and framework reference. Completion requires the declared deliverable evidence or an authorised exception; blocked and cancelled are explicit states. 3. Inspect UI, canonical API read and audit/receipt for the resulting version. 4. Apply the acceptance example: Delay activity A, which precedes B; B shows dependency risk, its approved due date is retained and no indicator achievement is invented.</x:v>
      </x:c>
      <x:c r="G101" s="11" t="str">
        <x:v>Delay activity A, which precedes B; B shows dependency risk, its approved due date is retained and no indicator achievement is invented. Required behaviour is preserved: Managers define activities with assignee, start, due date, predecessor links, milestone evidence and framework reference. Completion requires the declared deliverable evidence or an authorised exception; blocked and cancelled are explicit states.</x:v>
      </x:c>
      <x:c r="H101" s="13" t="str">
        <x:v>Not run</x:v>
      </x:c>
      <x:c r="I101" s="13" t="str"/>
      <x:c r="J101" s="13" t="str">
        <x:v>Primary owning component C03. Execute relevant channels; record actual fixture IDs and observed evidence.</x:v>
      </x:c>
    </x:row>
    <x:row r="102" ht="77" customHeight="1">
      <x:c r="A102" s="11" t="str">
        <x:v>TC-PRG-002-02</x:v>
      </x:c>
      <x:c r="B102" s="11" t="str">
        <x:v>FR-PRG-002 / BR-PRG-002 / SC01–SC08</x:v>
      </x:c>
      <x:c r="C102" s="11" t="str">
        <x:v>P1 / R1</x:v>
      </x:c>
      <x:c r="D102" s="11" t="str">
        <x:v>Activities and milestones validation and recovery</x:v>
      </x:c>
      <x:c r="E102" s="11" t="str">
        <x:v>Start from the same eligible fixture and retain the submitted draft; record the last committed head and receipt. Introduce the boundary or failure stated below.</x:v>
      </x:c>
      <x:c r="F102" s="11" t="str">
        <x:v>1. Exercise each independent condition in the validation contract, as separate recorded variants: Reject dependency cycles and due dates before start. A predecessor delay flags downstream risk but never automatically changes official outcome actuals or approved programme dates. 2. Inspect the safe error/state and authorised recovery actions. 3. Correct the condition and retry under current authority and expected revision. 4. Compare durable effects and audit history with the original baseline.</x:v>
      </x:c>
      <x:c r="G102" s="11" t="str">
        <x:v>Reject dependency cycles and due dates before start. A predecessor delay flags downstream risk but never automatically changes official outcome actuals or approved programme dates. Ordinary failed saves have no partial effect. Explicit bulk partial modes account for committed and unprocessed items. A retry does not duplicate the intended business effect.</x:v>
      </x:c>
      <x:c r="H102" s="13" t="str">
        <x:v>Not run</x:v>
      </x:c>
      <x:c r="I102" s="13" t="str"/>
      <x:c r="J102" s="13" t="str">
        <x:v>Expand multi-condition variants in the run record. Required negative coverage, not a claim that one assertion covers every security attack.</x:v>
      </x:c>
    </x:row>
    <x:row r="103" ht="90" customHeight="1">
      <x:c r="A103" s="11" t="str">
        <x:v>TC-PRG-003-01</x:v>
      </x:c>
      <x:c r="B103" s="11" t="str">
        <x:v>FR-PRG-003 / BR-PRG-003</x:v>
      </x:c>
      <x:c r="C103" s="11" t="str">
        <x:v>P1 / R1</x:v>
      </x:c>
      <x:c r="D103" s="11" t="str">
        <x:v>Workplans and calendars intended outcome</x:v>
      </x:c>
      <x:c r="E103" s="11" t="str">
        <x:v>Synthetic tenant A; tenant B hidden markers; eligible actor with explicit capability, scope, purpose and current assurance. Set up the source acceptance fixture: Move programme end by one month and confirm only eligible future tasks shift, while a locked quarterly deadline stays unchanged.</x:v>
      </x:c>
      <x:c r="F103" s="11" t="str">
        <x:v>1. Record current object revisions, policy and safe audit cursor. 2. Perform the specified interaction: The calendar renders programme and reporting tasks in the viewer's zone with the governing deadline zone available. Recurrence creates stable obligation instances using the working calendar. Reschedule preview lists future tasks and affected recipients. 3. Inspect UI, canonical API read and audit/receipt for the resulting version. 4. Apply the acceptance example: Move programme end by one month and confirm only eligible future tasks shift, while a locked quarterly deadline stays unchanged.</x:v>
      </x:c>
      <x:c r="G103" s="11" t="str">
        <x:v>Move programme end by one month and confirm only eligible future tasks shift, while a locked quarterly deadline stays unchanged. Required behaviour is preserved: The calendar renders programme and reporting tasks in the viewer's zone with the governing deadline zone available. Recurrence creates stable obligation instances using the working calendar. Reschedule preview lists future tasks and affected recipients.</x:v>
      </x:c>
      <x:c r="H103" s="13" t="str">
        <x:v>Not run</x:v>
      </x:c>
      <x:c r="I103" s="13" t="str"/>
      <x:c r="J103" s="13" t="str">
        <x:v>Primary owning component C03. Execute relevant channels; record actual fixture IDs and observed evidence.</x:v>
      </x:c>
    </x:row>
    <x:row r="104" ht="77" customHeight="1">
      <x:c r="A104" s="11" t="str">
        <x:v>TC-PRG-003-02</x:v>
      </x:c>
      <x:c r="B104" s="11" t="str">
        <x:v>FR-PRG-003 / BR-PRG-003 / SC01–SC08</x:v>
      </x:c>
      <x:c r="C104" s="11" t="str">
        <x:v>P1 / R1</x:v>
      </x:c>
      <x:c r="D104" s="11" t="str">
        <x:v>Workplans and calendars validation and recovery</x:v>
      </x:c>
      <x:c r="E104" s="11" t="str">
        <x:v>Start from the same eligible fixture and retain the submitted draft; record the last committed head and receipt. Introduce the boundary or failure stated below.</x:v>
      </x:c>
      <x:c r="F104" s="11" t="str">
        <x:v>1. Exercise each independent condition in the validation contract, as separate recorded variants: Locked period deadlines remain immutable history. Daylight saving changes resolve to one declared instant; duplicate task creation is prevented by obligation identity. 2. Inspect the safe error/state and authorised recovery actions. 3. Correct the condition and retry under current authority and expected revision. 4. Compare durable effects and audit history with the original baseline.</x:v>
      </x:c>
      <x:c r="G104" s="11" t="str">
        <x:v>Locked period deadlines remain immutable history. Daylight saving changes resolve to one declared instant; duplicate task creation is prevented by obligation identity. Ordinary failed saves have no partial effect. Explicit bulk partial modes account for committed and unprocessed items. A retry does not duplicate the intended business effect.</x:v>
      </x:c>
      <x:c r="H104" s="13" t="str">
        <x:v>Not run</x:v>
      </x:c>
      <x:c r="I104" s="13" t="str"/>
      <x:c r="J104" s="13" t="str">
        <x:v>Expand multi-condition variants in the run record. Required negative coverage, not a claim that one assertion covers every security attack.</x:v>
      </x:c>
    </x:row>
    <x:row r="105" ht="90" customHeight="1">
      <x:c r="A105" s="11" t="str">
        <x:v>TC-PRG-004-01</x:v>
      </x:c>
      <x:c r="B105" s="11" t="str">
        <x:v>FR-PRG-004 / BR-PRG-004</x:v>
      </x:c>
      <x:c r="C105" s="11" t="str">
        <x:v>P1 / R1</x:v>
      </x:c>
      <x:c r="D105" s="11" t="str">
        <x:v>Risks issues and dependencies intended outcome</x:v>
      </x:c>
      <x:c r="E105" s="11" t="str">
        <x:v>Synthetic tenant A; tenant B hidden markers; eligible actor with explicit capability, scope, purpose and current assurance. Set up the source acceptance fixture: Create a high impact issue past its due date; escalation identifies the responsible manager and linked obligations without exposing restricted evidence in email.</x:v>
      </x:c>
      <x:c r="F105" s="11" t="str">
        <x:v>1. Record current object revisions, policy and safe audit cursor. 2. Perform the specified interaction: A risk record captures category, likelihood, impact, score rule, owner, mitigation and review date. An issue records an observed problem and evidence. Automated detections enter suggested state until a manager validates them. 3. Inspect UI, canonical API read and audit/receipt for the resulting version. 4. Apply the acceptance example: Create a high impact issue past its due date; escalation identifies the responsible manager and linked obligations without exposing restricted evidence in email.</x:v>
      </x:c>
      <x:c r="G105" s="11" t="str">
        <x:v>Create a high impact issue past its due date; escalation identifies the responsible manager and linked obligations without exposing restricted evidence in email. Required behaviour is preserved: A risk record captures category, likelihood, impact, score rule, owner, mitigation and review date. An issue records an observed problem and evidence. Automated detections enter suggested state until a manager validates them.</x:v>
      </x:c>
      <x:c r="H105" s="13" t="str">
        <x:v>Not run</x:v>
      </x:c>
      <x:c r="I105" s="13" t="str"/>
      <x:c r="J105" s="13" t="str">
        <x:v>Primary owning component C03. Execute relevant channels; record actual fixture IDs and observed evidence.</x:v>
      </x:c>
    </x:row>
    <x:row r="106" ht="77" customHeight="1">
      <x:c r="A106" s="11" t="str">
        <x:v>TC-PRG-004-02</x:v>
      </x:c>
      <x:c r="B106" s="11" t="str">
        <x:v>FR-PRG-004 / BR-PRG-004 / SC01–SC08</x:v>
      </x:c>
      <x:c r="C106" s="11" t="str">
        <x:v>P1 / R1</x:v>
      </x:c>
      <x:c r="D106" s="11" t="str">
        <x:v>Risks issues and dependencies validation and recovery</x:v>
      </x:c>
      <x:c r="E106" s="11" t="str">
        <x:v>Start from the same eligible fixture and retain the submitted draft; record the last committed head and receipt. Introduce the boundary or failure stated below.</x:v>
      </x:c>
      <x:c r="F106" s="11" t="str">
        <x:v>1. Exercise each independent condition in the validation contract, as separate recorded variants: Risk score is calculated from an explicit configured matrix, not AI certainty. Closing needs resolution evidence and does not remove earlier escalation events. 2. Inspect the safe error/state and authorised recovery actions. 3. Correct the condition and retry under current authority and expected revision. 4. Compare durable effects and audit history with the original baseline.</x:v>
      </x:c>
      <x:c r="G106" s="11" t="str">
        <x:v>Risk score is calculated from an explicit configured matrix, not AI certainty. Closing needs resolution evidence and does not remove earlier escalation events. Ordinary failed saves have no partial effect. Explicit bulk partial modes account for committed and unprocessed items. A retry does not duplicate the intended business effect.</x:v>
      </x:c>
      <x:c r="H106" s="13" t="str">
        <x:v>Not run</x:v>
      </x:c>
      <x:c r="I106" s="13" t="str"/>
      <x:c r="J106" s="13" t="str">
        <x:v>Expand multi-condition variants in the run record. Required negative coverage, not a claim that one assertion covers every security attack.</x:v>
      </x:c>
    </x:row>
    <x:row r="107" ht="90" customHeight="1">
      <x:c r="A107" s="11" t="str">
        <x:v>TC-PRG-005-01</x:v>
      </x:c>
      <x:c r="B107" s="11" t="str">
        <x:v>FR-PRG-005 / BR-PRG-005</x:v>
      </x:c>
      <x:c r="C107" s="11" t="str">
        <x:v>P1 / R1</x:v>
      </x:c>
      <x:c r="D107" s="11" t="str">
        <x:v>Geography and sites intended outcome</x:v>
      </x:c>
      <x:c r="E107" s="11" t="str">
        <x:v>Synthetic tenant A; tenant B hidden markers; eligible actor with explicit capability, scope, purpose and current assurance. Set up the source acceptance fixture: Split a district into two new districts and reproduce a report on the old boundary while future data uses the new codes.</x:v>
      </x:c>
      <x:c r="F107" s="11" t="str">
        <x:v>1. Record current object revisions, policy and safe audit cursor. 2. Perform the specified interaction: A geography editor imports or selects a versioned hierarchy and optional permitted coordinates. Project and observation bindings record boundary version and effective date. Maps use the disclosure level allowed for the viewer. 3. Inspect UI, canonical API read and audit/receipt for the resulting version. 4. Apply the acceptance example: Split a district into two new districts and reproduce a report on the old boundary while future data uses the new codes.</x:v>
      </x:c>
      <x:c r="G107" s="11" t="str">
        <x:v>Split a district into two new districts and reproduce a report on the old boundary while future data uses the new codes. Required behaviour is preserved: A geography editor imports or selects a versioned hierarchy and optional permitted coordinates. Project and observation bindings record boundary version and effective date. Maps use the disclosure level allowed for the viewer.</x:v>
      </x:c>
      <x:c r="H107" s="13" t="str">
        <x:v>Not run</x:v>
      </x:c>
      <x:c r="I107" s="13" t="str"/>
      <x:c r="J107" s="13" t="str">
        <x:v>Primary owning component C03. Execute relevant channels; record actual fixture IDs and observed evidence.</x:v>
      </x:c>
    </x:row>
    <x:row r="108" ht="90" customHeight="1">
      <x:c r="A108" s="11" t="str">
        <x:v>TC-PRG-005-02</x:v>
      </x:c>
      <x:c r="B108" s="11" t="str">
        <x:v>FR-PRG-005 / BR-PRG-005 / SC01–SC08</x:v>
      </x:c>
      <x:c r="C108" s="11" t="str">
        <x:v>P1 / R1</x:v>
      </x:c>
      <x:c r="D108" s="11" t="str">
        <x:v>Geography and sites validation and recovery</x:v>
      </x:c>
      <x:c r="E108" s="11" t="str">
        <x:v>Start from the same eligible fixture and retain the submitted draft; record the last committed head and receipt. Introduce the boundary or failure stated below.</x:v>
      </x:c>
      <x:c r="F108" s="11" t="str">
        <x:v>1. Exercise each independent condition in the validation contract, as separate recorded variants: Changing boundaries never rewrites old observation codes. Exact coordinates require separate permission; generalisation uses a documented mapping rather than arbitrary jitter presented as an exact location. 2. Inspect the safe error/state and authorised recovery actions. 3. Correct the condition and retry under current authority and expected revision. 4. Compare durable effects and audit history with the original baseline.</x:v>
      </x:c>
      <x:c r="G108" s="11" t="str">
        <x:v>Changing boundaries never rewrites old observation codes. Exact coordinates require separate permission; generalisation uses a documented mapping rather than arbitrary jitter presented as an exact location. Ordinary failed saves have no partial effect. Explicit bulk partial modes account for committed and unprocessed items. A retry does not duplicate the intended business effect.</x:v>
      </x:c>
      <x:c r="H108" s="13" t="str">
        <x:v>Not run</x:v>
      </x:c>
      <x:c r="I108" s="13" t="str"/>
      <x:c r="J108" s="13" t="str">
        <x:v>Expand multi-condition variants in the run record. Required negative coverage, not a claim that one assertion covers every security attack.</x:v>
      </x:c>
    </x:row>
    <x:row r="109" ht="103" customHeight="1">
      <x:c r="A109" s="11" t="str">
        <x:v>TC-PRG-006-01</x:v>
      </x:c>
      <x:c r="B109" s="11" t="str">
        <x:v>FR-PRG-006 / BR-PRG-006</x:v>
      </x:c>
      <x:c r="C109" s="11" t="str">
        <x:v>P0 / R1</x:v>
      </x:c>
      <x:c r="D109" s="11" t="str">
        <x:v>Partner responsibilities intended outcome</x:v>
      </x:c>
      <x:c r="E109" s="11" t="str">
        <x:v>Synthetic tenant A; tenant B hidden markers; eligible actor with explicit capability, scope, purpose and current assurance. Set up the source acceptance fixture: Transfer next quarter's reporting from X to Y; X's approved quarter stays intact and Y sees only the assignments and evidence needed for future work.</x:v>
      </x:c>
      <x:c r="F109" s="11" t="str">
        <x:v>1. Record current object revisions, policy and safe audit cursor. 2. Perform the specified interaction: A manager assigns a partner to collection, activity or reporting responsibility with dates, acceptance and explicit scope. The partner accepts or requests correction. Transfer preview lists open tasks, historic submissions and new access needs. 3. Inspect UI, canonical API read and audit/receipt for the resulting version. 4. Apply the acceptance example: Transfer next quarter's reporting from X to Y; X's approved quarter stays intact and Y sees only the assignments and evidence needed for future work.</x:v>
      </x:c>
      <x:c r="G109" s="11" t="str">
        <x:v>Transfer next quarter's reporting from X to Y; X's approved quarter stays intact and Y sees only the assignments and evidence needed for future work. Required behaviour is preserved: A manager assigns a partner to collection, activity or reporting responsibility with dates, acceptance and explicit scope. The partner accepts or requests correction. Transfer preview lists open tasks, historic submissions and new access needs.</x:v>
      </x:c>
      <x:c r="H109" s="13" t="str">
        <x:v>Not run</x:v>
      </x:c>
      <x:c r="I109" s="13" t="str"/>
      <x:c r="J109" s="13" t="str">
        <x:v>Primary owning component C03. Execute relevant channels; record actual fixture IDs and observed evidence.</x:v>
      </x:c>
    </x:row>
    <x:row r="110" ht="77" customHeight="1">
      <x:c r="A110" s="11" t="str">
        <x:v>TC-PRG-006-02</x:v>
      </x:c>
      <x:c r="B110" s="11" t="str">
        <x:v>FR-PRG-006 / BR-PRG-006 / SC01–SC08</x:v>
      </x:c>
      <x:c r="C110" s="11" t="str">
        <x:v>P0 / R1</x:v>
      </x:c>
      <x:c r="D110" s="11" t="str">
        <x:v>Partner responsibilities validation and recovery</x:v>
      </x:c>
      <x:c r="E110" s="11" t="str">
        <x:v>Start from the same eligible fixture and retain the submitted draft; record the last committed head and receipt. Introduce the boundary or failure stated below.</x:v>
      </x:c>
      <x:c r="F110" s="11" t="str">
        <x:v>1. Exercise each independent condition in the validation contract, as separate recorded variants: New responsibility does not confer access to unrelated historical participant records. Existing approved submissions remain attributed to the original contributor. 2. Inspect the safe error/state and authorised recovery actions. 3. Correct the condition and retry under current authority and expected revision. 4. Compare durable effects and audit history with the original baseline.</x:v>
      </x:c>
      <x:c r="G110" s="11" t="str">
        <x:v>New responsibility does not confer access to unrelated historical participant records. Existing approved submissions remain attributed to the original contributor. Ordinary failed saves have no partial effect. Explicit bulk partial modes account for committed and unprocessed items. A retry does not duplicate the intended business effect.</x:v>
      </x:c>
      <x:c r="H110" s="13" t="str">
        <x:v>Not run</x:v>
      </x:c>
      <x:c r="I110" s="13" t="str"/>
      <x:c r="J110" s="13" t="str">
        <x:v>Expand multi-condition variants in the run record. Required negative coverage, not a claim that one assertion covers every security attack.</x:v>
      </x:c>
    </x:row>
    <x:row r="111" ht="90" customHeight="1">
      <x:c r="A111" s="11" t="str">
        <x:v>TC-PRG-007-01</x:v>
      </x:c>
      <x:c r="B111" s="11" t="str">
        <x:v>FR-PRG-007 / BR-PRG-007</x:v>
      </x:c>
      <x:c r="C111" s="11" t="str">
        <x:v>P1 / R1</x:v>
      </x:c>
      <x:c r="D111" s="11" t="str">
        <x:v>Programme change control intended outcome</x:v>
      </x:c>
      <x:c r="E111" s="11" t="str">
        <x:v>Synthetic tenant A; tenant B hidden markers; eligible actor with explicit capability, scope, purpose and current assurance. Set up the source acceptance fixture: Shorten a programme while future obligations exist; approval requires resolving or explicitly retaining every affected obligation.</x:v>
      </x:c>
      <x:c r="F111" s="11" t="str">
        <x:v>1. Record current object revisions, policy and safe audit cursor. 2. Perform the specified interaction: A programme amendment contains proposed changes, reason, effective date and impact on targets, activities, budgets and obligations. Reviewers approve an exact amendment package; application creates the corresponding new object versions and receipts. 3. Inspect UI, canonical API read and audit/receipt for the resulting version. 4. Apply the acceptance example: Shorten a programme while future obligations exist; approval requires resolving or explicitly retaining every affected obligation.</x:v>
      </x:c>
      <x:c r="G111" s="11" t="str">
        <x:v>Shorten a programme while future obligations exist; approval requires resolving or explicitly retaining every affected obligation. Required behaviour is preserved: A programme amendment contains proposed changes, reason, effective date and impact on targets, activities, budgets and obligations. Reviewers approve an exact amendment package; application creates the corresponding new object versions and receipts.</x:v>
      </x:c>
      <x:c r="H111" s="13" t="str">
        <x:v>Not run</x:v>
      </x:c>
      <x:c r="I111" s="13" t="str"/>
      <x:c r="J111" s="13" t="str">
        <x:v>Primary owning component C03. Execute relevant channels; record actual fixture IDs and observed evidence.</x:v>
      </x:c>
    </x:row>
    <x:row r="112" ht="90" customHeight="1">
      <x:c r="A112" s="11" t="str">
        <x:v>TC-PRG-007-02</x:v>
      </x:c>
      <x:c r="B112" s="11" t="str">
        <x:v>FR-PRG-007 / BR-PRG-007 / SC01–SC08</x:v>
      </x:c>
      <x:c r="C112" s="11" t="str">
        <x:v>P1 / R1</x:v>
      </x:c>
      <x:c r="D112" s="11" t="str">
        <x:v>Programme change control validation and recovery</x:v>
      </x:c>
      <x:c r="E112" s="11" t="str">
        <x:v>Start from the same eligible fixture and retain the submitted draft; record the last committed head and receipt. Introduce the boundary or failure stated below.</x:v>
      </x:c>
      <x:c r="F112" s="11" t="str">
        <x:v>1. Exercise each independent condition in the validation contract, as separate recorded variants: If any required child change fails validation, the amendment remains unapplied or explicitly partially applied only under a declared approved mode. No hidden mixture of old and new commitments. 2. Inspect the safe error/state and authorised recovery actions. 3. Correct the condition and retry under current authority and expected revision. 4. Compare durable effects and audit history with the original baseline.</x:v>
      </x:c>
      <x:c r="G112" s="11" t="str">
        <x:v>If any required child change fails validation, the amendment remains unapplied or explicitly partially applied only under a declared approved mode. No hidden mixture of old and new commitments. Ordinary failed saves have no partial effect. Explicit bulk partial modes account for committed and unprocessed items. A retry does not duplicate the intended business effect.</x:v>
      </x:c>
      <x:c r="H112" s="13" t="str">
        <x:v>Not run</x:v>
      </x:c>
      <x:c r="I112" s="13" t="str"/>
      <x:c r="J112" s="13" t="str">
        <x:v>Expand multi-condition variants in the run record. Required negative coverage, not a claim that one assertion covers every security attack.</x:v>
      </x:c>
    </x:row>
    <x:row r="113" ht="103" customHeight="1">
      <x:c r="A113" s="11" t="str">
        <x:v>TC-PRG-008-01</x:v>
      </x:c>
      <x:c r="B113" s="11" t="str">
        <x:v>FR-PRG-008 / BR-PRG-008</x:v>
      </x:c>
      <x:c r="C113" s="11" t="str">
        <x:v>P0 / R1</x:v>
      </x:c>
      <x:c r="D113" s="11" t="str">
        <x:v>Closure and archival intended outcome</x:v>
      </x:c>
      <x:c r="E113" s="11" t="str">
        <x:v>Synthetic tenant A; tenant B hidden markers; eligible actor with explicit capability, scope, purpose and current assurance. Set up the source acceptance fixture: Archive a project with one permitted warning and verify its approved export still works while new ordinary data entry is denied.</x:v>
      </x:c>
      <x:c r="F113" s="11" t="str">
        <x:v>1. Record current object revisions, policy and safe audit cursor. 2. Perform the specified interaction: The close wizard lists incomplete submissions, unresolved quality issues, open approvals, deliverables and retention duties. Mandatory blockers require resolution; eligible exceptions are attached to the closure decision. Archival stops ordinary edits and schedules. 3. Inspect UI, canonical API read and audit/receipt for the resulting version. 4. Apply the acceptance example: Archive a project with one permitted warning and verify its approved export still works while new ordinary data entry is denied.</x:v>
      </x:c>
      <x:c r="G113" s="11" t="str">
        <x:v>Archive a project with one permitted warning and verify its approved export still works while new ordinary data entry is denied. Required behaviour is preserved: The close wizard lists incomplete submissions, unresolved quality issues, open approvals, deliverables and retention duties. Mandatory blockers require resolution; eligible exceptions are attached to the closure decision. Archival stops ordinary edits and schedules.</x:v>
      </x:c>
      <x:c r="H113" s="13" t="str">
        <x:v>Not run</x:v>
      </x:c>
      <x:c r="I113" s="13" t="str"/>
      <x:c r="J113" s="13" t="str">
        <x:v>Primary owning component C03. Execute relevant channels; record actual fixture IDs and observed evidence.</x:v>
      </x:c>
    </x:row>
    <x:row r="114" ht="77" customHeight="1">
      <x:c r="A114" s="11" t="str">
        <x:v>TC-PRG-008-02</x:v>
      </x:c>
      <x:c r="B114" s="11" t="str">
        <x:v>FR-PRG-008 / BR-PRG-008 / SC01–SC08</x:v>
      </x:c>
      <x:c r="C114" s="11" t="str">
        <x:v>P0 / R1</x:v>
      </x:c>
      <x:c r="D114" s="11" t="str">
        <x:v>Closure and archival validation and recovery</x:v>
      </x:c>
      <x:c r="E114" s="11" t="str">
        <x:v>Start from the same eligible fixture and retain the submitted draft; record the last committed head and receipt. Introduce the boundary or failure stated below.</x:v>
      </x:c>
      <x:c r="F114" s="11" t="str">
        <x:v>1. Exercise each independent condition in the validation contract, as separate recorded variants: Corrections after closure require approved reopen or a governed amendment with scope. Reopening the programme does not automatically reopen locked reporting periods. 2. Inspect the safe error/state and authorised recovery actions. 3. Correct the condition and retry under current authority and expected revision. 4. Compare durable effects and audit history with the original baseline.</x:v>
      </x:c>
      <x:c r="G114" s="11" t="str">
        <x:v>Corrections after closure require approved reopen or a governed amendment with scope. Reopening the programme does not automatically reopen locked reporting periods. Ordinary failed saves have no partial effect. Explicit bulk partial modes account for committed and unprocessed items. A retry does not duplicate the intended business effect.</x:v>
      </x:c>
      <x:c r="H114" s="13" t="str">
        <x:v>Not run</x:v>
      </x:c>
      <x:c r="I114" s="13" t="str"/>
      <x:c r="J114" s="13" t="str">
        <x:v>Expand multi-condition variants in the run record. Required negative coverage, not a claim that one assertion covers every security attack.</x:v>
      </x:c>
    </x:row>
    <x:row r="115" ht="90" customHeight="1">
      <x:c r="A115" s="11" t="str">
        <x:v>TC-PRG-009-01</x:v>
      </x:c>
      <x:c r="B115" s="11" t="str">
        <x:v>FR-PRG-009 / BR-PRG-009</x:v>
      </x:c>
      <x:c r="C115" s="11" t="str">
        <x:v>P1 / R2</x:v>
      </x:c>
      <x:c r="D115" s="11" t="str">
        <x:v>Cross project dependencies intended outcome</x:v>
      </x:c>
      <x:c r="E115" s="11" t="str">
        <x:v>Synthetic tenant A; tenant B hidden markers; eligible actor with explicit capability, scope, purpose and current assurance. Set up the source acceptance fixture: A partner sees prerequisite delayed and due date but cannot drill into the originating project's confidential grant agreement.</x:v>
      </x:c>
      <x:c r="F115" s="11" t="str">
        <x:v>1. Record current object revisions, policy and safe audit cursor. 2. Perform the specified interaction: A manager links an authorised prerequisite across projects with a shared status contract. Receiving users see either the full permitted dependency or a disclosed status summary with owner contact and freshness. 3. Inspect UI, canonical API read and audit/receipt for the resulting version. 4. Apply the acceptance example: A partner sees prerequisite delayed and due date but cannot drill into the originating project's confidential grant agreement.</x:v>
      </x:c>
      <x:c r="G115" s="11" t="str">
        <x:v>A partner sees prerequisite delayed and due date but cannot drill into the originating project's confidential grant agreement. Required behaviour is preserved: A manager links an authorised prerequisite across projects with a shared status contract. Receiving users see either the full permitted dependency or a disclosed status summary with owner contact and freshness.</x:v>
      </x:c>
      <x:c r="H115" s="13" t="str">
        <x:v>Not run</x:v>
      </x:c>
      <x:c r="I115" s="13" t="str"/>
      <x:c r="J115" s="13" t="str">
        <x:v>Primary owning component C03. Execute relevant channels; record actual fixture IDs and observed evidence.</x:v>
      </x:c>
    </x:row>
    <x:row r="116" ht="77" customHeight="1">
      <x:c r="A116" s="11" t="str">
        <x:v>TC-PRG-009-02</x:v>
      </x:c>
      <x:c r="B116" s="11" t="str">
        <x:v>FR-PRG-009 / BR-PRG-009 / SC01–SC08</x:v>
      </x:c>
      <x:c r="C116" s="11" t="str">
        <x:v>P1 / R2</x:v>
      </x:c>
      <x:c r="D116" s="11" t="str">
        <x:v>Cross project dependencies validation and recovery</x:v>
      </x:c>
      <x:c r="E116" s="11" t="str">
        <x:v>Start from the same eligible fixture and retain the submitted draft; record the last committed head and receipt. Introduce the boundary or failure stated below.</x:v>
      </x:c>
      <x:c r="F116" s="11" t="str">
        <x:v>1. Exercise each independent condition in the validation contract, as separate recorded variants: Do not expose restricted titles, budgets or task comments through the dependency label. A broken grant changes the link to unavailable rather than copying the hidden source. 2. Inspect the safe error/state and authorised recovery actions. 3. Correct the condition and retry under current authority and expected revision. 4. Compare durable effects and audit history with the original baseline.</x:v>
      </x:c>
      <x:c r="G116" s="11" t="str">
        <x:v>Do not expose restricted titles, budgets or task comments through the dependency label. A broken grant changes the link to unavailable rather than copying the hidden source. Ordinary failed saves have no partial effect. Explicit bulk partial modes account for committed and unprocessed items. A retry does not duplicate the intended business effect.</x:v>
      </x:c>
      <x:c r="H116" s="13" t="str">
        <x:v>Not run</x:v>
      </x:c>
      <x:c r="I116" s="13" t="str"/>
      <x:c r="J116" s="13" t="str">
        <x:v>Expand multi-condition variants in the run record. Required negative coverage, not a claim that one assertion covers every security attack.</x:v>
      </x:c>
    </x:row>
    <x:row r="117" ht="103" customHeight="1">
      <x:c r="A117" s="11" t="str">
        <x:v>TC-PRG-010-01</x:v>
      </x:c>
      <x:c r="B117" s="11" t="str">
        <x:v>FR-PRG-010 / BR-PRG-010</x:v>
      </x:c>
      <x:c r="C117" s="11" t="str">
        <x:v>P1 / R2</x:v>
      </x:c>
      <x:c r="D117" s="11" t="str">
        <x:v>Bulk administration intended outcome</x:v>
      </x:c>
      <x:c r="E117" s="11" t="str">
        <x:v>Synthetic tenant A; tenant B hidden markers; eligible actor with explicit capability, scope, purpose and current assurance. Set up the source acceptance fixture: Reassign ten projects with two outside scope and one stale revision; seven commit, three report safe reasons and retry does not duplicate template instances.</x:v>
      </x:c>
      <x:c r="F117" s="11" t="str">
        <x:v>1. Record current object revisions, policy and safe audit cursor. 2. Perform the specified interaction: Bulk administration accepts a selected object set and one operation such as owner reassignment or template instantiation. Preview validates every object's current revision and scope, showing valid, skipped and blocked candidates. Execution returns an item manifest. 3. Inspect UI, canonical API read and audit/receipt for the resulting version. 4. Apply the acceptance example: Reassign ten projects with two outside scope and one stale revision; seven commit, three report safe reasons and retry does not duplicate template instances.</x:v>
      </x:c>
      <x:c r="G117" s="11" t="str">
        <x:v>Reassign ten projects with two outside scope and one stale revision; seven commit, three report safe reasons and retry does not duplicate template instances. Required behaviour is preserved: Bulk administration accepts a selected object set and one operation such as owner reassignment or template instantiation. Preview validates every object's current revision and scope, showing valid, skipped and blocked candidates. Execution returns an item manifest.</x:v>
      </x:c>
      <x:c r="H117" s="13" t="str">
        <x:v>Not run</x:v>
      </x:c>
      <x:c r="I117" s="13" t="str"/>
      <x:c r="J117" s="13" t="str">
        <x:v>Primary owning component C03. Execute relevant channels; record actual fixture IDs and observed evidence.</x:v>
      </x:c>
    </x:row>
    <x:row r="118" ht="77" customHeight="1">
      <x:c r="A118" s="11" t="str">
        <x:v>TC-PRG-010-02</x:v>
      </x:c>
      <x:c r="B118" s="11" t="str">
        <x:v>FR-PRG-010 / BR-PRG-010 / SC01–SC08</x:v>
      </x:c>
      <x:c r="C118" s="11" t="str">
        <x:v>P1 / R2</x:v>
      </x:c>
      <x:c r="D118" s="11" t="str">
        <x:v>Bulk administration validation and recovery</x:v>
      </x:c>
      <x:c r="E118" s="11" t="str">
        <x:v>Start from the same eligible fixture and retain the submitted draft; record the last committed head and receipt. Introduce the boundary or failure stated below.</x:v>
      </x:c>
      <x:c r="F118" s="11" t="str">
        <x:v>1. Exercise each independent condition in the validation contract, as separate recorded variants: No mass approval through this tool. Retrying a completed item with the same operation identity has no new effect; changed candidates need refreshed review. 2. Inspect the safe error/state and authorised recovery actions. 3. Correct the condition and retry under current authority and expected revision. 4. Compare durable effects and audit history with the original baseline.</x:v>
      </x:c>
      <x:c r="G118" s="11" t="str">
        <x:v>No mass approval through this tool. Retrying a completed item with the same operation identity has no new effect; changed candidates need refreshed review. Ordinary failed saves have no partial effect. Explicit bulk partial modes account for committed and unprocessed items. A retry does not duplicate the intended business effect.</x:v>
      </x:c>
      <x:c r="H118" s="13" t="str">
        <x:v>Not run</x:v>
      </x:c>
      <x:c r="I118" s="13" t="str"/>
      <x:c r="J118" s="13" t="str">
        <x:v>Expand multi-condition variants in the run record. Required negative coverage, not a claim that one assertion covers every security attack.</x:v>
      </x:c>
    </x:row>
    <x:row r="119" ht="103" customHeight="1">
      <x:c r="A119" s="11" t="str">
        <x:v>TC-IND-001-01</x:v>
      </x:c>
      <x:c r="B119" s="11" t="str">
        <x:v>FR-IND-001 / BR-IND-001</x:v>
      </x:c>
      <x:c r="C119" s="11" t="str">
        <x:v>P0 / R1</x:v>
      </x:c>
      <x:c r="D119" s="11" t="str">
        <x:v>Complete indicator definition intended outcome</x:v>
      </x:c>
      <x:c r="E119" s="11" t="str">
        <x:v>Synthetic tenant A; tenant B hidden markers; eligible actor with explicit capability, scope, purpose and current assurance. Set up the source acceptance fixture: Define a percentage with a numerator but no eligible denominator; validation links directly to the missing meaning and approval remains unavailable.</x:v>
      </x:c>
      <x:c r="F119" s="11" t="str">
        <x:v>1. Record current object revisions, policy and safe audit cursor. 2. Perform the specified interaction: The indicator designer requires code, name, type, unit, population, inclusion and exclusion rules, method, source mode, time semantic, frequency, owner and limitations. Conditional panels collect numerator, denominator, multiplier, direction and aggregation rule. Review displays a complete measurement contract. 3. Inspect UI, canonical API read and audit/receipt for the resulting version. 4. Apply the acceptance example: Define a percentage with a numerator but no eligible denominator; validation links directly to the missing meaning and approval remains unavailable.</x:v>
      </x:c>
      <x:c r="G119" s="11" t="str">
        <x:v>Define a percentage with a numerator but no eligible denominator; validation links directly to the missing meaning and approval remains unavailable. Required behaviour is preserved: The indicator designer requires code, name, type, unit, population, inclusion and exclusion rules, method, source mode, time semantic, frequency, owner and limitations. Conditional panels collect numerator, denominator, multiplier, direction and aggregation rule. Review displays a complete measurement contract.</x:v>
      </x:c>
      <x:c r="H119" s="13" t="str">
        <x:v>Not run</x:v>
      </x:c>
      <x:c r="I119" s="13" t="str"/>
      <x:c r="J119" s="13" t="str">
        <x:v>Primary owning component C04. Execute relevant channels; record actual fixture IDs and observed evidence.</x:v>
      </x:c>
    </x:row>
    <x:row r="120" ht="77" customHeight="1">
      <x:c r="A120" s="11" t="str">
        <x:v>TC-IND-001-02</x:v>
      </x:c>
      <x:c r="B120" s="11" t="str">
        <x:v>FR-IND-001 / BR-IND-001 / SC01–SC08</x:v>
      </x:c>
      <x:c r="C120" s="11" t="str">
        <x:v>P0 / R1</x:v>
      </x:c>
      <x:c r="D120" s="11" t="str">
        <x:v>Complete indicator definition validation and recovery</x:v>
      </x:c>
      <x:c r="E120" s="11" t="str">
        <x:v>Start from the same eligible fixture and retain the submitted draft; record the last committed head and receipt. Introduce the boundary or failure stated below.</x:v>
      </x:c>
      <x:c r="F120" s="11" t="str">
        <x:v>1. Exercise each independent condition in the validation contract, as separate recorded variants: A label alone is never an approved definition. Missing conditional fields block submission; undefined populations or units cannot be supplied by an undocumented default. 2. Inspect the safe error/state and authorised recovery actions. 3. Correct the condition and retry under current authority and expected revision. 4. Compare durable effects and audit history with the original baseline.</x:v>
      </x:c>
      <x:c r="G120" s="11" t="str">
        <x:v>A label alone is never an approved definition. Missing conditional fields block submission; undefined populations or units cannot be supplied by an undocumented default. Ordinary failed saves have no partial effect. Explicit bulk partial modes account for committed and unprocessed items. A retry does not duplicate the intended business effect.</x:v>
      </x:c>
      <x:c r="H120" s="13" t="str">
        <x:v>Not run</x:v>
      </x:c>
      <x:c r="I120" s="13" t="str"/>
      <x:c r="J120" s="13" t="str">
        <x:v>Expand multi-condition variants in the run record. Required negative coverage, not a claim that one assertion covers every security attack.</x:v>
      </x:c>
    </x:row>
    <x:row r="121" ht="103" customHeight="1">
      <x:c r="A121" s="11" t="str">
        <x:v>TC-IND-002-01</x:v>
      </x:c>
      <x:c r="B121" s="11" t="str">
        <x:v>FR-IND-002 / BR-IND-002</x:v>
      </x:c>
      <x:c r="C121" s="11" t="str">
        <x:v>P0 / R1</x:v>
      </x:c>
      <x:c r="D121" s="11" t="str">
        <x:v>Supported measurement types intended outcome</x:v>
      </x:c>
      <x:c r="E121" s="11" t="str">
        <x:v>Synthetic tenant A; tenant B hidden markers; eligible actor with explicit capability, scope, purpose and current assurance. Set up the source acceptance fixture: Enter an ordinal code into an additive aggregate and confirm incompatibility; import a reviewed external score and retain its stated calculation source.</x:v>
      </x:c>
      <x:c r="F121" s="11" t="str">
        <x:v>1. Record current object revisions, policy and safe audit cursor. 2. Perform the specified interaction: Selecting a measurement type constrains allowed inputs and operators. Counts accept integral eligible quantities; percentages use compatible quantities and a multiplier of 100; rates declare their multiplier; ordinal labels retain ordered codes. Imported composite scores in R1 require external method metadata. 3. Inspect UI, canonical API read and audit/receipt for the resulting version. 4. Apply the acceptance example: Enter an ordinal code into an additive aggregate and confirm incompatibility; import a reviewed external score and retain its stated calculation source.</x:v>
      </x:c>
      <x:c r="G121" s="11" t="str">
        <x:v>Enter an ordinal code into an additive aggregate and confirm incompatibility; import a reviewed external score and retain its stated calculation source. Required behaviour is preserved: Selecting a measurement type constrains allowed inputs and operators. Counts accept integral eligible quantities; percentages use compatible quantities and a multiplier of 100; rates declare their multiplier; ordinal labels retain ordered codes. Imported composite scores in R1 require external method metadata.</x:v>
      </x:c>
      <x:c r="H121" s="13" t="str">
        <x:v>Not run</x:v>
      </x:c>
      <x:c r="I121" s="13" t="str"/>
      <x:c r="J121" s="13" t="str">
        <x:v>Primary owning component C04. Execute relevant channels; record actual fixture IDs and observed evidence.</x:v>
      </x:c>
    </x:row>
    <x:row r="122" ht="90" customHeight="1">
      <x:c r="A122" s="11" t="str">
        <x:v>TC-IND-002-02</x:v>
      </x:c>
      <x:c r="B122" s="11" t="str">
        <x:v>FR-IND-002 / BR-IND-002 / SC01–SC08</x:v>
      </x:c>
      <x:c r="C122" s="11" t="str">
        <x:v>P0 / R1</x:v>
      </x:c>
      <x:c r="D122" s="11" t="str">
        <x:v>Supported measurement types validation and recovery</x:v>
      </x:c>
      <x:c r="E122" s="11" t="str">
        <x:v>Start from the same eligible fixture and retain the submitted draft; record the last committed head and receipt. Introduce the boundary or failure stated below.</x:v>
      </x:c>
      <x:c r="F122" s="11" t="str">
        <x:v>1. Exercise each independent condition in the validation contract, as separate recorded variants: A bounded percentage rejects values outside zero to 100 unless the approved measure explicitly permits a different interpretation. Native weighted composition is R2; ordinal labels cannot be summed. 2. Inspect the safe error/state and authorised recovery actions. 3. Correct the condition and retry under current authority and expected revision. 4. Compare durable effects and audit history with the original baseline.</x:v>
      </x:c>
      <x:c r="G122" s="11" t="str">
        <x:v>A bounded percentage rejects values outside zero to 100 unless the approved measure explicitly permits a different interpretation. Native weighted composition is R2; ordinal labels cannot be summed. Ordinary failed saves have no partial effect. Explicit bulk partial modes account for committed and unprocessed items. A retry does not duplicate the intended business effect.</x:v>
      </x:c>
      <x:c r="H122" s="13" t="str">
        <x:v>Not run</x:v>
      </x:c>
      <x:c r="I122" s="13" t="str"/>
      <x:c r="J122" s="13" t="str">
        <x:v>Expand multi-condition variants in the run record. Required negative coverage, not a claim that one assertion covers every security attack.</x:v>
      </x:c>
    </x:row>
    <x:row r="123" ht="103" customHeight="1">
      <x:c r="A123" s="11" t="str">
        <x:v>TC-IND-003-01</x:v>
      </x:c>
      <x:c r="B123" s="11" t="str">
        <x:v>FR-IND-003 / BR-IND-003</x:v>
      </x:c>
      <x:c r="C123" s="11" t="str">
        <x:v>P0 / R1</x:v>
      </x:c>
      <x:c r="D123" s="11" t="str">
        <x:v>Baselines and targets intended outcome</x:v>
      </x:c>
      <x:c r="E123" s="11" t="str">
        <x:v>Synthetic tenant A; tenant B hidden markers; eligible actor with explicit capability, scope, purpose and current assurance. Set up the source acceptance fixture: With an actual of 120 and higher target 100 display 120 percent attainment; with lower target 10 and actual 8 show achieved and the defined deviation.</x:v>
      </x:c>
      <x:c r="F123" s="11" t="str">
        <x:v>1. Record current object revisions, policy and safe audit cursor. 2. Perform the specified interaction: Targets and baselines identify measurement date or period, target kind, value, unit, direction and version. The user chooses higher, lower, within range or milestone interpretation. Progress uses the declared formula and displays original or revised target selection. 3. Inspect UI, canonical API read and audit/receipt for the resulting version. 4. Apply the acceptance example: With an actual of 120 and higher target 100 display 120 percent attainment; with lower target 10 and actual 8 show achieved and the defined deviation.</x:v>
      </x:c>
      <x:c r="G123" s="11" t="str">
        <x:v>With an actual of 120 and higher target 100 display 120 percent attainment; with lower target 10 and actual 8 show achieved and the defined deviation. Required behaviour is preserved: Targets and baselines identify measurement date or period, target kind, value, unit, direction and version. The user chooses higher, lower, within range or milestone interpretation. Progress uses the declared formula and displays original or revised target selection.</x:v>
      </x:c>
      <x:c r="H123" s="13" t="str">
        <x:v>Not run</x:v>
      </x:c>
      <x:c r="I123" s="13" t="str"/>
      <x:c r="J123" s="13" t="str">
        <x:v>Primary owning component C04. Execute relevant channels; record actual fixture IDs and observed evidence.</x:v>
      </x:c>
    </x:row>
    <x:row r="124" ht="77" customHeight="1">
      <x:c r="A124" s="11" t="str">
        <x:v>TC-IND-003-02</x:v>
      </x:c>
      <x:c r="B124" s="11" t="str">
        <x:v>FR-IND-003 / BR-IND-003 / SC01–SC08</x:v>
      </x:c>
      <x:c r="C124" s="11" t="str">
        <x:v>P0 / R1</x:v>
      </x:c>
      <x:c r="D124" s="11" t="str">
        <x:v>Baselines and targets validation and recovery</x:v>
      </x:c>
      <x:c r="E124" s="11" t="str">
        <x:v>Start from the same eligible fixture and retain the submitted draft; record the last committed head and receipt. Introduce the boundary or failure stated below.</x:v>
      </x:c>
      <x:c r="F124" s="11" t="str">
        <x:v>1. Exercise each independent condition in the validation contract, as separate recorded variants: Do not cap overachievement. Undefined target ratios show undefined; a zero target uses milestone or reviewed difference logic rather than dividing by zero. 2. Inspect the safe error/state and authorised recovery actions. 3. Correct the condition and retry under current authority and expected revision. 4. Compare durable effects and audit history with the original baseline.</x:v>
      </x:c>
      <x:c r="G124" s="11" t="str">
        <x:v>Do not cap overachievement. Undefined target ratios show undefined; a zero target uses milestone or reviewed difference logic rather than dividing by zero. Ordinary failed saves have no partial effect. Explicit bulk partial modes account for committed and unprocessed items. A retry does not duplicate the intended business effect.</x:v>
      </x:c>
      <x:c r="H124" s="13" t="str">
        <x:v>Not run</x:v>
      </x:c>
      <x:c r="I124" s="13" t="str"/>
      <x:c r="J124" s="13" t="str">
        <x:v>Expand multi-condition variants in the run record. Required negative coverage, not a claim that one assertion covers every security attack.</x:v>
      </x:c>
    </x:row>
    <x:row r="125" ht="103" customHeight="1">
      <x:c r="A125" s="11" t="str">
        <x:v>TC-IND-004-01</x:v>
      </x:c>
      <x:c r="B125" s="11" t="str">
        <x:v>FR-IND-004 / BR-IND-004</x:v>
      </x:c>
      <x:c r="C125" s="11" t="str">
        <x:v>P0 / R1</x:v>
      </x:c>
      <x:c r="D125" s="11" t="str">
        <x:v>Target amendments intended outcome</x:v>
      </x:c>
      <x:c r="E125" s="11" t="str">
        <x:v>Synthetic tenant A; tenant B hidden markers; eligible actor with explicit capability, scope, purpose and current assurance. Set up the source acceptance fixture: Change a quarter target from 1000 to 800 after lock; the original report remains against 1000 and a restated comparison is distinctly labelled.</x:v>
      </x:c>
      <x:c r="F125" s="11" t="str">
        <x:v>1. Record current object revisions, policy and safe audit cursor. 2. Perform the specified interaction: Target amendment creates a proposed version with reason, effective date and affected periods. The review compares original, currently effective and proposed values. Approval retains all earlier versions and identifies any explicit restatement request. 3. Inspect UI, canonical API read and audit/receipt for the resulting version. 4. Apply the acceptance example: Change a quarter target from 1000 to 800 after lock; the original report remains against 1000 and a restated comparison is distinctly labelled.</x:v>
      </x:c>
      <x:c r="G125" s="11" t="str">
        <x:v>Change a quarter target from 1000 to 800 after lock; the original report remains against 1000 and a restated comparison is distinctly labelled. Required behaviour is preserved: Target amendment creates a proposed version with reason, effective date and affected periods. The review compares original, currently effective and proposed values. Approval retains all earlier versions and identifies any explicit restatement request.</x:v>
      </x:c>
      <x:c r="H125" s="13" t="str">
        <x:v>Not run</x:v>
      </x:c>
      <x:c r="I125" s="13" t="str"/>
      <x:c r="J125" s="13" t="str">
        <x:v>Primary owning component C04. Execute relevant channels; record actual fixture IDs and observed evidence.</x:v>
      </x:c>
    </x:row>
    <x:row r="126" ht="90" customHeight="1">
      <x:c r="A126" s="11" t="str">
        <x:v>TC-IND-004-02</x:v>
      </x:c>
      <x:c r="B126" s="11" t="str">
        <x:v>FR-IND-004 / BR-IND-004 / SC01–SC08</x:v>
      </x:c>
      <x:c r="C126" s="11" t="str">
        <x:v>P0 / R1</x:v>
      </x:c>
      <x:c r="D126" s="11" t="str">
        <x:v>Target amendments validation and recovery</x:v>
      </x:c>
      <x:c r="E126" s="11" t="str">
        <x:v>Start from the same eligible fixture and retain the submitted draft; record the last committed head and receipt. Introduce the boundary or failure stated below.</x:v>
      </x:c>
      <x:c r="F126" s="11" t="str">
        <x:v>1. Exercise each independent condition in the validation contract, as separate recorded variants: A new target never retrospectively changes a frozen report. A target effective after a locked quarter applies only prospectively unless a separately approved restatement chooses another comparison. 2. Inspect the safe error/state and authorised recovery actions. 3. Correct the condition and retry under current authority and expected revision. 4. Compare durable effects and audit history with the original baseline.</x:v>
      </x:c>
      <x:c r="G126" s="11" t="str">
        <x:v>A new target never retrospectively changes a frozen report. A target effective after a locked quarter applies only prospectively unless a separately approved restatement chooses another comparison. Ordinary failed saves have no partial effect. Explicit bulk partial modes account for committed and unprocessed items. A retry does not duplicate the intended business effect.</x:v>
      </x:c>
      <x:c r="H126" s="13" t="str">
        <x:v>Not run</x:v>
      </x:c>
      <x:c r="I126" s="13" t="str"/>
      <x:c r="J126" s="13" t="str">
        <x:v>Expand multi-condition variants in the run record. Required negative coverage, not a claim that one assertion covers every security attack.</x:v>
      </x:c>
    </x:row>
    <x:row r="127" ht="90" customHeight="1">
      <x:c r="A127" s="11" t="str">
        <x:v>TC-IND-005-01</x:v>
      </x:c>
      <x:c r="B127" s="11" t="str">
        <x:v>FR-IND-005 / BR-IND-005</x:v>
      </x:c>
      <x:c r="C127" s="11" t="str">
        <x:v>P0 / R1</x:v>
      </x:c>
      <x:c r="D127" s="11" t="str">
        <x:v>Reporting periods intended outcome</x:v>
      </x:c>
      <x:c r="E127" s="11" t="str">
        <x:v>Synthetic tenant A; tenant B hidden markers; eligible actor with explicit capability, scope, purpose and current assurance. Set up the source acceptance fixture: An event exactly at midnight on the new quarter boundary belongs only to the new quarter, even when uploaded two days later.</x:v>
      </x:c>
      <x:c r="F127" s="11" t="str">
        <x:v>1. Record current object revisions, policy and safe audit cursor. 2. Perform the specified interaction: The calendar assigns observations using the chosen event date and reporting zone, with inclusive start and exclusive end. Receipt time determines timeliness, not period membership, unless the measurement contract explicitly uses receipt time. 3. Inspect UI, canonical API read and audit/receipt for the resulting version. 4. Apply the acceptance example: An event exactly at midnight on the new quarter boundary belongs only to the new quarter, even when uploaded two days later.</x:v>
      </x:c>
      <x:c r="G127" s="11" t="str">
        <x:v>An event exactly at midnight on the new quarter boundary belongs only to the new quarter, even when uploaded two days later. Required behaviour is preserved: The calendar assigns observations using the chosen event date and reporting zone, with inclusive start and exclusive end. Receipt time determines timeliness, not period membership, unless the measurement contract explicitly uses receipt time.</x:v>
      </x:c>
      <x:c r="H127" s="13" t="str">
        <x:v>Not run</x:v>
      </x:c>
      <x:c r="I127" s="13" t="str"/>
      <x:c r="J127" s="13" t="str">
        <x:v>Primary owning component C04. Execute relevant channels; record actual fixture IDs and observed evidence.</x:v>
      </x:c>
    </x:row>
    <x:row r="128" ht="77" customHeight="1">
      <x:c r="A128" s="11" t="str">
        <x:v>TC-IND-005-02</x:v>
      </x:c>
      <x:c r="B128" s="11" t="str">
        <x:v>FR-IND-005 / BR-IND-005 / SC01–SC08</x:v>
      </x:c>
      <x:c r="C128" s="11" t="str">
        <x:v>P0 / R1</x:v>
      </x:c>
      <x:c r="D128" s="11" t="str">
        <x:v>Reporting periods validation and recovery</x:v>
      </x:c>
      <x:c r="E128" s="11" t="str">
        <x:v>Start from the same eligible fixture and retain the submitted draft; record the last committed head and receipt. Introduce the boundary or failure stated below.</x:v>
      </x:c>
      <x:c r="F128" s="11" t="str">
        <x:v>1. Exercise each independent condition in the validation contract, as separate recorded variants: Overlapping analytical windows may reuse observations but cannot be summed as disjoint official periods. Late entry is flagged and locked periods route to restatement review. 2. Inspect the safe error/state and authorised recovery actions. 3. Correct the condition and retry under current authority and expected revision. 4. Compare durable effects and audit history with the original baseline.</x:v>
      </x:c>
      <x:c r="G128" s="11" t="str">
        <x:v>Overlapping analytical windows may reuse observations but cannot be summed as disjoint official periods. Late entry is flagged and locked periods route to restatement review. Ordinary failed saves have no partial effect. Explicit bulk partial modes account for committed and unprocessed items. A retry does not duplicate the intended business effect.</x:v>
      </x:c>
      <x:c r="H128" s="13" t="str">
        <x:v>Not run</x:v>
      </x:c>
      <x:c r="I128" s="13" t="str"/>
      <x:c r="J128" s="13" t="str">
        <x:v>Expand multi-condition variants in the run record. Required negative coverage, not a claim that one assertion covers every security attack.</x:v>
      </x:c>
    </x:row>
    <x:row r="129" ht="90" customHeight="1">
      <x:c r="A129" s="11" t="str">
        <x:v>TC-IND-006-01</x:v>
      </x:c>
      <x:c r="B129" s="11" t="str">
        <x:v>FR-IND-006 / BR-IND-006</x:v>
      </x:c>
      <x:c r="C129" s="11" t="str">
        <x:v>P0 / R1</x:v>
      </x:c>
      <x:c r="D129" s="11" t="str">
        <x:v>Disaggregation dimensions intended outcome</x:v>
      </x:c>
      <x:c r="E129" s="11" t="str">
        <x:v>Synthetic tenant A; tenant B hidden markers; eligible actor with explicit capability, scope, purpose and current assurance. Set up the source acceptance fixture: One participant selects two service types; both categories count the event as defined and the unique participant total remains one.</x:v>
      </x:c>
      <x:c r="F129" s="11" t="str">
        <x:v>1. Record current object revisions, policy and safe audit cursor. 2. Perform the specified interaction: Dimension setup defines codes, labels, applicability, exclusivity and exhaustiveness. Missing, unknown and declined are explicit codes where appropriate. The submission stores dimension version and codes; a changed category scheme uses a reviewed crosswalk. 3. Inspect UI, canonical API read and audit/receipt for the resulting version. 4. Apply the acceptance example: One participant selects two service types; both categories count the event as defined and the unique participant total remains one.</x:v>
      </x:c>
      <x:c r="G129" s="11" t="str">
        <x:v>One participant selects two service types; both categories count the event as defined and the unique participant total remains one. Required behaviour is preserved: Dimension setup defines codes, labels, applicability, exclusivity and exhaustiveness. Missing, unknown and declined are explicit codes where appropriate. The submission stores dimension version and codes; a changed category scheme uses a reviewed crosswalk.</x:v>
      </x:c>
      <x:c r="H129" s="13" t="str">
        <x:v>Not run</x:v>
      </x:c>
      <x:c r="I129" s="13" t="str"/>
      <x:c r="J129" s="13" t="str">
        <x:v>Primary owning component C04. Execute relevant channels; record actual fixture IDs and observed evidence.</x:v>
      </x:c>
    </x:row>
    <x:row r="130" ht="77" customHeight="1">
      <x:c r="A130" s="11" t="str">
        <x:v>TC-IND-006-02</x:v>
      </x:c>
      <x:c r="B130" s="11" t="str">
        <x:v>FR-IND-006 / BR-IND-006 / SC01–SC08</x:v>
      </x:c>
      <x:c r="C130" s="11" t="str">
        <x:v>P0 / R1</x:v>
      </x:c>
      <x:c r="D130" s="11" t="str">
        <x:v>Disaggregation dimensions validation and recovery</x:v>
      </x:c>
      <x:c r="E130" s="11" t="str">
        <x:v>Start from the same eligible fixture and retain the submitted draft; record the last committed head and receipt. Introduce the boundary or failure stated below.</x:v>
      </x:c>
      <x:c r="F130" s="11" t="str">
        <x:v>1. Exercise each independent condition in the validation contract, as separate recorded variants: Multiselect categories can count an entity several times across categories, so category sum is labelled nonadditive. Do not force overlapping categories to reconcile to unique reach. 2. Inspect the safe error/state and authorised recovery actions. 3. Correct the condition and retry under current authority and expected revision. 4. Compare durable effects and audit history with the original baseline.</x:v>
      </x:c>
      <x:c r="G130" s="11" t="str">
        <x:v>Multiselect categories can count an entity several times across categories, so category sum is labelled nonadditive. Do not force overlapping categories to reconcile to unique reach. Ordinary failed saves have no partial effect. Explicit bulk partial modes account for committed and unprocessed items. A retry does not duplicate the intended business effect.</x:v>
      </x:c>
      <x:c r="H130" s="13" t="str">
        <x:v>Not run</x:v>
      </x:c>
      <x:c r="I130" s="13" t="str"/>
      <x:c r="J130" s="13" t="str">
        <x:v>Expand multi-condition variants in the run record. Required negative coverage, not a claim that one assertion covers every security attack.</x:v>
      </x:c>
    </x:row>
    <x:row r="131" ht="90" customHeight="1">
      <x:c r="A131" s="11" t="str">
        <x:v>TC-IND-007-01</x:v>
      </x:c>
      <x:c r="B131" s="11" t="str">
        <x:v>FR-IND-007 / BR-IND-007</x:v>
      </x:c>
      <x:c r="C131" s="11" t="str">
        <x:v>P0 / R1</x:v>
      </x:c>
      <x:c r="D131" s="11" t="str">
        <x:v>Missing and exceptional values intended outcome</x:v>
      </x:c>
      <x:c r="E131" s="11" t="str">
        <x:v>Synthetic tenant A; tenant B hidden markers; eligible actor with explicit capability, scope, purpose and current assurance. Set up the source acceptance fixture: Export zero, missing, not applicable, invalid and pending rows; each has a distinct machine code and matching human label.</x:v>
      </x:c>
      <x:c r="F131" s="11" t="str">
        <x:v>1. Record current object revisions, policy and safe audit cursor. 2. Perform the specified interaction: Entry and import expose value state separately from numeric value, workflow status and disclosure status. Views use the matrix in section 4.2. Users must choose a reason for not collected or not applicable; eligibility rules govern denominator removal. 3. Inspect UI, canonical API read and audit/receipt for the resulting version. 4. Apply the acceptance example: Export zero, missing, not applicable, invalid and pending rows; each has a distinct machine code and matching human label.</x:v>
      </x:c>
      <x:c r="G131" s="11" t="str">
        <x:v>Export zero, missing, not applicable, invalid and pending rows; each has a distinct machine code and matching human label. Required behaviour is preserved: Entry and import expose value state separately from numeric value, workflow status and disclosure status. Views use the matrix in section 4.2. Users must choose a reason for not collected or not applicable; eligibility rules govern denominator removal.</x:v>
      </x:c>
      <x:c r="H131" s="13" t="str">
        <x:v>Not run</x:v>
      </x:c>
      <x:c r="I131" s="13" t="str"/>
      <x:c r="J131" s="13" t="str">
        <x:v>Primary owning component C04. Execute relevant channels; record actual fixture IDs and observed evidence.</x:v>
      </x:c>
    </x:row>
    <x:row r="132" ht="77" customHeight="1">
      <x:c r="A132" s="11" t="str">
        <x:v>TC-IND-007-02</x:v>
      </x:c>
      <x:c r="B132" s="11" t="str">
        <x:v>FR-IND-007 / BR-IND-007 / SC01–SC08</x:v>
      </x:c>
      <x:c r="C132" s="11" t="str">
        <x:v>P0 / R1</x:v>
      </x:c>
      <x:c r="D132" s="11" t="str">
        <x:v>Missing and exceptional values validation and recovery</x:v>
      </x:c>
      <x:c r="E132" s="11" t="str">
        <x:v>Start from the same eligible fixture and retain the submitted draft; record the last committed head and receipt. Introduce the boundary or failure stated below.</x:v>
      </x:c>
      <x:c r="F132" s="11" t="str">
        <x:v>1. Exercise each independent condition in the validation contract, as separate recorded variants: A blank cell does not become zero. Suppression removes numeric payload from the disclosed result, while pending approval stays excluded from official totals. 2. Inspect the safe error/state and authorised recovery actions. 3. Correct the condition and retry under current authority and expected revision. 4. Compare durable effects and audit history with the original baseline.</x:v>
      </x:c>
      <x:c r="G132" s="11" t="str">
        <x:v>A blank cell does not become zero. Suppression removes numeric payload from the disclosed result, while pending approval stays excluded from official totals. Ordinary failed saves have no partial effect. Explicit bulk partial modes account for committed and unprocessed items. A retry does not duplicate the intended business effect.</x:v>
      </x:c>
      <x:c r="H132" s="13" t="str">
        <x:v>Not run</x:v>
      </x:c>
      <x:c r="I132" s="13" t="str"/>
      <x:c r="J132" s="13" t="str">
        <x:v>Expand multi-condition variants in the run record. Required negative coverage, not a claim that one assertion covers every security attack.</x:v>
      </x:c>
    </x:row>
    <x:row r="133" ht="90" customHeight="1">
      <x:c r="A133" s="11" t="str">
        <x:v>TC-IND-008-01</x:v>
      </x:c>
      <x:c r="B133" s="11" t="str">
        <x:v>FR-IND-008 / BR-IND-008</x:v>
      </x:c>
      <x:c r="C133" s="11" t="str">
        <x:v>P0 / R1</x:v>
      </x:c>
      <x:c r="D133" s="11" t="str">
        <x:v>Definition versioning intended outcome</x:v>
      </x:c>
      <x:c r="E133" s="11" t="str">
        <x:v>Synthetic tenant A; tenant B hidden markers; eligible actor with explicit capability, scope, purpose and current assurance. Set up the source acceptance fixture: Change households to people; the application blocks a combined total until a justified conversion or separate series is selected.</x:v>
      </x:c>
      <x:c r="F133" s="11" t="str">
        <x:v>1. Record current object revisions, policy and safe audit cursor. 2. Perform the specified interaction: A material definition edit creates a child version and a comparison report identifying unit, population, source, method, dimensions and aggregation changes. The reviewer marks comparability as compatible, transformed by approved rule or broken. 3. Inspect UI, canonical API read and audit/receipt for the resulting version. 4. Apply the acceptance example: Change households to people; the application blocks a combined total until a justified conversion or separate series is selected.</x:v>
      </x:c>
      <x:c r="G133" s="11" t="str">
        <x:v>Change households to people; the application blocks a combined total until a justified conversion or separate series is selected. Required behaviour is preserved: A material definition edit creates a child version and a comparison report identifying unit, population, source, method, dimensions and aggregation changes. The reviewer marks comparability as compatible, transformed by approved rule or broken.</x:v>
      </x:c>
      <x:c r="H133" s="13" t="str">
        <x:v>Not run</x:v>
      </x:c>
      <x:c r="I133" s="13" t="str"/>
      <x:c r="J133" s="13" t="str">
        <x:v>Primary owning component C04. Execute relevant channels; record actual fixture IDs and observed evidence.</x:v>
      </x:c>
    </x:row>
    <x:row r="134" ht="77" customHeight="1">
      <x:c r="A134" s="11" t="str">
        <x:v>TC-IND-008-02</x:v>
      </x:c>
      <x:c r="B134" s="11" t="str">
        <x:v>FR-IND-008 / BR-IND-008 / SC01–SC08</x:v>
      </x:c>
      <x:c r="C134" s="11" t="str">
        <x:v>P0 / R1</x:v>
      </x:c>
      <x:c r="D134" s="11" t="str">
        <x:v>Definition versioning validation and recovery</x:v>
      </x:c>
      <x:c r="E134" s="11" t="str">
        <x:v>Start from the same eligible fixture and retain the submitted draft; record the last committed head and receipt. Introduce the boundary or failure stated below.</x:v>
      </x:c>
      <x:c r="F134" s="11" t="str">
        <x:v>1. Exercise each independent condition in the validation contract, as separate recorded variants: No continuous trend line or portfolio pool across broken versions without explicit qualified treatment. Cosmetic label corrections may retain semantic identity but remain audited. 2. Inspect the safe error/state and authorised recovery actions. 3. Correct the condition and retry under current authority and expected revision. 4. Compare durable effects and audit history with the original baseline.</x:v>
      </x:c>
      <x:c r="G134" s="11" t="str">
        <x:v>No continuous trend line or portfolio pool across broken versions without explicit qualified treatment. Cosmetic label corrections may retain semantic identity but remain audited. Ordinary failed saves have no partial effect. Explicit bulk partial modes account for committed and unprocessed items. A retry does not duplicate the intended business effect.</x:v>
      </x:c>
      <x:c r="H134" s="13" t="str">
        <x:v>Not run</x:v>
      </x:c>
      <x:c r="I134" s="13" t="str"/>
      <x:c r="J134" s="13" t="str">
        <x:v>Expand multi-condition variants in the run record. Required negative coverage, not a claim that one assertion covers every security attack.</x:v>
      </x:c>
    </x:row>
    <x:row r="135" ht="90" customHeight="1">
      <x:c r="A135" s="11" t="str">
        <x:v>TC-IND-009-01</x:v>
      </x:c>
      <x:c r="B135" s="11" t="str">
        <x:v>FR-IND-009 / BR-IND-009</x:v>
      </x:c>
      <x:c r="C135" s="11" t="str">
        <x:v>P1 / R1</x:v>
      </x:c>
      <x:c r="D135" s="11" t="str">
        <x:v>Indicator library reuse intended outcome</x:v>
      </x:c>
      <x:c r="E135" s="11" t="str">
        <x:v>Synthetic tenant A; tenant B hidden markers; eligible actor with explicit capability, scope, purpose and current assurance. Set up the source acceptance fixture: Two projects pin version 1; only one adopts version 2 with a changed denominator, and the portfolio flags the mixed comparison.</x:v>
      </x:c>
      <x:c r="F135" s="11" t="str">
        <x:v>1. Record current object revisions, policy and safe audit cursor. 2. Perform the specified interaction: Instantiating a library indicator pins the parent definition version and records local applicability, collection roles and permitted overrides. Adoption of a new library version previews comparability and reporting impact for each instance. 3. Inspect UI, canonical API read and audit/receipt for the resulting version. 4. Apply the acceptance example: Two projects pin version 1; only one adopts version 2 with a changed denominator, and the portfolio flags the mixed comparison.</x:v>
      </x:c>
      <x:c r="G135" s="11" t="str">
        <x:v>Two projects pin version 1; only one adopts version 2 with a changed denominator, and the portfolio flags the mixed comparison. Required behaviour is preserved: Instantiating a library indicator pins the parent definition version and records local applicability, collection roles and permitted overrides. Adoption of a new library version previews comparability and reporting impact for each instance.</x:v>
      </x:c>
      <x:c r="H135" s="13" t="str">
        <x:v>Not run</x:v>
      </x:c>
      <x:c r="I135" s="13" t="str"/>
      <x:c r="J135" s="13" t="str">
        <x:v>Primary owning component C04. Execute relevant channels; record actual fixture IDs and observed evidence.</x:v>
      </x:c>
    </x:row>
    <x:row r="136" ht="77" customHeight="1">
      <x:c r="A136" s="11" t="str">
        <x:v>TC-IND-009-02</x:v>
      </x:c>
      <x:c r="B136" s="11" t="str">
        <x:v>FR-IND-009 / BR-IND-009 / SC01–SC08</x:v>
      </x:c>
      <x:c r="C136" s="11" t="str">
        <x:v>P1 / R1</x:v>
      </x:c>
      <x:c r="D136" s="11" t="str">
        <x:v>Indicator library reuse validation and recovery</x:v>
      </x:c>
      <x:c r="E136" s="11" t="str">
        <x:v>Start from the same eligible fixture and retain the submitted draft; record the last committed head and receipt. Introduce the boundary or failure stated below.</x:v>
      </x:c>
      <x:c r="F136" s="11" t="str">
        <x:v>1. Exercise each independent condition in the validation contract, as separate recorded variants: Local changes to locked semantic fields create a distinct reviewed definition rather than pretending to retain exact standard equivalence. 2. Inspect the safe error/state and authorised recovery actions. 3. Correct the condition and retry under current authority and expected revision. 4. Compare durable effects and audit history with the original baseline.</x:v>
      </x:c>
      <x:c r="G136" s="11" t="str">
        <x:v>Local changes to locked semantic fields create a distinct reviewed definition rather than pretending to retain exact standard equivalence. Ordinary failed saves have no partial effect. Explicit bulk partial modes account for committed and unprocessed items. A retry does not duplicate the intended business effect.</x:v>
      </x:c>
      <x:c r="H136" s="13" t="str">
        <x:v>Not run</x:v>
      </x:c>
      <x:c r="I136" s="13" t="str"/>
      <x:c r="J136" s="13" t="str">
        <x:v>Expand multi-condition variants in the run record. Required negative coverage, not a claim that one assertion covers every security attack.</x:v>
      </x:c>
    </x:row>
    <x:row r="137" ht="103" customHeight="1">
      <x:c r="A137" s="11" t="str">
        <x:v>TC-IND-010-01</x:v>
      </x:c>
      <x:c r="B137" s="11" t="str">
        <x:v>FR-IND-010 / BR-IND-010</x:v>
      </x:c>
      <x:c r="C137" s="11" t="str">
        <x:v>P0 / R1</x:v>
      </x:c>
      <x:c r="D137" s="11" t="str">
        <x:v>Manual and calculated results intended outcome</x:v>
      </x:c>
      <x:c r="E137" s="11" t="str">
        <x:v>Synthetic tenant A; tenant B hidden markers; eligible actor with explicit capability, scope, purpose and current assurance. Set up the source acceptance fixture: Computed value 94 is overridden to 90 after review; the report records the override and explanation while retaining the calculation of 94.</x:v>
      </x:c>
      <x:c r="F137" s="11" t="str">
        <x:v>1. Record current object revisions, policy and safe audit cursor. 2. Perform the specified interaction: Actual mode is entered, imported, calculated or aggregated. Changing mode requires a new approved measurement version or amendment. A manual override records computed value, proposed replacement, period, reason and independent approval; views show both with the official selection. 3. Inspect UI, canonical API read and audit/receipt for the resulting version. 4. Apply the acceptance example: Computed value 94 is overridden to 90 after review; the report records the override and explanation while retaining the calculation of 94.</x:v>
      </x:c>
      <x:c r="G137" s="11" t="str">
        <x:v>Computed value 94 is overridden to 90 after review; the report records the override and explanation while retaining the calculation of 94. Required behaviour is preserved: Actual mode is entered, imported, calculated or aggregated. Changing mode requires a new approved measurement version or amendment. A manual override records computed value, proposed replacement, period, reason and independent approval; views show both with the official selection.</x:v>
      </x:c>
      <x:c r="H137" s="13" t="str">
        <x:v>Not run</x:v>
      </x:c>
      <x:c r="I137" s="13" t="str"/>
      <x:c r="J137" s="13" t="str">
        <x:v>Primary owning component C04. Execute relevant channels; record actual fixture IDs and observed evidence.</x:v>
      </x:c>
    </x:row>
    <x:row r="138" ht="77" customHeight="1">
      <x:c r="A138" s="11" t="str">
        <x:v>TC-IND-010-02</x:v>
      </x:c>
      <x:c r="B138" s="11" t="str">
        <x:v>FR-IND-010 / BR-IND-010 / SC01–SC08</x:v>
      </x:c>
      <x:c r="C138" s="11" t="str">
        <x:v>P0 / R1</x:v>
      </x:c>
      <x:c r="D138" s="11" t="str">
        <x:v>Manual and calculated results validation and recovery</x:v>
      </x:c>
      <x:c r="E138" s="11" t="str">
        <x:v>Start from the same eligible fixture and retain the submitted draft; record the last committed head and receipt. Introduce the boundary or failure stated below.</x:v>
      </x:c>
      <x:c r="F138" s="11" t="str">
        <x:v>1. Exercise each independent condition in the validation contract, as separate recorded variants: Import and API clients cannot overwrite a calculated result field. Removing an override restores the approved calculation through another attributable decision. 2. Inspect the safe error/state and authorised recovery actions. 3. Correct the condition and retry under current authority and expected revision. 4. Compare durable effects and audit history with the original baseline.</x:v>
      </x:c>
      <x:c r="G138" s="11" t="str">
        <x:v>Import and API clients cannot overwrite a calculated result field. Removing an override restores the approved calculation through another attributable decision. Ordinary failed saves have no partial effect. Explicit bulk partial modes account for committed and unprocessed items. A retry does not duplicate the intended business effect.</x:v>
      </x:c>
      <x:c r="H138" s="13" t="str">
        <x:v>Not run</x:v>
      </x:c>
      <x:c r="I138" s="13" t="str"/>
      <x:c r="J138" s="13" t="str">
        <x:v>Expand multi-condition variants in the run record. Required negative coverage, not a claim that one assertion covers every security attack.</x:v>
      </x:c>
    </x:row>
    <x:row r="139" ht="103" customHeight="1">
      <x:c r="A139" s="11" t="str">
        <x:v>TC-IND-011-01</x:v>
      </x:c>
      <x:c r="B139" s="11" t="str">
        <x:v>FR-IND-011 / BR-IND-011</x:v>
      </x:c>
      <x:c r="C139" s="11" t="str">
        <x:v>P0 / R1</x:v>
      </x:c>
      <x:c r="D139" s="11" t="str">
        <x:v>Evidence requirements intended outcome</x:v>
      </x:c>
      <x:c r="E139" s="11" t="str">
        <x:v>Synthetic tenant A; tenant B hidden markers; eligible actor with explicit capability, scope, purpose and current assurance. Set up the source acceptance fixture: Submit achievement with one required survey file still quarantined; source receipt succeeds but approval stays blocked until the evidence is safe and verified.</x:v>
      </x:c>
      <x:c r="F139" s="11" t="str">
        <x:v>1. Record current object revisions, policy and safe audit cursor. 2. Perform the specified interaction: An evidence rule specifies permitted types, minimum count, source qualification and verification needed for approval. Submission checks attachment receipt and scan state; approval checks provenance and current availability. External evidence has last checked status and version reference. 3. Inspect UI, canonical API read and audit/receipt for the resulting version. 4. Apply the acceptance example: Submit achievement with one required survey file still quarantined; source receipt succeeds but approval stays blocked until the evidence is safe and verified.</x:v>
      </x:c>
      <x:c r="G139" s="11" t="str">
        <x:v>Submit achievement with one required survey file still quarantined; source receipt succeeds but approval stays blocked until the evidence is safe and verified. Required behaviour is preserved: An evidence rule specifies permitted types, minimum count, source qualification and verification needed for approval. Submission checks attachment receipt and scan state; approval checks provenance and current availability. External evidence has last checked status and version reference.</x:v>
      </x:c>
      <x:c r="H139" s="13" t="str">
        <x:v>Not run</x:v>
      </x:c>
      <x:c r="I139" s="13" t="str"/>
      <x:c r="J139" s="13" t="str">
        <x:v>Primary owning component C04. Execute relevant channels; record actual fixture IDs and observed evidence.</x:v>
      </x:c>
    </x:row>
    <x:row r="140" ht="77" customHeight="1">
      <x:c r="A140" s="11" t="str">
        <x:v>TC-IND-011-02</x:v>
      </x:c>
      <x:c r="B140" s="11" t="str">
        <x:v>FR-IND-011 / BR-IND-011 / SC01–SC08</x:v>
      </x:c>
      <x:c r="C140" s="11" t="str">
        <x:v>P0 / R1</x:v>
      </x:c>
      <x:c r="D140" s="11" t="str">
        <x:v>Evidence requirements validation and recovery</x:v>
      </x:c>
      <x:c r="E140" s="11" t="str">
        <x:v>Start from the same eligible fixture and retain the submitted draft; record the last committed head and receipt. Introduce the boundary or failure stated below.</x:v>
      </x:c>
      <x:c r="F140" s="11" t="str">
        <x:v>1. Exercise each independent condition in the validation contract, as separate recorded variants: A dead URL or quarantined file does not satisfy a mandatory rule. Only a policy permitted evidence exception may proceed, with independent decision and visible caveat. 2. Inspect the safe error/state and authorised recovery actions. 3. Correct the condition and retry under current authority and expected revision. 4. Compare durable effects and audit history with the original baseline.</x:v>
      </x:c>
      <x:c r="G140" s="11" t="str">
        <x:v>A dead URL or quarantined file does not satisfy a mandatory rule. Only a policy permitted evidence exception may proceed, with independent decision and visible caveat. Ordinary failed saves have no partial effect. Explicit bulk partial modes account for committed and unprocessed items. A retry does not duplicate the intended business effect.</x:v>
      </x:c>
      <x:c r="H140" s="13" t="str">
        <x:v>Not run</x:v>
      </x:c>
      <x:c r="I140" s="13" t="str"/>
      <x:c r="J140" s="13" t="str">
        <x:v>Expand multi-condition variants in the run record. Required negative coverage, not a claim that one assertion covers every security attack.</x:v>
      </x:c>
    </x:row>
    <x:row r="141" ht="90" customHeight="1">
      <x:c r="A141" s="11" t="str">
        <x:v>TC-IND-012-01</x:v>
      </x:c>
      <x:c r="B141" s="11" t="str">
        <x:v>FR-IND-012 / BR-IND-012</x:v>
      </x:c>
      <x:c r="C141" s="11" t="str">
        <x:v>P0 / R1</x:v>
      </x:c>
      <x:c r="D141" s="11" t="str">
        <x:v>Responsibility and collection schedule intended outcome</x:v>
      </x:c>
      <x:c r="E141" s="11" t="str">
        <x:v>Synthetic tenant A; tenant B hidden markers; eligible actor with explicit capability, scope, purpose and current assurance. Set up the source acceptance fixture: Suspend the collector one day before due; the manager sees an unassigned obligation and can appoint an eligible replacement.</x:v>
      </x:c>
      <x:c r="F141" s="11" t="str">
        <x:v>1. Record current object revisions, policy and safe audit cursor. 2. Perform the specified interaction: An indicator schedule instantiates obligations for the active date range and assigns a collector, independent reviewer, due time and escalation owner. Assignment change previews open work and future obligations separately. 3. Inspect UI, canonical API read and audit/receipt for the resulting version. 4. Apply the acceptance example: Suspend the collector one day before due; the manager sees an unassigned obligation and can appoint an eligible replacement.</x:v>
      </x:c>
      <x:c r="G141" s="11" t="str">
        <x:v>Suspend the collector one day before due; the manager sees an unassigned obligation and can appoint an eligible replacement. Required behaviour is preserved: An indicator schedule instantiates obligations for the active date range and assigns a collector, independent reviewer, due time and escalation owner. Assignment change previews open work and future obligations separately.</x:v>
      </x:c>
      <x:c r="H141" s="13" t="str">
        <x:v>Not run</x:v>
      </x:c>
      <x:c r="I141" s="13" t="str"/>
      <x:c r="J141" s="13" t="str">
        <x:v>Primary owning component C04. Execute relevant channels; record actual fixture IDs and observed evidence.</x:v>
      </x:c>
    </x:row>
    <x:row r="142" ht="77" customHeight="1">
      <x:c r="A142" s="11" t="str">
        <x:v>TC-IND-012-02</x:v>
      </x:c>
      <x:c r="B142" s="11" t="str">
        <x:v>FR-IND-012 / BR-IND-012 / SC01–SC08</x:v>
      </x:c>
      <x:c r="C142" s="11" t="str">
        <x:v>P0 / R1</x:v>
      </x:c>
      <x:c r="D142" s="11" t="str">
        <x:v>Responsibility and collection schedule validation and recovery</x:v>
      </x:c>
      <x:c r="E142" s="11" t="str">
        <x:v>Start from the same eligible fixture and retain the submitted draft; record the last committed head and receipt. Introduce the boundary or failure stated below.</x:v>
      </x:c>
      <x:c r="F142" s="11" t="str">
        <x:v>1. Exercise each independent condition in the validation contract, as separate recorded variants: Departure creates reassignment work; it never silently sends tasks to a revoked account or marks obligations complete. Historic owners remain attributed. 2. Inspect the safe error/state and authorised recovery actions. 3. Correct the condition and retry under current authority and expected revision. 4. Compare durable effects and audit history with the original baseline.</x:v>
      </x:c>
      <x:c r="G142" s="11" t="str">
        <x:v>Departure creates reassignment work; it never silently sends tasks to a revoked account or marks obligations complete. Historic owners remain attributed. Ordinary failed saves have no partial effect. Explicit bulk partial modes account for committed and unprocessed items. A retry does not duplicate the intended business effect.</x:v>
      </x:c>
      <x:c r="H142" s="13" t="str">
        <x:v>Not run</x:v>
      </x:c>
      <x:c r="I142" s="13" t="str"/>
      <x:c r="J142" s="13" t="str">
        <x:v>Expand multi-condition variants in the run record. Required negative coverage, not a claim that one assertion covers every security attack.</x:v>
      </x:c>
    </x:row>
    <x:row r="143" ht="103" customHeight="1">
      <x:c r="A143" s="11" t="str">
        <x:v>TC-IND-013-01</x:v>
      </x:c>
      <x:c r="B143" s="11" t="str">
        <x:v>FR-IND-013 / BR-IND-013</x:v>
      </x:c>
      <x:c r="C143" s="11" t="str">
        <x:v>P1 / R1</x:v>
      </x:c>
      <x:c r="D143" s="11" t="str">
        <x:v>Status and thresholds intended outcome</x:v>
      </x:c>
      <x:c r="E143" s="11" t="str">
        <x:v>Synthetic tenant A; tenant B hidden markers; eligible actor with explicit capability, scope, purpose and current assurance. Set up the source acceptance fixture: A lower-is-better measure at 8 against target 10 is achieved, but a missed refresh also displays stale and cannot trigger an unqualified success alert.</x:v>
      </x:c>
      <x:c r="F143" s="11" t="str">
        <x:v>1. Record current object revisions, policy and safe audit cursor. 2. Perform the specified interaction: Status rules declare direction, thresholds, tolerance, target reference and minimum freshness and coverage. Evaluate data adequacy first; stale or partial state remains visible even when a numeric threshold is achieved. Qualitative status requires a recorded reviewer assessment. 3. Inspect UI, canonical API read and audit/receipt for the resulting version. 4. Apply the acceptance example: A lower-is-better measure at 8 against target 10 is achieved, but a missed refresh also displays stale and cannot trigger an unqualified success alert.</x:v>
      </x:c>
      <x:c r="G143" s="11" t="str">
        <x:v>A lower-is-better measure at 8 against target 10 is achieved, but a missed refresh also displays stale and cannot trigger an unqualified success alert. Required behaviour is preserved: Status rules declare direction, thresholds, tolerance, target reference and minimum freshness and coverage. Evaluate data adequacy first; stale or partial state remains visible even when a numeric threshold is achieved. Qualitative status requires a recorded reviewer assessment.</x:v>
      </x:c>
      <x:c r="H143" s="13" t="str">
        <x:v>Not run</x:v>
      </x:c>
      <x:c r="I143" s="13" t="str"/>
      <x:c r="J143" s="13" t="str">
        <x:v>Primary owning component C04. Execute relevant channels; record actual fixture IDs and observed evidence.</x:v>
      </x:c>
    </x:row>
    <x:row r="144" ht="77" customHeight="1">
      <x:c r="A144" s="11" t="str">
        <x:v>TC-IND-013-02</x:v>
      </x:c>
      <x:c r="B144" s="11" t="str">
        <x:v>FR-IND-013 / BR-IND-013 / SC01–SC08</x:v>
      </x:c>
      <x:c r="C144" s="11" t="str">
        <x:v>P1 / R1</x:v>
      </x:c>
      <x:c r="D144" s="11" t="str">
        <x:v>Status and thresholds validation and recovery</x:v>
      </x:c>
      <x:c r="E144" s="11" t="str">
        <x:v>Start from the same eligible fixture and retain the submitted draft; record the last committed head and receipt. Introduce the boundary or failure stated below.</x:v>
      </x:c>
      <x:c r="F144" s="11" t="str">
        <x:v>1. Exercise each independent condition in the validation contract, as separate recorded variants: Do not colour missing results green. Boundary equality follows the published rule, and an unauthorised viewer receives only permitted status context. 2. Inspect the safe error/state and authorised recovery actions. 3. Correct the condition and retry under current authority and expected revision. 4. Compare durable effects and audit history with the original baseline.</x:v>
      </x:c>
      <x:c r="G144" s="11" t="str">
        <x:v>Do not colour missing results green. Boundary equality follows the published rule, and an unauthorised viewer receives only permitted status context. Ordinary failed saves have no partial effect. Explicit bulk partial modes account for committed and unprocessed items. A retry does not duplicate the intended business effect.</x:v>
      </x:c>
      <x:c r="H144" s="13" t="str">
        <x:v>Not run</x:v>
      </x:c>
      <x:c r="I144" s="13" t="str"/>
      <x:c r="J144" s="13" t="str">
        <x:v>Expand multi-condition variants in the run record. Required negative coverage, not a claim that one assertion covers every security attack.</x:v>
      </x:c>
    </x:row>
    <x:row r="145" ht="103" customHeight="1">
      <x:c r="A145" s="11" t="str">
        <x:v>TC-IND-014-01</x:v>
      </x:c>
      <x:c r="B145" s="11" t="str">
        <x:v>FR-IND-014 / BR-IND-014</x:v>
      </x:c>
      <x:c r="C145" s="11" t="str">
        <x:v>P0 / R1</x:v>
      </x:c>
      <x:c r="D145" s="11" t="str">
        <x:v>Retirement and replacement intended outcome</x:v>
      </x:c>
      <x:c r="E145" s="11" t="str">
        <x:v>Synthetic tenant A; tenant B hidden markers; eligible actor with explicit capability, scope, purpose and current assurance. Set up the source acceptance fixture: Retire an indicator feeding a portfolio total; next period calculation blocks until its replacement rule is reviewed, while last year's report remains intact.</x:v>
      </x:c>
      <x:c r="F145" s="11" t="str">
        <x:v>1. Record current object revisions, policy and safe audit cursor. 2. Perform the specified interaction: Retirement proposes an effective date, replacement and continuity statement. Preview identifies future obligations, calculations, dashboard bindings and report templates. Approval stops new obligations after the date while preserving historical result lookup. 3. Inspect UI, canonical API read and audit/receipt for the resulting version. 4. Apply the acceptance example: Retire an indicator feeding a portfolio total; next period calculation blocks until its replacement rule is reviewed, while last year's report remains intact.</x:v>
      </x:c>
      <x:c r="G145" s="11" t="str">
        <x:v>Retire an indicator feeding a portfolio total; next period calculation blocks until its replacement rule is reviewed, while last year's report remains intact. Required behaviour is preserved: Retirement proposes an effective date, replacement and continuity statement. Preview identifies future obligations, calculations, dashboard bindings and report templates. Approval stops new obligations after the date while preserving historical result lookup.</x:v>
      </x:c>
      <x:c r="H145" s="13" t="str">
        <x:v>Not run</x:v>
      </x:c>
      <x:c r="I145" s="13" t="str"/>
      <x:c r="J145" s="13" t="str">
        <x:v>Primary owning component C04. Execute relevant channels; record actual fixture IDs and observed evidence.</x:v>
      </x:c>
    </x:row>
    <x:row r="146" ht="77" customHeight="1">
      <x:c r="A146" s="11" t="str">
        <x:v>TC-IND-014-02</x:v>
      </x:c>
      <x:c r="B146" s="11" t="str">
        <x:v>FR-IND-014 / BR-IND-014 / SC01–SC08</x:v>
      </x:c>
      <x:c r="C146" s="11" t="str">
        <x:v>P0 / R1</x:v>
      </x:c>
      <x:c r="D146" s="11" t="str">
        <x:v>Retirement and replacement validation and recovery</x:v>
      </x:c>
      <x:c r="E146" s="11" t="str">
        <x:v>Start from the same eligible fixture and retain the submitted draft; record the last committed head and receipt. Introduce the boundary or failure stated below.</x:v>
      </x:c>
      <x:c r="F146" s="11" t="str">
        <x:v>1. Exercise each independent condition in the validation contract, as separate recorded variants: A used definition cannot be hard deleted through retirement. Dependent future formulas must be migrated or explicitly left unavailable with an accountable remediation item. 2. Inspect the safe error/state and authorised recovery actions. 3. Correct the condition and retry under current authority and expected revision. 4. Compare durable effects and audit history with the original baseline.</x:v>
      </x:c>
      <x:c r="G146" s="11" t="str">
        <x:v>A used definition cannot be hard deleted through retirement. Dependent future formulas must be migrated or explicitly left unavailable with an accountable remediation item. Ordinary failed saves have no partial effect. Explicit bulk partial modes account for committed and unprocessed items. A retry does not duplicate the intended business effect.</x:v>
      </x:c>
      <x:c r="H146" s="13" t="str">
        <x:v>Not run</x:v>
      </x:c>
      <x:c r="I146" s="13" t="str"/>
      <x:c r="J146" s="13" t="str">
        <x:v>Expand multi-condition variants in the run record. Required negative coverage, not a claim that one assertion covers every security attack.</x:v>
      </x:c>
    </x:row>
    <x:row r="147" ht="103" customHeight="1">
      <x:c r="A147" s="11" t="str">
        <x:v>TC-IND-015-01</x:v>
      </x:c>
      <x:c r="B147" s="11" t="str">
        <x:v>FR-IND-015 / BR-IND-015</x:v>
      </x:c>
      <x:c r="C147" s="11" t="str">
        <x:v>P1 / R1</x:v>
      </x:c>
      <x:c r="D147" s="11" t="str">
        <x:v>Reference sheets and dictionary export intended outcome</x:v>
      </x:c>
      <x:c r="E147" s="11" t="str">
        <x:v>Synthetic tenant A; tenant B hidden markers; eligible actor with explicit capability, scope, purpose and current assurance. Set up the source acceptance fixture: An evaluator receives a ratio sheet and can identify numerator population, denominator, multiplier and period without consulting the application's private settings.</x:v>
      </x:c>
      <x:c r="F147" s="11" t="str">
        <x:v>1. Record current object revisions, policy and safe audit cursor. 2. Perform the specified interaction: Reference sheet export selects indicator versions and produces human readable definitions plus a machine readable dictionary. Include units, eligibility, dimensions, time semantic, formula, source, roles, missingness rules and version references. 3. Inspect UI, canonical API read and audit/receipt for the resulting version. 4. Apply the acceptance example: An evaluator receives a ratio sheet and can identify numerator population, denominator, multiplier and period without consulting the application's private settings.</x:v>
      </x:c>
      <x:c r="G147" s="11" t="str">
        <x:v>An evaluator receives a ratio sheet and can identify numerator population, denominator, multiplier and period without consulting the application's private settings. Required behaviour is preserved: Reference sheet export selects indicator versions and produces human readable definitions plus a machine readable dictionary. Include units, eligibility, dimensions, time semantic, formula, source, roles, missingness rules and version references.</x:v>
      </x:c>
      <x:c r="H147" s="13" t="str">
        <x:v>Not run</x:v>
      </x:c>
      <x:c r="I147" s="13" t="str"/>
      <x:c r="J147" s="13" t="str">
        <x:v>Primary owning component C04. Execute relevant channels; record actual fixture IDs and observed evidence.</x:v>
      </x:c>
    </x:row>
    <x:row r="148" ht="77" customHeight="1">
      <x:c r="A148" s="11" t="str">
        <x:v>TC-IND-015-02</x:v>
      </x:c>
      <x:c r="B148" s="11" t="str">
        <x:v>FR-IND-015 / BR-IND-015 / SC01–SC08</x:v>
      </x:c>
      <x:c r="C148" s="11" t="str">
        <x:v>P1 / R1</x:v>
      </x:c>
      <x:c r="D148" s="11" t="str">
        <x:v>Reference sheets and dictionary export validation and recovery</x:v>
      </x:c>
      <x:c r="E148" s="11" t="str">
        <x:v>Start from the same eligible fixture and retain the submitted draft; record the last committed head and receipt. Introduce the boundary or failure stated below.</x:v>
      </x:c>
      <x:c r="F148" s="11" t="str">
        <x:v>1. Exercise each independent condition in the validation contract, as separate recorded variants: Restricted definitions or source names are redacted according to export scope and marked withheld. Display rounding must not replace calculation precision metadata. 2. Inspect the safe error/state and authorised recovery actions. 3. Correct the condition and retry under current authority and expected revision. 4. Compare durable effects and audit history with the original baseline.</x:v>
      </x:c>
      <x:c r="G148" s="11" t="str">
        <x:v>Restricted definitions or source names are redacted according to export scope and marked withheld. Display rounding must not replace calculation precision metadata. Ordinary failed saves have no partial effect. Explicit bulk partial modes account for committed and unprocessed items. A retry does not duplicate the intended business effect.</x:v>
      </x:c>
      <x:c r="H148" s="13" t="str">
        <x:v>Not run</x:v>
      </x:c>
      <x:c r="I148" s="13" t="str"/>
      <x:c r="J148" s="13" t="str">
        <x:v>Expand multi-condition variants in the run record. Required negative coverage, not a claim that one assertion covers every security attack.</x:v>
      </x:c>
    </x:row>
    <x:row r="149" ht="103" customHeight="1">
      <x:c r="A149" s="11" t="str">
        <x:v>TC-CAL-001-01</x:v>
      </x:c>
      <x:c r="B149" s="11" t="str">
        <x:v>FR-CAL-001 / BR-CAL-001</x:v>
      </x:c>
      <x:c r="C149" s="11" t="str">
        <x:v>P0 / R1</x:v>
      </x:c>
      <x:c r="D149" s="11" t="str">
        <x:v>Deterministic calculation intended outcome</x:v>
      </x:c>
      <x:c r="E149" s="11" t="str">
        <x:v>Synthetic tenant A; tenant B hidden markers; eligible actor with explicit capability, scope, purpose and current assurance. Set up the source acceptance fixture: Recompute a frozen ratio from exported inputs and the recorded formula; the raw decimal and displayed rounded output match exactly.</x:v>
      </x:c>
      <x:c r="F149" s="11" t="str">
        <x:v>1. Record current object revisions, policy and safe audit cursor. 2. Perform the specified interaction: A calculation run selects approved rule and source versions, creates an input manifest and evaluates the deterministic dependency graph. The result stores value state, precision, filters, coverage and execution identity. Explanations resolve each contributing result to its original source. 3. Inspect UI, canonical API read and audit/receipt for the resulting version. 4. Apply the acceptance example: Recompute a frozen ratio from exported inputs and the recorded formula; the raw decimal and displayed rounded output match exactly.</x:v>
      </x:c>
      <x:c r="G149" s="11" t="str">
        <x:v>Recompute a frozen ratio from exported inputs and the recorded formula; the raw decimal and displayed rounded output match exactly. Required behaviour is preserved: A calculation run selects approved rule and source versions, creates an input manifest and evaluates the deterministic dependency graph. The result stores value state, precision, filters, coverage and execution identity. Explanations resolve each contributing result to its original source.</x:v>
      </x:c>
      <x:c r="H149" s="13" t="str">
        <x:v>Not run</x:v>
      </x:c>
      <x:c r="I149" s="13" t="str"/>
      <x:c r="J149" s="13" t="str">
        <x:v>Primary owning component C04. Execute relevant channels; record actual fixture IDs and observed evidence.</x:v>
      </x:c>
    </x:row>
    <x:row r="150" ht="77" customHeight="1">
      <x:c r="A150" s="11" t="str">
        <x:v>TC-CAL-001-02</x:v>
      </x:c>
      <x:c r="B150" s="11" t="str">
        <x:v>FR-CAL-001 / BR-CAL-001 / SC01–SC08</x:v>
      </x:c>
      <x:c r="C150" s="11" t="str">
        <x:v>P0 / R1</x:v>
      </x:c>
      <x:c r="D150" s="11" t="str">
        <x:v>Deterministic calculation validation and recovery</x:v>
      </x:c>
      <x:c r="E150" s="11" t="str">
        <x:v>Start from the same eligible fixture and retain the submitted draft; record the last committed head and receipt. Introduce the boundary or failure stated below.</x:v>
      </x:c>
      <x:c r="F150" s="11" t="str">
        <x:v>1. Exercise each independent condition in the validation contract, as separate recorded variants: An AI message cannot supply the authoritative value. A failed run leaves the prior result labelled stale and exposes failure rather than overwriting it with zero. 2. Inspect the safe error/state and authorised recovery actions. 3. Correct the condition and retry under current authority and expected revision. 4. Compare durable effects and audit history with the original baseline.</x:v>
      </x:c>
      <x:c r="G150" s="11" t="str">
        <x:v>An AI message cannot supply the authoritative value. A failed run leaves the prior result labelled stale and exposes failure rather than overwriting it with zero. Ordinary failed saves have no partial effect. Explicit bulk partial modes account for committed and unprocessed items. A retry does not duplicate the intended business effect.</x:v>
      </x:c>
      <x:c r="H150" s="13" t="str">
        <x:v>Not run</x:v>
      </x:c>
      <x:c r="I150" s="13" t="str"/>
      <x:c r="J150" s="13" t="str">
        <x:v>Expand multi-condition variants in the run record. Required negative coverage, not a claim that one assertion covers every security attack.</x:v>
      </x:c>
    </x:row>
    <x:row r="151" ht="90" customHeight="1">
      <x:c r="A151" s="11" t="str">
        <x:v>TC-CAL-002-01</x:v>
      </x:c>
      <x:c r="B151" s="11" t="str">
        <x:v>FR-CAL-002 / BR-CAL-002</x:v>
      </x:c>
      <x:c r="C151" s="11" t="str">
        <x:v>P0 / R1</x:v>
      </x:c>
      <x:c r="D151" s="11" t="str">
        <x:v>Type and unit compatibility intended outcome</x:v>
      </x:c>
      <x:c r="E151" s="11" t="str">
        <x:v>Synthetic tenant A; tenant B hidden markers; eligible actor with explicit capability, scope, purpose and current assurance. Set up the source acceptance fixture: Combine 1 hectare and 1 acre using an approved conversion; reject a people plus household total where no justified conversion exists.</x:v>
      </x:c>
      <x:c r="F151" s="11" t="str">
        <x:v>1. Record current object revisions, policy and safe audit cursor. 2. Perform the specified interaction: Before execution, type checking compares measurement types, units, populations, period semantics, definitions and dimensions. A conversion references an approved version, direction and precision. Preview shows original and converted inputs. 3. Inspect UI, canonical API read and audit/receipt for the resulting version. 4. Apply the acceptance example: Combine 1 hectare and 1 acre using an approved conversion; reject a people plus household total where no justified conversion exists.</x:v>
      </x:c>
      <x:c r="G151" s="11" t="str">
        <x:v>Combine 1 hectare and 1 acre using an approved conversion; reject a people plus household total where no justified conversion exists. Required behaviour is preserved: Before execution, type checking compares measurement types, units, populations, period semantics, definitions and dimensions. A conversion references an approved version, direction and precision. Preview shows original and converted inputs.</x:v>
      </x:c>
      <x:c r="H151" s="13" t="str">
        <x:v>Not run</x:v>
      </x:c>
      <x:c r="I151" s="13" t="str"/>
      <x:c r="J151" s="13" t="str">
        <x:v>Primary owning component C04. Execute relevant channels; record actual fixture IDs and observed evidence.</x:v>
      </x:c>
    </x:row>
    <x:row r="152" ht="77" customHeight="1">
      <x:c r="A152" s="11" t="str">
        <x:v>TC-CAL-002-02</x:v>
      </x:c>
      <x:c r="B152" s="11" t="str">
        <x:v>FR-CAL-002 / BR-CAL-002 / SC01–SC08</x:v>
      </x:c>
      <x:c r="C152" s="11" t="str">
        <x:v>P0 / R1</x:v>
      </x:c>
      <x:c r="D152" s="11" t="str">
        <x:v>Type and unit compatibility validation and recovery</x:v>
      </x:c>
      <x:c r="E152" s="11" t="str">
        <x:v>Start from the same eligible fixture and retain the submitted draft; record the last committed head and receipt. Introduce the boundary or failure stated below.</x:v>
      </x:c>
      <x:c r="F152" s="11" t="str">
        <x:v>1. Exercise each independent condition in the validation contract, as separate recorded variants: A numerical unit conversion cannot convert households into people without an approved population method and adequate source information. Similar labels never establish compatibility. 2. Inspect the safe error/state and authorised recovery actions. 3. Correct the condition and retry under current authority and expected revision. 4. Compare durable effects and audit history with the original baseline.</x:v>
      </x:c>
      <x:c r="G152" s="11" t="str">
        <x:v>A numerical unit conversion cannot convert households into people without an approved population method and adequate source information. Similar labels never establish compatibility. Ordinary failed saves have no partial effect. Explicit bulk partial modes account for committed and unprocessed items. A retry does not duplicate the intended business effect.</x:v>
      </x:c>
      <x:c r="H152" s="13" t="str">
        <x:v>Not run</x:v>
      </x:c>
      <x:c r="I152" s="13" t="str"/>
      <x:c r="J152" s="13" t="str">
        <x:v>Expand multi-condition variants in the run record. Required negative coverage, not a claim that one assertion covers every security attack.</x:v>
      </x:c>
    </x:row>
    <x:row r="153" ht="90" customHeight="1">
      <x:c r="A153" s="11" t="str">
        <x:v>TC-CAL-003-01</x:v>
      </x:c>
      <x:c r="B153" s="11" t="str">
        <x:v>FR-CAL-003 / BR-CAL-003</x:v>
      </x:c>
      <x:c r="C153" s="11" t="str">
        <x:v>P0 / R1</x:v>
      </x:c>
      <x:c r="D153" s="11" t="str">
        <x:v>Ratios rates and percentages intended outcome</x:v>
      </x:c>
      <x:c r="E153" s="11" t="str">
        <x:v>Synthetic tenant A; tenant B hidden markers; eligible actor with explicit capability, scope, purpose and current assurance. Set up the source acceptance fixture: Pool 50 of 100 and 1 of 10: produce 51 of 110 and display 46.36 percent under two decimal rounding, never 30 percent.</x:v>
      </x:c>
      <x:c r="F153" s="11" t="str">
        <x:v>1. Record current object revisions, policy and safe audit cursor. 2. Perform the specified interaction: Ratio rules retain eligible numerator and denominator quantities, apply the multiplier after pooling and disclose the weighting basis. Component records lacking the necessary quantities cannot contribute to a pooled ratio as if their percentages were sufficient. 3. Inspect UI, canonical API read and audit/receipt for the resulting version. 4. Apply the acceptance example: Pool 50 of 100 and 1 of 10: produce 51 of 110 and display 46.36 percent under two decimal rounding, never 30 percent.</x:v>
      </x:c>
      <x:c r="G153" s="11" t="str">
        <x:v>Pool 50 of 100 and 1 of 10: produce 51 of 110 and display 46.36 percent under two decimal rounding, never 30 percent. Required behaviour is preserved: Ratio rules retain eligible numerator and denominator quantities, apply the multiplier after pooling and disclose the weighting basis. Component records lacking the necessary quantities cannot contribute to a pooled ratio as if their percentages were sufficient.</x:v>
      </x:c>
      <x:c r="H153" s="13" t="str">
        <x:v>Not run</x:v>
      </x:c>
      <x:c r="I153" s="13" t="str"/>
      <x:c r="J153" s="13" t="str">
        <x:v>Primary owning component C04. Execute relevant channels; record actual fixture IDs and observed evidence.</x:v>
      </x:c>
    </x:row>
    <x:row r="154" ht="77" customHeight="1">
      <x:c r="A154" s="11" t="str">
        <x:v>TC-CAL-003-02</x:v>
      </x:c>
      <x:c r="B154" s="11" t="str">
        <x:v>FR-CAL-003 / BR-CAL-003 / SC01–SC08</x:v>
      </x:c>
      <x:c r="C154" s="11" t="str">
        <x:v>P0 / R1</x:v>
      </x:c>
      <x:c r="D154" s="11" t="str">
        <x:v>Ratios rates and percentages validation and recovery</x:v>
      </x:c>
      <x:c r="E154" s="11" t="str">
        <x:v>Start from the same eligible fixture and retain the submitted draft; record the last committed head and receipt. Introduce the boundary or failure stated below.</x:v>
      </x:c>
      <x:c r="F154" s="11" t="str">
        <x:v>1. Exercise each independent condition in the validation contract, as separate recorded variants: Zero pooled denominator gives UNDEFINED. An explicitly requested unweighted mean is a different labelled statistic and is not substituted for a pooled percentage. 2. Inspect the safe error/state and authorised recovery actions. 3. Correct the condition and retry under current authority and expected revision. 4. Compare durable effects and audit history with the original baseline.</x:v>
      </x:c>
      <x:c r="G154" s="11" t="str">
        <x:v>Zero pooled denominator gives UNDEFINED. An explicitly requested unweighted mean is a different labelled statistic and is not substituted for a pooled percentage. Ordinary failed saves have no partial effect. Explicit bulk partial modes account for committed and unprocessed items. A retry does not duplicate the intended business effect.</x:v>
      </x:c>
      <x:c r="H154" s="13" t="str">
        <x:v>Not run</x:v>
      </x:c>
      <x:c r="I154" s="13" t="str"/>
      <x:c r="J154" s="13" t="str">
        <x:v>Expand multi-condition variants in the run record. Required negative coverage, not a claim that one assertion covers every security attack.</x:v>
      </x:c>
    </x:row>
    <x:row r="155" ht="103" customHeight="1">
      <x:c r="A155" s="11" t="str">
        <x:v>TC-CAL-004-01</x:v>
      </x:c>
      <x:c r="B155" s="11" t="str">
        <x:v>FR-CAL-004 / BR-CAL-004</x:v>
      </x:c>
      <x:c r="C155" s="11" t="str">
        <x:v>P0 / R1</x:v>
      </x:c>
      <x:c r="D155" s="11" t="str">
        <x:v>Population overlap intended outcome</x:v>
      </x:c>
      <x:c r="E155" s="11" t="str">
        <x:v>Synthetic tenant A; tenant B hidden markers; eligible actor with explicit capability, scope, purpose and current assurance. Set up the source acceptance fixture: Two approved sets of 100 with 20 shared authorised identities produce 180; the same aggregate-only inputs produce gross 200 with unknown overlap.</x:v>
      </x:c>
      <x:c r="F155" s="11" t="str">
        <x:v>1. Record current object revisions, policy and safe audit cursor. 2. Perform the specified interaction: Unique reach declares entity type, population, time window and approved identity matching scope. Compute a union over permitted stable pseudonyms and record matched overlap. Aggregate-only inputs produce gross reach with overlap unknown unless a valid external deduplication method exists. 3. Inspect UI, canonical API read and audit/receipt for the resulting version. 4. Apply the acceptance example: Two approved sets of 100 with 20 shared authorised identities produce 180; the same aggregate-only inputs produce gross 200 with unknown overlap.</x:v>
      </x:c>
      <x:c r="G155" s="11" t="str">
        <x:v>Two approved sets of 100 with 20 shared authorised identities produce 180; the same aggregate-only inputs produce gross 200 with unknown overlap. Required behaviour is preserved: Unique reach declares entity type, population, time window and approved identity matching scope. Compute a union over permitted stable pseudonyms and record matched overlap. Aggregate-only inputs produce gross reach with overlap unknown unless a valid external deduplication method exists.</x:v>
      </x:c>
      <x:c r="H155" s="13" t="str">
        <x:v>Not run</x:v>
      </x:c>
      <x:c r="I155" s="13" t="str"/>
      <x:c r="J155" s="13" t="str">
        <x:v>Primary owning component C04. Execute relevant channels; record actual fixture IDs and observed evidence.</x:v>
      </x:c>
    </x:row>
    <x:row r="156" ht="77" customHeight="1">
      <x:c r="A156" s="11" t="str">
        <x:v>TC-CAL-004-02</x:v>
      </x:c>
      <x:c r="B156" s="11" t="str">
        <x:v>FR-CAL-004 / BR-CAL-004 / SC01–SC08</x:v>
      </x:c>
      <x:c r="C156" s="11" t="str">
        <x:v>P0 / R1</x:v>
      </x:c>
      <x:c r="D156" s="11" t="str">
        <x:v>Population overlap validation and recovery</x:v>
      </x:c>
      <x:c r="E156" s="11" t="str">
        <x:v>Start from the same eligible fixture and retain the submitted draft; record the last committed head and receipt. Introduce the boundary or failure stated below.</x:v>
      </x:c>
      <x:c r="F156" s="11" t="str">
        <x:v>1. Exercise each independent condition in the validation contract, as separate recorded variants: No cross project or tenant matching merely because names are similar. Fuzzy candidate resolution requires reviewed evidence and permission before changing unique counts. 2. Inspect the safe error/state and authorised recovery actions. 3. Correct the condition and retry under current authority and expected revision. 4. Compare durable effects and audit history with the original baseline.</x:v>
      </x:c>
      <x:c r="G156" s="11" t="str">
        <x:v>No cross project or tenant matching merely because names are similar. Fuzzy candidate resolution requires reviewed evidence and permission before changing unique counts. Ordinary failed saves have no partial effect. Explicit bulk partial modes account for committed and unprocessed items. A retry does not duplicate the intended business effect.</x:v>
      </x:c>
      <x:c r="H156" s="13" t="str">
        <x:v>Not run</x:v>
      </x:c>
      <x:c r="I156" s="13" t="str"/>
      <x:c r="J156" s="13" t="str">
        <x:v>Expand multi-condition variants in the run record. Required negative coverage, not a claim that one assertion covers every security attack.</x:v>
      </x:c>
    </x:row>
    <x:row r="157" ht="90" customHeight="1">
      <x:c r="A157" s="11" t="str">
        <x:v>TC-CAL-005-01</x:v>
      </x:c>
      <x:c r="B157" s="11" t="str">
        <x:v>FR-CAL-005 / BR-CAL-005</x:v>
      </x:c>
      <x:c r="C157" s="11" t="str">
        <x:v>P0 / R1</x:v>
      </x:c>
      <x:c r="D157" s="11" t="str">
        <x:v>Time aggregation semantics intended outcome</x:v>
      </x:c>
      <x:c r="E157" s="11" t="str">
        <x:v>Synthetic tenant A; tenant B hidden markers; eligible actor with explicit capability, scope, purpose and current assurance. Set up the source acceptance fixture: For 10, 15 and 20 cumulative positions report end value 20; increments are 10, 5 and 5 only when a zero starting baseline is established.</x:v>
      </x:c>
      <x:c r="F157" s="11" t="str">
        <x:v>1. Record current object revisions, policy and safe audit cursor. 2. Perform the specified interaction: Time semantic selects flow sum, latest eligible stock, event count or approved cumulative difference. For snapshots, specify maximum permissible age and tie resolution. Cumulative declines require a correction or reset event with defined treatment. 3. Inspect UI, canonical API read and audit/receipt for the resulting version. 4. Apply the acceptance example: For 10, 15 and 20 cumulative positions report end value 20; increments are 10, 5 and 5 only when a zero starting baseline is established.</x:v>
      </x:c>
      <x:c r="G157" s="11" t="str">
        <x:v>For 10, 15 and 20 cumulative positions report end value 20; increments are 10, 5 and 5 only when a zero starting baseline is established. Required behaviour is preserved: Time semantic selects flow sum, latest eligible stock, event count or approved cumulative difference. For snapshots, specify maximum permissible age and tie resolution. Cumulative declines require a correction or reset event with defined treatment.</x:v>
      </x:c>
      <x:c r="H157" s="13" t="str">
        <x:v>Not run</x:v>
      </x:c>
      <x:c r="I157" s="13" t="str"/>
      <x:c r="J157" s="13" t="str">
        <x:v>Primary owning component C04. Execute relevant channels; record actual fixture IDs and observed evidence.</x:v>
      </x:c>
    </x:row>
    <x:row r="158" ht="77" customHeight="1">
      <x:c r="A158" s="11" t="str">
        <x:v>TC-CAL-005-02</x:v>
      </x:c>
      <x:c r="B158" s="11" t="str">
        <x:v>FR-CAL-005 / BR-CAL-005 / SC01–SC08</x:v>
      </x:c>
      <x:c r="C158" s="11" t="str">
        <x:v>P0 / R1</x:v>
      </x:c>
      <x:c r="D158" s="11" t="str">
        <x:v>Time aggregation semantics validation and recovery</x:v>
      </x:c>
      <x:c r="E158" s="11" t="str">
        <x:v>Start from the same eligible fixture and retain the submitted draft; record the last committed head and receipt. Introduce the boundary or failure stated below.</x:v>
      </x:c>
      <x:c r="F158" s="11" t="str">
        <x:v>1. Exercise each independent condition in the validation contract, as separate recorded variants: Never sum monthly cumulative totals by default. A missing starting cumulative value prevents an exact period increment unless the approved method supplies a justified baseline. 2. Inspect the safe error/state and authorised recovery actions. 3. Correct the condition and retry under current authority and expected revision. 4. Compare durable effects and audit history with the original baseline.</x:v>
      </x:c>
      <x:c r="G158" s="11" t="str">
        <x:v>Never sum monthly cumulative totals by default. A missing starting cumulative value prevents an exact period increment unless the approved method supplies a justified baseline. Ordinary failed saves have no partial effect. Explicit bulk partial modes account for committed and unprocessed items. A retry does not duplicate the intended business effect.</x:v>
      </x:c>
      <x:c r="H158" s="13" t="str">
        <x:v>Not run</x:v>
      </x:c>
      <x:c r="I158" s="13" t="str"/>
      <x:c r="J158" s="13" t="str">
        <x:v>Expand multi-condition variants in the run record. Required negative coverage, not a claim that one assertion covers every security attack.</x:v>
      </x:c>
    </x:row>
    <x:row r="159" ht="103" customHeight="1">
      <x:c r="A159" s="11" t="str">
        <x:v>TC-CAL-006-01</x:v>
      </x:c>
      <x:c r="B159" s="11" t="str">
        <x:v>FR-CAL-006 / BR-CAL-006</x:v>
      </x:c>
      <x:c r="C159" s="11" t="str">
        <x:v>P0 / R1</x:v>
      </x:c>
      <x:c r="D159" s="11" t="str">
        <x:v>Hierarchical aggregation intended outcome</x:v>
      </x:c>
      <x:c r="E159" s="11" t="str">
        <x:v>Synthetic tenant A; tenant B hidden markers; eligible actor with explicit capability, scope, purpose and current assurance. Set up the source acceptance fixture: A source contributes 7 through two intermediate totals; a unique parent includes 7 once and a newly added reverse edge is rejected as cyclic.</x:v>
      </x:c>
      <x:c r="F159" s="11" t="str">
        <x:v>1. Record current object revisions, policy and safe audit cursor. 2. Perform the specified interaction: Every aggregation edge identifies contribution, combination rule and attribution scope. Validation detects cycles and repeated source identities along multiple paths. Parent evaluation deduplicates eligible contributions where the contract defines a unique union, or blocks ambiguous additive duplication. 3. Inspect UI, canonical API read and audit/receipt for the resulting version. 4. Apply the acceptance example: A source contributes 7 through two intermediate totals; a unique parent includes 7 once and a newly added reverse edge is rejected as cyclic.</x:v>
      </x:c>
      <x:c r="G159" s="11" t="str">
        <x:v>A source contributes 7 through two intermediate totals; a unique parent includes 7 once and a newly added reverse edge is rejected as cyclic. Required behaviour is preserved: Every aggregation edge identifies contribution, combination rule and attribution scope. Validation detects cycles and repeated source identities along multiple paths. Parent evaluation deduplicates eligible contributions where the contract defines a unique union, or blocks ambiguous additive duplication.</x:v>
      </x:c>
      <x:c r="H159" s="13" t="str">
        <x:v>Not run</x:v>
      </x:c>
      <x:c r="I159" s="13" t="str"/>
      <x:c r="J159" s="13" t="str">
        <x:v>Primary owning component C04. Execute relevant channels; record actual fixture IDs and observed evidence.</x:v>
      </x:c>
    </x:row>
    <x:row r="160" ht="77" customHeight="1">
      <x:c r="A160" s="11" t="str">
        <x:v>TC-CAL-006-02</x:v>
      </x:c>
      <x:c r="B160" s="11" t="str">
        <x:v>FR-CAL-006 / BR-CAL-006 / SC01–SC08</x:v>
      </x:c>
      <x:c r="C160" s="11" t="str">
        <x:v>P0 / R1</x:v>
      </x:c>
      <x:c r="D160" s="11" t="str">
        <x:v>Hierarchical aggregation validation and recovery</x:v>
      </x:c>
      <x:c r="E160" s="11" t="str">
        <x:v>Start from the same eligible fixture and retain the submitted draft; record the last committed head and receipt. Introduce the boundary or failure stated below.</x:v>
      </x:c>
      <x:c r="F160" s="11" t="str">
        <x:v>1. Exercise each independent condition in the validation contract, as separate recorded variants: A repeated path cannot be resolved by silently halving a value. Weighted allocations require explicit weights and reconciliation. At least ten reporting levels are qualified. 2. Inspect the safe error/state and authorised recovery actions. 3. Correct the condition and retry under current authority and expected revision. 4. Compare durable effects and audit history with the original baseline.</x:v>
      </x:c>
      <x:c r="G160" s="11" t="str">
        <x:v>A repeated path cannot be resolved by silently halving a value. Weighted allocations require explicit weights and reconciliation. At least ten reporting levels are qualified. Ordinary failed saves have no partial effect. Explicit bulk partial modes account for committed and unprocessed items. A retry does not duplicate the intended business effect.</x:v>
      </x:c>
      <x:c r="H160" s="13" t="str">
        <x:v>Not run</x:v>
      </x:c>
      <x:c r="I160" s="13" t="str"/>
      <x:c r="J160" s="13" t="str">
        <x:v>Expand multi-condition variants in the run record. Required negative coverage, not a claim that one assertion covers every security attack.</x:v>
      </x:c>
    </x:row>
    <x:row r="161" ht="90" customHeight="1">
      <x:c r="A161" s="11" t="str">
        <x:v>TC-CAL-007-01</x:v>
      </x:c>
      <x:c r="B161" s="11" t="str">
        <x:v>FR-CAL-007 / BR-CAL-007</x:v>
      </x:c>
      <x:c r="C161" s="11" t="str">
        <x:v>P0 / R1</x:v>
      </x:c>
      <x:c r="D161" s="11" t="str">
        <x:v>Dimension alignment intended outcome</x:v>
      </x:c>
      <x:c r="E161" s="11" t="str">
        <x:v>Synthetic tenant A; tenant B hidden markers; eligible actor with explicit capability, scope, purpose and current assurance. Set up the source acceptance fixture: Attempt to convert ages 0 to 17 into 0 to 14 from one aggregate; exact transformation is blocked and the unresolved coverage remains visible.</x:v>
      </x:c>
      <x:c r="F161" s="11" t="str">
        <x:v>1. Record current object revisions, policy and safe audit cursor. 2. Perform the specified interaction: A category crosswalk records source and target versions, mapping type and information loss. Exact mapping, many to one pooling and approved proportional allocation are distinct. Preview reports unmapped and suppressed contributions. 3. Inspect UI, canonical API read and audit/receipt for the resulting version. 4. Apply the acceptance example: Attempt to convert ages 0 to 17 into 0 to 14 from one aggregate; exact transformation is blocked and the unresolved coverage remains visible.</x:v>
      </x:c>
      <x:c r="G161" s="11" t="str">
        <x:v>Attempt to convert ages 0 to 17 into 0 to 14 from one aggregate; exact transformation is blocked and the unresolved coverage remains visible. Required behaviour is preserved: A category crosswalk records source and target versions, mapping type and information loss. Exact mapping, many to one pooling and approved proportional allocation are distinct. Preview reports unmapped and suppressed contributions.</x:v>
      </x:c>
      <x:c r="H161" s="13" t="str">
        <x:v>Not run</x:v>
      </x:c>
      <x:c r="I161" s="13" t="str"/>
      <x:c r="J161" s="13" t="str">
        <x:v>Primary owning component C04. Execute relevant channels; record actual fixture IDs and observed evidence.</x:v>
      </x:c>
    </x:row>
    <x:row r="162" ht="77" customHeight="1">
      <x:c r="A162" s="11" t="str">
        <x:v>TC-CAL-007-02</x:v>
      </x:c>
      <x:c r="B162" s="11" t="str">
        <x:v>FR-CAL-007 / BR-CAL-007 / SC01–SC08</x:v>
      </x:c>
      <x:c r="C162" s="11" t="str">
        <x:v>P0 / R1</x:v>
      </x:c>
      <x:c r="D162" s="11" t="str">
        <x:v>Dimension alignment validation and recovery</x:v>
      </x:c>
      <x:c r="E162" s="11" t="str">
        <x:v>Start from the same eligible fixture and retain the submitted draft; record the last committed head and receipt. Introduce the boundary or failure stated below.</x:v>
      </x:c>
      <x:c r="F162" s="11" t="str">
        <x:v>1. Exercise each independent condition in the validation contract, as separate recorded variants: Do not split a broad age band into narrower exact bands without underlying ages or a declared estimation method. Unknown does not silently map to another category. 2. Inspect the safe error/state and authorised recovery actions. 3. Correct the condition and retry under current authority and expected revision. 4. Compare durable effects and audit history with the original baseline.</x:v>
      </x:c>
      <x:c r="G162" s="11" t="str">
        <x:v>Do not split a broad age band into narrower exact bands without underlying ages or a declared estimation method. Unknown does not silently map to another category. Ordinary failed saves have no partial effect. Explicit bulk partial modes account for committed and unprocessed items. A retry does not duplicate the intended business effect.</x:v>
      </x:c>
      <x:c r="H162" s="13" t="str">
        <x:v>Not run</x:v>
      </x:c>
      <x:c r="I162" s="13" t="str"/>
      <x:c r="J162" s="13" t="str">
        <x:v>Expand multi-condition variants in the run record. Required negative coverage, not a claim that one assertion covers every security attack.</x:v>
      </x:c>
    </x:row>
    <x:row r="163" ht="103" customHeight="1">
      <x:c r="A163" s="11" t="str">
        <x:v>TC-CAL-008-01</x:v>
      </x:c>
      <x:c r="B163" s="11" t="str">
        <x:v>FR-CAL-008 / BR-CAL-008</x:v>
      </x:c>
      <x:c r="C163" s="11" t="str">
        <x:v>P0 / R1</x:v>
      </x:c>
      <x:c r="D163" s="11" t="str">
        <x:v>Missingness and coverage intended outcome</x:v>
      </x:c>
      <x:c r="E163" s="11" t="str">
        <x:v>Synthetic tenant A; tenant B hidden markers; eligible actor with explicit capability, scope, purpose and current assurance. Set up the source acceptance fixture: Five expected partners, three approved, one pending and one missing yield 60 percent approval coverage and distinct pending and missing counts.</x:v>
      </x:c>
      <x:c r="F163" s="11" t="str">
        <x:v>1. Record current object revisions, policy and safe audit cursor. 2. Perform the specified interaction: The obligation snapshot determines the expected contributor set for the period. Results count received, valid and approved contributors separately. Official sums use approved eligible values and attach partial status when mandatory contributors are absent. 3. Inspect UI, canonical API read and audit/receipt for the resulting version. 4. Apply the acceptance example: Five expected partners, three approved, one pending and one missing yield 60 percent approval coverage and distinct pending and missing counts.</x:v>
      </x:c>
      <x:c r="G163" s="11" t="str">
        <x:v>Five expected partners, three approved, one pending and one missing yield 60 percent approval coverage and distinct pending and missing counts. Required behaviour is preserved: The obligation snapshot determines the expected contributor set for the period. Results count received, valid and approved contributors separately. Official sums use approved eligible values and attach partial status when mandatory contributors are absent.</x:v>
      </x:c>
      <x:c r="H163" s="13" t="str">
        <x:v>Not run</x:v>
      </x:c>
      <x:c r="I163" s="13" t="str"/>
      <x:c r="J163" s="13" t="str">
        <x:v>Primary owning component C04. Execute relevant channels; record actual fixture IDs and observed evidence.</x:v>
      </x:c>
    </x:row>
    <x:row r="164" ht="77" customHeight="1">
      <x:c r="A164" s="11" t="str">
        <x:v>TC-CAL-008-02</x:v>
      </x:c>
      <x:c r="B164" s="11" t="str">
        <x:v>FR-CAL-008 / BR-CAL-008 / SC01–SC08</x:v>
      </x:c>
      <x:c r="C164" s="11" t="str">
        <x:v>P0 / R1</x:v>
      </x:c>
      <x:c r="D164" s="11" t="str">
        <x:v>Missingness and coverage validation and recovery</x:v>
      </x:c>
      <x:c r="E164" s="11" t="str">
        <x:v>Start from the same eligible fixture and retain the submitted draft; record the last committed head and receipt. Introduce the boundary or failure stated below.</x:v>
      </x:c>
      <x:c r="F164" s="11" t="str">
        <x:v>1. Exercise each independent condition in the validation contract, as separate recorded variants: A partner retired today remains expected in a prior period where its obligation was active. Not applicable removes an obligation only through approved eligibility evidence. 2. Inspect the safe error/state and authorised recovery actions. 3. Correct the condition and retry under current authority and expected revision. 4. Compare durable effects and audit history with the original baseline.</x:v>
      </x:c>
      <x:c r="G164" s="11" t="str">
        <x:v>A partner retired today remains expected in a prior period where its obligation was active. Not applicable removes an obligation only through approved eligibility evidence. Ordinary failed saves have no partial effect. Explicit bulk partial modes account for committed and unprocessed items. A retry does not duplicate the intended business effect.</x:v>
      </x:c>
      <x:c r="H164" s="13" t="str">
        <x:v>Not run</x:v>
      </x:c>
      <x:c r="I164" s="13" t="str"/>
      <x:c r="J164" s="13" t="str">
        <x:v>Expand multi-condition variants in the run record. Required negative coverage, not a claim that one assertion covers every security attack.</x:v>
      </x:c>
    </x:row>
    <x:row r="165" ht="103" customHeight="1">
      <x:c r="A165" s="11" t="str">
        <x:v>TC-CAL-009-01</x:v>
      </x:c>
      <x:c r="B165" s="11" t="str">
        <x:v>FR-CAL-009 / BR-CAL-009</x:v>
      </x:c>
      <x:c r="C165" s="11" t="str">
        <x:v>P0 / R1</x:v>
      </x:c>
      <x:c r="D165" s="11" t="str">
        <x:v>Precision and rounding intended outcome</x:v>
      </x:c>
      <x:c r="E165" s="11" t="str">
        <x:v>Synthetic tenant A; tenant B hidden markers; eligible actor with explicit capability, scope, purpose and current assurance. Set up the source acceptance fixture: Sum three values 0.335 before rounding to two decimals: 1.005 becomes 1.01 with half up; document why rounded components would sum differently.</x:v>
      </x:c>
      <x:c r="F165" s="11" t="str">
        <x:v>1. Record current object revisions, policy and safe audit cursor. 2. Perform the specified interaction: Rules declare input scale, calculation precision, rounding mode and display decimals. Intermediate arithmetic retains sufficient precision for the qualified maximum workload. Round only at the specified output boundary; export contains a raw decimal string and display metadata where applicable. 3. Inspect UI, canonical API read and audit/receipt for the resulting version. 4. Apply the acceptance example: Sum three values 0.335 before rounding to two decimals: 1.005 becomes 1.01 with half up; document why rounded components would sum differently.</x:v>
      </x:c>
      <x:c r="G165" s="11" t="str">
        <x:v>Sum three values 0.335 before rounding to two decimals: 1.005 becomes 1.01 with half up; document why rounded components would sum differently. Required behaviour is preserved: Rules declare input scale, calculation precision, rounding mode and display decimals. Intermediate arithmetic retains sufficient precision for the qualified maximum workload. Round only at the specified output boundary; export contains a raw decimal string and display metadata where applicable.</x:v>
      </x:c>
      <x:c r="H165" s="13" t="str">
        <x:v>Not run</x:v>
      </x:c>
      <x:c r="I165" s="13" t="str"/>
      <x:c r="J165" s="13" t="str">
        <x:v>Primary owning component C04. Execute relevant channels; record actual fixture IDs and observed evidence.</x:v>
      </x:c>
    </x:row>
    <x:row r="166" ht="77" customHeight="1">
      <x:c r="A166" s="11" t="str">
        <x:v>TC-CAL-009-02</x:v>
      </x:c>
      <x:c r="B166" s="11" t="str">
        <x:v>FR-CAL-009 / BR-CAL-009 / SC01–SC08</x:v>
      </x:c>
      <x:c r="C166" s="11" t="str">
        <x:v>P0 / R1</x:v>
      </x:c>
      <x:c r="D166" s="11" t="str">
        <x:v>Precision and rounding validation and recovery</x:v>
      </x:c>
      <x:c r="E166" s="11" t="str">
        <x:v>Start from the same eligible fixture and retain the submitted draft; record the last committed head and receipt. Introduce the boundary or failure stated below.</x:v>
      </x:c>
      <x:c r="F166" s="11" t="str">
        <x:v>1. Exercise each independent condition in the validation contract, as separate recorded variants: Do not use display rounded values as new source inputs. Large identifiers are never converted to numbers, and counts beyond qualified numeric range produce an explicit limit error. 2. Inspect the safe error/state and authorised recovery actions. 3. Correct the condition and retry under current authority and expected revision. 4. Compare durable effects and audit history with the original baseline.</x:v>
      </x:c>
      <x:c r="G166" s="11" t="str">
        <x:v>Do not use display rounded values as new source inputs. Large identifiers are never converted to numbers, and counts beyond qualified numeric range produce an explicit limit error. Ordinary failed saves have no partial effect. Explicit bulk partial modes account for committed and unprocessed items. A retry does not duplicate the intended business effect.</x:v>
      </x:c>
      <x:c r="H166" s="13" t="str">
        <x:v>Not run</x:v>
      </x:c>
      <x:c r="I166" s="13" t="str"/>
      <x:c r="J166" s="13" t="str">
        <x:v>Expand multi-condition variants in the run record. Required negative coverage, not a claim that one assertion covers every security attack.</x:v>
      </x:c>
    </x:row>
    <x:row r="167" ht="103" customHeight="1">
      <x:c r="A167" s="11" t="str">
        <x:v>TC-CAL-010-01</x:v>
      </x:c>
      <x:c r="B167" s="11" t="str">
        <x:v>FR-CAL-010 / BR-CAL-010</x:v>
      </x:c>
      <x:c r="C167" s="11" t="str">
        <x:v>P0 / R1</x:v>
      </x:c>
      <x:c r="D167" s="11" t="str">
        <x:v>Zero denominators and invalid inputs intended outcome</x:v>
      </x:c>
      <x:c r="E167" s="11" t="str">
        <x:v>Synthetic tenant A; tenant B hidden markers; eligible actor with explicit capability, scope, purpose and current assurance. Set up the source acceptance fixture: Submit negative two participants and divide 5 by 0; the first is invalid and the second undefined, with neither displayed as a successful zero.</x:v>
      </x:c>
      <x:c r="F167" s="11" t="str">
        <x:v>1. Record current object revisions, policy and safe audit cursor. 2. Perform the specified interaction: Validation rejects nonfinite inputs, impossible dates and incompatible sign conventions before calculation. A ratio with zero denominator returns UNDEFINED and a reason. Negative adjustments require an approved adjustment measure or correction contract. 3. Inspect UI, canonical API read and audit/receipt for the resulting version. 4. Apply the acceptance example: Submit negative two participants and divide 5 by 0; the first is invalid and the second undefined, with neither displayed as a successful zero.</x:v>
      </x:c>
      <x:c r="G167" s="11" t="str">
        <x:v>Submit negative two participants and divide 5 by 0; the first is invalid and the second undefined, with neither displayed as a successful zero. Required behaviour is preserved: Validation rejects nonfinite inputs, impossible dates and incompatible sign conventions before calculation. A ratio with zero denominator returns UNDEFINED and a reason. Negative adjustments require an approved adjustment measure or correction contract.</x:v>
      </x:c>
      <x:c r="H167" s="13" t="str">
        <x:v>Not run</x:v>
      </x:c>
      <x:c r="I167" s="13" t="str"/>
      <x:c r="J167" s="13" t="str">
        <x:v>Primary owning component C04. Execute relevant channels; record actual fixture IDs and observed evidence.</x:v>
      </x:c>
    </x:row>
    <x:row r="168" ht="77" customHeight="1">
      <x:c r="A168" s="11" t="str">
        <x:v>TC-CAL-010-02</x:v>
      </x:c>
      <x:c r="B168" s="11" t="str">
        <x:v>FR-CAL-010 / BR-CAL-010 / SC01–SC08</x:v>
      </x:c>
      <x:c r="C168" s="11" t="str">
        <x:v>P0 / R1</x:v>
      </x:c>
      <x:c r="D168" s="11" t="str">
        <x:v>Zero denominators and invalid inputs validation and recovery</x:v>
      </x:c>
      <x:c r="E168" s="11" t="str">
        <x:v>Start from the same eligible fixture and retain the submitted draft; record the last committed head and receipt. Introduce the boundary or failure stated below.</x:v>
      </x:c>
      <x:c r="F168" s="11" t="str">
        <x:v>1. Exercise each independent condition in the validation contract, as separate recorded variants: An eligible count cannot become negative merely because a spreadsheet contains a refund-like value. Percentages outside bounds require explicit valid semantics, not automatic clipping. 2. Inspect the safe error/state and authorised recovery actions. 3. Correct the condition and retry under current authority and expected revision. 4. Compare durable effects and audit history with the original baseline.</x:v>
      </x:c>
      <x:c r="G168" s="11" t="str">
        <x:v>An eligible count cannot become negative merely because a spreadsheet contains a refund-like value. Percentages outside bounds require explicit valid semantics, not automatic clipping. Ordinary failed saves have no partial effect. Explicit bulk partial modes account for committed and unprocessed items. A retry does not duplicate the intended business effect.</x:v>
      </x:c>
      <x:c r="H168" s="13" t="str">
        <x:v>Not run</x:v>
      </x:c>
      <x:c r="I168" s="13" t="str"/>
      <x:c r="J168" s="13" t="str">
        <x:v>Expand multi-condition variants in the run record. Required negative coverage, not a claim that one assertion covers every security attack.</x:v>
      </x:c>
    </x:row>
    <x:row r="169" ht="103" customHeight="1">
      <x:c r="A169" s="11" t="str">
        <x:v>TC-CAL-011-01</x:v>
      </x:c>
      <x:c r="B169" s="11" t="str">
        <x:v>FR-CAL-011 / BR-CAL-011</x:v>
      </x:c>
      <x:c r="C169" s="11" t="str">
        <x:v>P0 / R1</x:v>
      </x:c>
      <x:c r="D169" s="11" t="str">
        <x:v>Corrections and recalculation intended outcome</x:v>
      </x:c>
      <x:c r="E169" s="11" t="str">
        <x:v>Synthetic tenant A; tenant B hidden markers; eligible actor with explicit capability, scope, purpose and current assurance. Set up the source acceptance fixture: Correct one imported numerator and verify current ratio updates while the published quarterly PDF remains the original version until restated.</x:v>
      </x:c>
      <x:c r="F169" s="11" t="str">
        <x:v>1. Record current object revisions, policy and safe audit cursor. 2. Perform the specified interaction: An approved source correction identifies downstream definitions, result periods, dashboards and unpublished reports. Recalculation creates new result versions and updates live bindings after completion. Published snapshots remain bound to their original manifest. 3. Inspect UI, canonical API read and audit/receipt for the resulting version. 4. Apply the acceptance example: Correct one imported numerator and verify current ratio updates while the published quarterly PDF remains the original version until restated.</x:v>
      </x:c>
      <x:c r="G169" s="11" t="str">
        <x:v>Correct one imported numerator and verify current ratio updates while the published quarterly PDF remains the original version until restated. Required behaviour is preserved: An approved source correction identifies downstream definitions, result periods, dashboards and unpublished reports. Recalculation creates new result versions and updates live bindings after completion. Published snapshots remain bound to their original manifest.</x:v>
      </x:c>
      <x:c r="H169" s="13" t="str">
        <x:v>Not run</x:v>
      </x:c>
      <x:c r="I169" s="13" t="str"/>
      <x:c r="J169" s="13" t="str">
        <x:v>Primary owning component C04. Execute relevant channels; record actual fixture IDs and observed evidence.</x:v>
      </x:c>
    </x:row>
    <x:row r="170" ht="90" customHeight="1">
      <x:c r="A170" s="11" t="str">
        <x:v>TC-CAL-011-02</x:v>
      </x:c>
      <x:c r="B170" s="11" t="str">
        <x:v>FR-CAL-011 / BR-CAL-011 / SC01–SC08</x:v>
      </x:c>
      <x:c r="C170" s="11" t="str">
        <x:v>P0 / R1</x:v>
      </x:c>
      <x:c r="D170" s="11" t="str">
        <x:v>Corrections and recalculation validation and recovery</x:v>
      </x:c>
      <x:c r="E170" s="11" t="str">
        <x:v>Start from the same eligible fixture and retain the submitted draft; record the last committed head and receipt. Introduce the boundary or failure stated below.</x:v>
      </x:c>
      <x:c r="F170" s="11" t="str">
        <x:v>1. Exercise each independent condition in the validation contract, as separate recorded variants: A failed downstream run exposes stale status and does not partially present a mixed official snapshot. Restatement is a separate approved operation; retry preserves one intended new result per input version. 2. Inspect the safe error/state and authorised recovery actions. 3. Correct the condition and retry under current authority and expected revision. 4. Compare durable effects and audit history with the original baseline.</x:v>
      </x:c>
      <x:c r="G170" s="11" t="str">
        <x:v>A failed downstream run exposes stale status and does not partially present a mixed official snapshot. Restatement is a separate approved operation; retry preserves one intended new result per input version. Ordinary failed saves have no partial effect. Explicit bulk partial modes account for committed and unprocessed items. A retry does not duplicate the intended business effect.</x:v>
      </x:c>
      <x:c r="H170" s="13" t="str">
        <x:v>Not run</x:v>
      </x:c>
      <x:c r="I170" s="13" t="str"/>
      <x:c r="J170" s="13" t="str">
        <x:v>Expand multi-condition variants in the run record. Required negative coverage, not a claim that one assertion covers every security attack.</x:v>
      </x:c>
    </x:row>
    <x:row r="171" ht="90" customHeight="1">
      <x:c r="A171" s="11" t="str">
        <x:v>TC-CAL-012-01</x:v>
      </x:c>
      <x:c r="B171" s="11" t="str">
        <x:v>FR-CAL-012 / BR-CAL-012</x:v>
      </x:c>
      <x:c r="C171" s="11" t="str">
        <x:v>P0 / R1</x:v>
      </x:c>
      <x:c r="D171" s="11" t="str">
        <x:v>Formula authoring and validation intended outcome</x:v>
      </x:c>
      <x:c r="E171" s="11" t="str">
        <x:v>Synthetic tenant A; tenant B hidden markers; eligible actor with explicit capability, scope, purpose and current assurance. Set up the source acceptance fixture: Enter a formula referencing an inaccessible field, a circular indicator and an external URL call; each is rejected before activation.</x:v>
      </x:c>
      <x:c r="F171" s="11" t="str">
        <x:v>1. Record current object revisions, policy and safe audit cursor. 2. Perform the specified interaction: Formula authoring uses typed references and a bounded function catalogue: arithmetic, approved filters, count, sum, min, max, ratio and eligible distinct count in R1. Preview validates permissions, dependency cycles, units and sample outputs before review. 3. Inspect UI, canonical API read and audit/receipt for the resulting version. 4. Apply the acceptance example: Enter a formula referencing an inaccessible field, a circular indicator and an external URL call; each is rejected before activation.</x:v>
      </x:c>
      <x:c r="G171" s="11" t="str">
        <x:v>Enter a formula referencing an inaccessible field, a circular indicator and an external URL call; each is rejected before activation. Required behaviour is preserved: Formula authoring uses typed references and a bounded function catalogue: arithmetic, approved filters, count, sum, min, max, ratio and eligible distinct count in R1. Preview validates permissions, dependency cycles, units and sample outputs before review.</x:v>
      </x:c>
      <x:c r="H171" s="13" t="str">
        <x:v>Not run</x:v>
      </x:c>
      <x:c r="I171" s="13" t="str"/>
      <x:c r="J171" s="13" t="str">
        <x:v>Primary owning component C04. Execute relevant channels; record actual fixture IDs and observed evidence.</x:v>
      </x:c>
    </x:row>
    <x:row r="172" ht="90" customHeight="1">
      <x:c r="A172" s="11" t="str">
        <x:v>TC-CAL-012-02</x:v>
      </x:c>
      <x:c r="B172" s="11" t="str">
        <x:v>FR-CAL-012 / BR-CAL-012 / SC01–SC08</x:v>
      </x:c>
      <x:c r="C172" s="11" t="str">
        <x:v>P0 / R1</x:v>
      </x:c>
      <x:c r="D172" s="11" t="str">
        <x:v>Formula authoring and validation validation and recovery</x:v>
      </x:c>
      <x:c r="E172" s="11" t="str">
        <x:v>Start from the same eligible fixture and retain the submitted draft; record the last committed head and receipt. Introduce the boundary or failure stated below.</x:v>
      </x:c>
      <x:c r="F172" s="11" t="str">
        <x:v>1. Exercise each independent condition in the validation contract, as separate recorded variants: No arbitrary scripts, network access, filesystem references or dynamically broadened queries. Division and missingness follow the calculation contract; unsupported functions fail at validation. 2. Inspect the safe error/state and authorised recovery actions. 3. Correct the condition and retry under current authority and expected revision. 4. Compare durable effects and audit history with the original baseline.</x:v>
      </x:c>
      <x:c r="G172" s="11" t="str">
        <x:v>No arbitrary scripts, network access, filesystem references or dynamically broadened queries. Division and missingness follow the calculation contract; unsupported functions fail at validation. Ordinary failed saves have no partial effect. Explicit bulk partial modes account for committed and unprocessed items. A retry does not duplicate the intended business effect.</x:v>
      </x:c>
      <x:c r="H172" s="13" t="str">
        <x:v>Not run</x:v>
      </x:c>
      <x:c r="I172" s="13" t="str"/>
      <x:c r="J172" s="13" t="str">
        <x:v>Expand multi-condition variants in the run record. Required negative coverage, not a claim that one assertion covers every security attack.</x:v>
      </x:c>
    </x:row>
    <x:row r="173" ht="90" customHeight="1">
      <x:c r="A173" s="11" t="str">
        <x:v>TC-CAL-013-01</x:v>
      </x:c>
      <x:c r="B173" s="11" t="str">
        <x:v>FR-CAL-013 / BR-CAL-013</x:v>
      </x:c>
      <x:c r="C173" s="11" t="str">
        <x:v>P1 / R2</x:v>
      </x:c>
      <x:c r="D173" s="11" t="str">
        <x:v>Weighted and composite indicators intended outcome</x:v>
      </x:c>
      <x:c r="E173" s="11" t="str">
        <x:v>Synthetic tenant A; tenant B hidden markers; eligible actor with explicit capability, scope, purpose and current assurance. Set up the source acceptance fixture: Scores 60 and 80 with weights 0.4 and 0.6 produce 72; changing weights creates a new version and leaves the old score reproducible.</x:v>
      </x:c>
      <x:c r="F173" s="11" t="str">
        <x:v>1. Record current object revisions, policy and safe audit cursor. 2. Perform the specified interaction: Composite setup specifies components, normalisation, weight scale, missing component policy and interpretation. Preview shows contribution of each component and sensitivity to proposed weights. Approval pins the complete configuration and source versions. 3. Inspect UI, canonical API read and audit/receipt for the resulting version. 4. Apply the acceptance example: Scores 60 and 80 with weights 0.4 and 0.6 produce 72; changing weights creates a new version and leaves the old score reproducible.</x:v>
      </x:c>
      <x:c r="G173" s="11" t="str">
        <x:v>Scores 60 and 80 with weights 0.4 and 0.6 produce 72; changing weights creates a new version and leaves the old score reproducible. Required behaviour is preserved: Composite setup specifies components, normalisation, weight scale, missing component policy and interpretation. Preview shows contribution of each component and sensitivity to proposed weights. Approval pins the complete configuration and source versions.</x:v>
      </x:c>
      <x:c r="H173" s="13" t="str">
        <x:v>Not run</x:v>
      </x:c>
      <x:c r="I173" s="13" t="str"/>
      <x:c r="J173" s="13" t="str">
        <x:v>Primary owning component C04. Execute relevant channels; record actual fixture IDs and observed evidence.</x:v>
      </x:c>
    </x:row>
    <x:row r="174" ht="90" customHeight="1">
      <x:c r="A174" s="11" t="str">
        <x:v>TC-CAL-013-02</x:v>
      </x:c>
      <x:c r="B174" s="11" t="str">
        <x:v>FR-CAL-013 / BR-CAL-013 / SC01–SC08</x:v>
      </x:c>
      <x:c r="C174" s="11" t="str">
        <x:v>P1 / R2</x:v>
      </x:c>
      <x:c r="D174" s="11" t="str">
        <x:v>Weighted and composite indicators validation and recovery</x:v>
      </x:c>
      <x:c r="E174" s="11" t="str">
        <x:v>Start from the same eligible fixture and retain the submitted draft; record the last committed head and receipt. Introduce the boundary or failure stated below.</x:v>
      </x:c>
      <x:c r="F174" s="11" t="str">
        <x:v>1. Exercise each independent condition in the validation contract, as separate recorded variants: Weights sum to one for a normalised weighted mean. Missing required components block or return an explicitly incomplete score; renormalisation is permitted only when the approved rule declares it. 2. Inspect the safe error/state and authorised recovery actions. 3. Correct the condition and retry under current authority and expected revision. 4. Compare durable effects and audit history with the original baseline.</x:v>
      </x:c>
      <x:c r="G174" s="11" t="str">
        <x:v>Weights sum to one for a normalised weighted mean. Missing required components block or return an explicitly incomplete score; renormalisation is permitted only when the approved rule declares it. Ordinary failed saves have no partial effect. Explicit bulk partial modes account for committed and unprocessed items. A retry does not duplicate the intended business effect.</x:v>
      </x:c>
      <x:c r="H174" s="13" t="str">
        <x:v>Not run</x:v>
      </x:c>
      <x:c r="I174" s="13" t="str"/>
      <x:c r="J174" s="13" t="str">
        <x:v>Expand multi-condition variants in the run record. Required negative coverage, not a claim that one assertion covers every security attack.</x:v>
      </x:c>
    </x:row>
    <x:row r="175" ht="90" customHeight="1">
      <x:c r="A175" s="11" t="str">
        <x:v>TC-CAL-014-01</x:v>
      </x:c>
      <x:c r="B175" s="11" t="str">
        <x:v>FR-CAL-014 / BR-CAL-014</x:v>
      </x:c>
      <x:c r="C175" s="11" t="str">
        <x:v>P0 / R1</x:v>
      </x:c>
      <x:c r="D175" s="11" t="str">
        <x:v>Cross portfolio attribution intended outcome</x:v>
      </x:c>
      <x:c r="E175" s="11" t="str">
        <x:v>Synthetic tenant A; tenant B hidden markers; eligible actor with explicit capability, scope, purpose and current assurance. Set up the source acceptance fixture: Project P belongs to health and education portfolios; each may show P, while the organisation unique project count stays one.</x:v>
      </x:c>
      <x:c r="F175" s="11" t="str">
        <x:v>1. Record current object revisions, policy and safe audit cursor. 2. Perform the specified interaction: Portfolio membership is a view relation. Organisation-wide counting uses the unique underlying project or result identity. An allocation view applies separately approved attribution shares with a declared basis and remainder policy. 3. Inspect UI, canonical API read and audit/receipt for the resulting version. 4. Apply the acceptance example: Project P belongs to health and education portfolios; each may show P, while the organisation unique project count stays one.</x:v>
      </x:c>
      <x:c r="G175" s="11" t="str">
        <x:v>Project P belongs to health and education portfolios; each may show P, while the organisation unique project count stays one. Required behaviour is preserved: Portfolio membership is a view relation. Organisation-wide counting uses the unique underlying project or result identity. An allocation view applies separately approved attribution shares with a declared basis and remainder policy.</x:v>
      </x:c>
      <x:c r="H175" s="13" t="str">
        <x:v>Not run</x:v>
      </x:c>
      <x:c r="I175" s="13" t="str"/>
      <x:c r="J175" s="13" t="str">
        <x:v>Primary owning component C04. Execute relevant channels; record actual fixture IDs and observed evidence.</x:v>
      </x:c>
    </x:row>
    <x:row r="176" ht="77" customHeight="1">
      <x:c r="A176" s="11" t="str">
        <x:v>TC-CAL-014-02</x:v>
      </x:c>
      <x:c r="B176" s="11" t="str">
        <x:v>FR-CAL-014 / BR-CAL-014 / SC01–SC08</x:v>
      </x:c>
      <x:c r="C176" s="11" t="str">
        <x:v>P0 / R1</x:v>
      </x:c>
      <x:c r="D176" s="11" t="str">
        <x:v>Cross portfolio attribution validation and recovery</x:v>
      </x:c>
      <x:c r="E176" s="11" t="str">
        <x:v>Start from the same eligible fixture and retain the submitted draft; record the last committed head and receipt. Introduce the boundary or failure stated below.</x:v>
      </x:c>
      <x:c r="F176" s="11" t="str">
        <x:v>1. Exercise each independent condition in the validation contract, as separate recorded variants: Funding share does not imply causal impact ownership. Shares that exceed the source total are rejected unless the view is explicitly nonadditive and labelled. 2. Inspect the safe error/state and authorised recovery actions. 3. Correct the condition and retry under current authority and expected revision. 4. Compare durable effects and audit history with the original baseline.</x:v>
      </x:c>
      <x:c r="G176" s="11" t="str">
        <x:v>Funding share does not imply causal impact ownership. Shares that exceed the source total are rejected unless the view is explicitly nonadditive and labelled. Ordinary failed saves have no partial effect. Explicit bulk partial modes account for committed and unprocessed items. A retry does not duplicate the intended business effect.</x:v>
      </x:c>
      <x:c r="H176" s="13" t="str">
        <x:v>Not run</x:v>
      </x:c>
      <x:c r="I176" s="13" t="str"/>
      <x:c r="J176" s="13" t="str">
        <x:v>Expand multi-condition variants in the run record. Required negative coverage, not a claim that one assertion covers every security attack.</x:v>
      </x:c>
    </x:row>
    <x:row r="177" ht="90" customHeight="1">
      <x:c r="A177" s="11" t="str">
        <x:v>TC-CAL-015-01</x:v>
      </x:c>
      <x:c r="B177" s="11" t="str">
        <x:v>FR-CAL-015 / BR-CAL-015</x:v>
      </x:c>
      <x:c r="C177" s="11" t="str">
        <x:v>P0 / R1</x:v>
      </x:c>
      <x:c r="D177" s="11" t="str">
        <x:v>Reconciliation and explainability intended outcome</x:v>
      </x:c>
      <x:c r="E177" s="11" t="str">
        <x:v>Synthetic tenant A; tenant B hidden markers; eligible actor with explicit capability, scope, purpose and current assurance. Set up the source acceptance fixture: Change one source value and one filter, compare runs and identify the separate effect of each rather than reporting one unexplained total difference.</x:v>
      </x:c>
      <x:c r="F177" s="11" t="str">
        <x:v>1. Record current object revisions, policy and safe audit cursor. 2. Perform the specified interaction: The explanation view shows rule version, source set, included and excluded counts, adjustments, coverage and approval. Comparing runs classifies differences into source, rule, period, target, permission or disclosure changes. 3. Inspect UI, canonical API read and audit/receipt for the resulting version. 4. Apply the acceptance example: Change one source value and one filter, compare runs and identify the separate effect of each rather than reporting one unexplained total difference.</x:v>
      </x:c>
      <x:c r="G177" s="11" t="str">
        <x:v>Change one source value and one filter, compare runs and identify the separate effect of each rather than reporting one unexplained total difference. Required behaviour is preserved: The explanation view shows rule version, source set, included and excluded counts, adjustments, coverage and approval. Comparing runs classifies differences into source, rule, period, target, permission or disclosure changes.</x:v>
      </x:c>
      <x:c r="H177" s="13" t="str">
        <x:v>Not run</x:v>
      </x:c>
      <x:c r="I177" s="13" t="str"/>
      <x:c r="J177" s="13" t="str">
        <x:v>Primary owning component C04. Execute relevant channels; record actual fixture IDs and observed evidence.</x:v>
      </x:c>
    </x:row>
    <x:row r="178" ht="90" customHeight="1">
      <x:c r="A178" s="11" t="str">
        <x:v>TC-CAL-015-02</x:v>
      </x:c>
      <x:c r="B178" s="11" t="str">
        <x:v>FR-CAL-015 / BR-CAL-015 / SC01–SC08</x:v>
      </x:c>
      <x:c r="C178" s="11" t="str">
        <x:v>P0 / R1</x:v>
      </x:c>
      <x:c r="D178" s="11" t="str">
        <x:v>Reconciliation and explainability validation and recovery</x:v>
      </x:c>
      <x:c r="E178" s="11" t="str">
        <x:v>Start from the same eligible fixture and retain the submitted draft; record the last committed head and receipt. Introduce the boundary or failure stated below.</x:v>
      </x:c>
      <x:c r="F178" s="11" t="str">
        <x:v>1. Exercise each independent condition in the validation contract, as separate recorded variants: A viewer cannot use reconciliation to inspect restricted excluded records; show permitted aggregates or withheld references. Numerical differences must reconcile to stated causes before report approval. 2. Inspect the safe error/state and authorised recovery actions. 3. Correct the condition and retry under current authority and expected revision. 4. Compare durable effects and audit history with the original baseline.</x:v>
      </x:c>
      <x:c r="G178" s="11" t="str">
        <x:v>A viewer cannot use reconciliation to inspect restricted excluded records; show permitted aggregates or withheld references. Numerical differences must reconcile to stated causes before report approval. Ordinary failed saves have no partial effect. Explicit bulk partial modes account for committed and unprocessed items. A retry does not duplicate the intended business effect.</x:v>
      </x:c>
      <x:c r="H178" s="13" t="str">
        <x:v>Not run</x:v>
      </x:c>
      <x:c r="I178" s="13" t="str"/>
      <x:c r="J178" s="13" t="str">
        <x:v>Expand multi-condition variants in the run record. Required negative coverage, not a claim that one assertion covers every security attack.</x:v>
      </x:c>
    </x:row>
    <x:row r="179" ht="103" customHeight="1">
      <x:c r="A179" s="11" t="str">
        <x:v>TC-CAL-016-01</x:v>
      </x:c>
      <x:c r="B179" s="11" t="str">
        <x:v>FR-CAL-016 / BR-CAL-016</x:v>
      </x:c>
      <x:c r="C179" s="11" t="str">
        <x:v>P1 / R2</x:v>
      </x:c>
      <x:c r="D179" s="11" t="str">
        <x:v>Statistical interpretation intended outcome</x:v>
      </x:c>
      <x:c r="E179" s="11" t="str">
        <x:v>Synthetic tenant A; tenant B hidden markers; eligible actor with explicit capability, scope, purpose and current assurance. Set up the source acceptance fixture: Groups with raw values 1, 2, 100 and 3, 4 combine to median 3; subgroup medians alone cannot reproduce that claim reliably.</x:v>
      </x:c>
      <x:c r="F179" s="11" t="str">
        <x:v>1. Record current object revisions, policy and safe audit cursor. 2. Perform the specified interaction: A statistical output selects method, sample basis, weights, uncertainty and eligible observations. The result package contains calculation metadata and limitations. Pooling requires sufficient compatible raw values or valid sufficient statistics for the chosen method. 3. Inspect UI, canonical API read and audit/receipt for the resulting version. 4. Apply the acceptance example: Groups with raw values 1, 2, 100 and 3, 4 combine to median 3; subgroup medians alone cannot reproduce that claim reliably.</x:v>
      </x:c>
      <x:c r="G179" s="11" t="str">
        <x:v>Groups with raw values 1, 2, 100 and 3, 4 combine to median 3; subgroup medians alone cannot reproduce that claim reliably. Required behaviour is preserved: A statistical output selects method, sample basis, weights, uncertainty and eligible observations. The result package contains calculation metadata and limitations. Pooling requires sufficient compatible raw values or valid sufficient statistics for the chosen method.</x:v>
      </x:c>
      <x:c r="H179" s="13" t="str">
        <x:v>Not run</x:v>
      </x:c>
      <x:c r="I179" s="13" t="str"/>
      <x:c r="J179" s="13" t="str">
        <x:v>Primary owning component C04. Execute relevant channels; record actual fixture IDs and observed evidence.</x:v>
      </x:c>
    </x:row>
    <x:row r="180" ht="77" customHeight="1">
      <x:c r="A180" s="11" t="str">
        <x:v>TC-CAL-016-02</x:v>
      </x:c>
      <x:c r="B180" s="11" t="str">
        <x:v>FR-CAL-016 / BR-CAL-016 / SC01–SC08</x:v>
      </x:c>
      <x:c r="C180" s="11" t="str">
        <x:v>P1 / R2</x:v>
      </x:c>
      <x:c r="D180" s="11" t="str">
        <x:v>Statistical interpretation validation and recovery</x:v>
      </x:c>
      <x:c r="E180" s="11" t="str">
        <x:v>Start from the same eligible fixture and retain the submitted draft; record the last committed head and receipt. Introduce the boundary or failure stated below.</x:v>
      </x:c>
      <x:c r="F180" s="11" t="str">
        <x:v>1. Exercise each independent condition in the validation contract, as separate recorded variants: A mean of medians is labelled as that statistic, never a pooled median. Sample estimates are not population counts without a reviewed expansion method. 2. Inspect the safe error/state and authorised recovery actions. 3. Correct the condition and retry under current authority and expected revision. 4. Compare durable effects and audit history with the original baseline.</x:v>
      </x:c>
      <x:c r="G180" s="11" t="str">
        <x:v>A mean of medians is labelled as that statistic, never a pooled median. Sample estimates are not population counts without a reviewed expansion method. Ordinary failed saves have no partial effect. Explicit bulk partial modes account for committed and unprocessed items. A retry does not duplicate the intended business effect.</x:v>
      </x:c>
      <x:c r="H180" s="13" t="str">
        <x:v>Not run</x:v>
      </x:c>
      <x:c r="I180" s="13" t="str"/>
      <x:c r="J180" s="13" t="str">
        <x:v>Expand multi-condition variants in the run record. Required negative coverage, not a claim that one assertion covers every security attack.</x:v>
      </x:c>
    </x:row>
    <x:row r="181" ht="103" customHeight="1">
      <x:c r="A181" s="11" t="str">
        <x:v>TC-FRM-001-01</x:v>
      </x:c>
      <x:c r="B181" s="11" t="str">
        <x:v>FR-FRM-001 / BR-FRM-001</x:v>
      </x:c>
      <x:c r="C181" s="11" t="str">
        <x:v>P0 / R1</x:v>
      </x:c>
      <x:c r="D181" s="11" t="str">
        <x:v>Form builder intended outcome</x:v>
      </x:c>
      <x:c r="E181" s="11" t="str">
        <x:v>Synthetic tenant A; tenant B hidden markers; eligible actor with explicit capability, scope, purpose and current assurance. Set up the source acceptance fixture: Build a household form with three members, an optional photo and a calculated age; all child responses retain their parent and stable field codes.</x:v>
      </x:c>
      <x:c r="F181" s="11" t="str">
        <x:v>1. Record current object revisions, policy and safe audit cursor. 2. Perform the specified interaction: The builder assigns stable field IDs and selects type, label, help, classification and validation. Groups and repeat groups have explicit child schemas. Preview supports desktop and mobile and displays the effective form version. Submitting for review locks the schema and starts the approval workflow. 3. Inspect UI, canonical API read and audit/receipt for the resulting version. 4. Apply the acceptance example: Build a household form with three members, an optional photo and a calculated age; all child responses retain their parent and stable field codes.</x:v>
      </x:c>
      <x:c r="G181" s="11" t="str">
        <x:v>Build a household form with three members, an optional photo and a calculated age; all child responses retain their parent and stable field codes. Required behaviour is preserved: The builder assigns stable field IDs and selects type, label, help, classification and validation. Groups and repeat groups have explicit child schemas. Preview supports desktop and mobile and displays the effective form version. Submitting for review locks the schema and starts the approval workflow.</x:v>
      </x:c>
      <x:c r="H181" s="13" t="str">
        <x:v>Not run</x:v>
      </x:c>
      <x:c r="I181" s="13" t="str"/>
      <x:c r="J181" s="13" t="str">
        <x:v>Primary owning component C05. Execute relevant channels; record actual fixture IDs and observed evidence.</x:v>
      </x:c>
    </x:row>
    <x:row r="182" ht="90" customHeight="1">
      <x:c r="A182" s="11" t="str">
        <x:v>TC-FRM-001-02</x:v>
      </x:c>
      <x:c r="B182" s="11" t="str">
        <x:v>FR-FRM-001 / BR-FRM-001 / SC01–SC08</x:v>
      </x:c>
      <x:c r="C182" s="11" t="str">
        <x:v>P0 / R1</x:v>
      </x:c>
      <x:c r="D182" s="11" t="str">
        <x:v>Form builder validation and recovery</x:v>
      </x:c>
      <x:c r="E182" s="11" t="str">
        <x:v>Start from the same eligible fixture and retain the submitted draft; record the last committed head and receipt. Introduce the boundary or failure stated below.</x:v>
      </x:c>
      <x:c r="F182" s="11" t="str">
        <x:v>1. Exercise each independent condition in the validation contract, as separate recorded variants: Qualify 200 questions and 100 repeat entries; the declared limit applies to repeat instances per submission and nesting is limited to two levels in R1. Unsupported combinations are rejected before publishing. 2. Inspect the safe error/state and authorised recovery actions. 3. Correct the condition and retry under current authority and expected revision. 4. Compare durable effects and audit history with the original baseline.</x:v>
      </x:c>
      <x:c r="G182" s="11" t="str">
        <x:v>Qualify 200 questions and 100 repeat entries; the declared limit applies to repeat instances per submission and nesting is limited to two levels in R1. Unsupported combinations are rejected before publishing. Ordinary failed saves have no partial effect. Explicit bulk partial modes account for committed and unprocessed items. A retry does not duplicate the intended business effect.</x:v>
      </x:c>
      <x:c r="H182" s="13" t="str">
        <x:v>Not run</x:v>
      </x:c>
      <x:c r="I182" s="13" t="str"/>
      <x:c r="J182" s="13" t="str">
        <x:v>Expand multi-condition variants in the run record. Required negative coverage, not a claim that one assertion covers every security attack.</x:v>
      </x:c>
    </x:row>
    <x:row r="183" ht="116" customHeight="1">
      <x:c r="A183" s="11" t="str">
        <x:v>TC-FRM-002-01</x:v>
      </x:c>
      <x:c r="B183" s="11" t="str">
        <x:v>FR-FRM-002 / BR-FRM-002</x:v>
      </x:c>
      <x:c r="C183" s="11" t="str">
        <x:v>P0 / R1</x:v>
      </x:c>
      <x:c r="D183" s="11" t="str">
        <x:v>Conditional logic and validation intended outcome</x:v>
      </x:c>
      <x:c r="E183" s="11" t="str">
        <x:v>Synthetic tenant A; tenant B hidden markers; eligible actor with explicit capability, scope, purpose and current assurance. Set up the source acceptance fixture: Change pregnancy relevance from yes to no; dependent fields clear under the declared policy and a tampered payload containing disallowed answers is rejected.</x:v>
      </x:c>
      <x:c r="F183" s="11" t="str">
        <x:v>1. Record current object revisions, policy and safe audit cursor. 2. Perform the specified interaction: Relevance and required rules use typed field references and a bounded expression catalogue. Changing an upstream answer recalculates downstream state in dependency order. Default behaviour clears newly irrelevant values after a visible confirmation; explicitly retained hidden values are excluded from calculations unless the approved schema says otherwise. 3. Inspect UI, canonical API read and audit/receipt for the resulting version. 4. Apply the acceptance example: Change pregnancy relevance from yes to no; dependent fields clear under the declared policy and a tampered payload containing disallowed answers is rejected.</x:v>
      </x:c>
      <x:c r="G183" s="11" t="str">
        <x:v>Change pregnancy relevance from yes to no; dependent fields clear under the declared policy and a tampered payload containing disallowed answers is rejected. Required behaviour is preserved: Relevance and required rules use typed field references and a bounded expression catalogue. Changing an upstream answer recalculates downstream state in dependency order. Default behaviour clears newly irrelevant values after a visible confirmation; explicitly retained hidden values are excluded from calculations unless the approved schema says otherwise.</x:v>
      </x:c>
      <x:c r="H183" s="13" t="str">
        <x:v>Not run</x:v>
      </x:c>
      <x:c r="I183" s="13" t="str"/>
      <x:c r="J183" s="13" t="str">
        <x:v>Primary owning component C05. Execute relevant channels; record actual fixture IDs and observed evidence.</x:v>
      </x:c>
    </x:row>
    <x:row r="184" ht="77" customHeight="1">
      <x:c r="A184" s="11" t="str">
        <x:v>TC-FRM-002-02</x:v>
      </x:c>
      <x:c r="B184" s="11" t="str">
        <x:v>FR-FRM-002 / BR-FRM-002 / SC01–SC08</x:v>
      </x:c>
      <x:c r="C184" s="11" t="str">
        <x:v>P0 / R1</x:v>
      </x:c>
      <x:c r="D184" s="11" t="str">
        <x:v>Conditional logic and validation validation and recovery</x:v>
      </x:c>
      <x:c r="E184" s="11" t="str">
        <x:v>Start from the same eligible fixture and retain the submitted draft; record the last committed head and receipt. Introduce the boundary or failure stated below.</x:v>
      </x:c>
      <x:c r="F184" s="11" t="str">
        <x:v>1. Exercise each independent condition in the validation contract, as separate recorded variants: Server checks the same versioned rules. Reject cycles and references to inaccessible fields. A client cannot submit a hidden required answer to bypass relevance policy. 2. Inspect the safe error/state and authorised recovery actions. 3. Correct the condition and retry under current authority and expected revision. 4. Compare durable effects and audit history with the original baseline.</x:v>
      </x:c>
      <x:c r="G184" s="11" t="str">
        <x:v>Server checks the same versioned rules. Reject cycles and references to inaccessible fields. A client cannot submit a hidden required answer to bypass relevance policy. Ordinary failed saves have no partial effect. Explicit bulk partial modes account for committed and unprocessed items. A retry does not duplicate the intended business effect.</x:v>
      </x:c>
      <x:c r="H184" s="13" t="str">
        <x:v>Not run</x:v>
      </x:c>
      <x:c r="I184" s="13" t="str"/>
      <x:c r="J184" s="13" t="str">
        <x:v>Expand multi-condition variants in the run record. Required negative coverage, not a claim that one assertion covers every security attack.</x:v>
      </x:c>
    </x:row>
    <x:row r="185" ht="103" customHeight="1">
      <x:c r="A185" s="11" t="str">
        <x:v>TC-FRM-003-01</x:v>
      </x:c>
      <x:c r="B185" s="11" t="str">
        <x:v>FR-FRM-003 / BR-FRM-003</x:v>
      </x:c>
      <x:c r="C185" s="11" t="str">
        <x:v>P0 / R1</x:v>
      </x:c>
      <x:c r="D185" s="11" t="str">
        <x:v>Form lifecycle and compatibility intended outcome</x:v>
      </x:c>
      <x:c r="E185" s="11" t="str">
        <x:v>Synthetic tenant A; tenant B hidden markers; eligible actor with explicit capability, scope, purpose and current assurance. Set up the source acceptance fixture: Publish a new mandatory question while an older package is offline; reconnect preserves the original submission and quarantines it rather than inventing the answer.</x:v>
      </x:c>
      <x:c r="F185" s="11" t="str">
        <x:v>1. Record current object revisions, policy and safe audit cursor. 2. Perform the specified interaction: A form moves through draft, isolated test, independent review and publication. A new published version declares compatibility with earlier versions and an acceptance cutoff. Submissions retain the exact form and translation version used at capture. 3. Inspect UI, canonical API read and audit/receipt for the resulting version. 4. Apply the acceptance example: Publish a new mandatory question while an older package is offline; reconnect preserves the original submission and quarantines it rather than inventing the answer.</x:v>
      </x:c>
      <x:c r="G185" s="11" t="str">
        <x:v>Publish a new mandatory question while an older package is offline; reconnect preserves the original submission and quarantines it rather than inventing the answer. Required behaviour is preserved: A form moves through draft, isolated test, independent review and publication. A new published version declares compatibility with earlier versions and an acceptance cutoff. Submissions retain the exact form and translation version used at capture.</x:v>
      </x:c>
      <x:c r="H185" s="13" t="str">
        <x:v>Not run</x:v>
      </x:c>
      <x:c r="I185" s="13" t="str"/>
      <x:c r="J185" s="13" t="str">
        <x:v>Primary owning component C05. Execute relevant channels; record actual fixture IDs and observed evidence.</x:v>
      </x:c>
    </x:row>
    <x:row r="186" ht="90" customHeight="1">
      <x:c r="A186" s="11" t="str">
        <x:v>TC-FRM-003-02</x:v>
      </x:c>
      <x:c r="B186" s="11" t="str">
        <x:v>FR-FRM-003 / BR-FRM-003 / SC01–SC08</x:v>
      </x:c>
      <x:c r="C186" s="11" t="str">
        <x:v>P0 / R1</x:v>
      </x:c>
      <x:c r="D186" s="11" t="str">
        <x:v>Form lifecycle and compatibility validation and recovery</x:v>
      </x:c>
      <x:c r="E186" s="11" t="str">
        <x:v>Start from the same eligible fixture and retain the submitted draft; record the last committed head and receipt. Introduce the boundary or failure stated below.</x:v>
      </x:c>
      <x:c r="F186" s="11" t="str">
        <x:v>1. Exercise each independent condition in the validation contract, as separate recorded variants: Additive optional changes may accept older versions; changed mandatory or semantic rules quarantine older submissions for reviewed mapping. Revoked unsafe forms are rejected as live collection instruments. 2. Inspect the safe error/state and authorised recovery actions. 3. Correct the condition and retry under current authority and expected revision. 4. Compare durable effects and audit history with the original baseline.</x:v>
      </x:c>
      <x:c r="G186" s="11" t="str">
        <x:v>Additive optional changes may accept older versions; changed mandatory or semantic rules quarantine older submissions for reviewed mapping. Revoked unsafe forms are rejected as live collection instruments. Ordinary failed saves have no partial effect. Explicit bulk partial modes account for committed and unprocessed items. A retry does not duplicate the intended business effect.</x:v>
      </x:c>
      <x:c r="H186" s="13" t="str">
        <x:v>Not run</x:v>
      </x:c>
      <x:c r="I186" s="13" t="str"/>
      <x:c r="J186" s="13" t="str">
        <x:v>Expand multi-condition variants in the run record. Required negative coverage, not a claim that one assertion covers every security attack.</x:v>
      </x:c>
    </x:row>
    <x:row r="187" ht="90" customHeight="1">
      <x:c r="A187" s="11" t="str">
        <x:v>TC-FRM-004-01</x:v>
      </x:c>
      <x:c r="B187" s="11" t="str">
        <x:v>FR-FRM-004 / BR-FRM-004</x:v>
      </x:c>
      <x:c r="C187" s="11" t="str">
        <x:v>P1 / R1</x:v>
      </x:c>
      <x:c r="D187" s="11" t="str">
        <x:v>Multilingual instruments intended outcome</x:v>
      </x:c>
      <x:c r="E187" s="11" t="str">
        <x:v>Synthetic tenant A; tenant B hidden markers; eligible actor with explicit capability, scope, purpose and current assurance. Set up the source acceptance fixture: Submit the same choice in English and Hindi; both map to one stable response code and retain the language presented to the respondent.</x:v>
      </x:c>
      <x:c r="F187" s="11" t="str">
        <x:v>1. Record current object revisions, policy and safe audit cursor. 2. Perform the specified interaction: Each field and choice has a stable code and language specific labels. The translator sees missing and machine proposed translations. Review approves a language version separately; a released form records its approved language set. 3. Inspect UI, canonical API read and audit/receipt for the resulting version. 4. Apply the acceptance example: Submit the same choice in English and Hindi; both map to one stable response code and retain the language presented to the respondent.</x:v>
      </x:c>
      <x:c r="G187" s="11" t="str">
        <x:v>Submit the same choice in English and Hindi; both map to one stable response code and retain the language presented to the respondent. Required behaviour is preserved: Each field and choice has a stable code and language specific labels. The translator sees missing and machine proposed translations. Review approves a language version separately; a released form records its approved language set.</x:v>
      </x:c>
      <x:c r="H187" s="13" t="str">
        <x:v>Not run</x:v>
      </x:c>
      <x:c r="I187" s="13" t="str"/>
      <x:c r="J187" s="13" t="str">
        <x:v>Primary owning component C05. Execute relevant channels; record actual fixture IDs and observed evidence.</x:v>
      </x:c>
    </x:row>
    <x:row r="188" ht="90" customHeight="1">
      <x:c r="A188" s="11" t="str">
        <x:v>TC-FRM-004-02</x:v>
      </x:c>
      <x:c r="B188" s="11" t="str">
        <x:v>FR-FRM-004 / BR-FRM-004 / SC01–SC08</x:v>
      </x:c>
      <x:c r="C188" s="11" t="str">
        <x:v>P1 / R1</x:v>
      </x:c>
      <x:c r="D188" s="11" t="str">
        <x:v>Multilingual instruments validation and recovery</x:v>
      </x:c>
      <x:c r="E188" s="11" t="str">
        <x:v>Start from the same eligible fixture and retain the submitted draft; record the last committed head and receipt. Introduce the boundary or failure stated below.</x:v>
      </x:c>
      <x:c r="F188" s="11" t="str">
        <x:v>1. Exercise each independent condition in the validation contract, as separate recorded variants: Fallback text is explicit and cannot silently change choice codes. Critical consent text requires approved translation in the selected collection language; otherwise collection in that language is blocked. 2. Inspect the safe error/state and authorised recovery actions. 3. Correct the condition and retry under current authority and expected revision. 4. Compare durable effects and audit history with the original baseline.</x:v>
      </x:c>
      <x:c r="G188" s="11" t="str">
        <x:v>Fallback text is explicit and cannot silently change choice codes. Critical consent text requires approved translation in the selected collection language; otherwise collection in that language is blocked. Ordinary failed saves have no partial effect. Explicit bulk partial modes account for committed and unprocessed items. A retry does not duplicate the intended business effect.</x:v>
      </x:c>
      <x:c r="H188" s="13" t="str">
        <x:v>Not run</x:v>
      </x:c>
      <x:c r="I188" s="13" t="str"/>
      <x:c r="J188" s="13" t="str">
        <x:v>Expand multi-condition variants in the run record. Required negative coverage, not a claim that one assertion covers every security attack.</x:v>
      </x:c>
    </x:row>
    <x:row r="189" ht="103" customHeight="1">
      <x:c r="A189" s="11" t="str">
        <x:v>TC-FRM-005-01</x:v>
      </x:c>
      <x:c r="B189" s="11" t="str">
        <x:v>FR-FRM-005 / BR-FRM-005</x:v>
      </x:c>
      <x:c r="C189" s="11" t="str">
        <x:v>P0 / R1</x:v>
      </x:c>
      <x:c r="D189" s="11" t="str">
        <x:v>Collection rounds and assignments intended outcome</x:v>
      </x:c>
      <x:c r="E189" s="11" t="str">
        <x:v>Synthetic tenant A; tenant B hidden markers; eligible actor with explicit capability, scope, purpose and current assurance. Set up the source acceptance fixture: Reassign a household visit from collector A to B; the old assignment cannot produce an extra eligible completed visit after B submits.</x:v>
      </x:c>
      <x:c r="F189" s="11" t="str">
        <x:v>1. Record current object revisions, policy and safe audit cursor. 2. Perform the specified interaction: A supervisor defines a round, eligible frame, form version, dates and expected assignments. Task creation produces one stable assignment per sampled unit and visit. Reassignment changes assignee with history; sample replacement records original and substitute with reason. 3. Inspect UI, canonical API read and audit/receipt for the resulting version. 4. Apply the acceptance example: Reassign a household visit from collector A to B; the old assignment cannot produce an extra eligible completed visit after B submits.</x:v>
      </x:c>
      <x:c r="G189" s="11" t="str">
        <x:v>Reassign a household visit from collector A to B; the old assignment cannot produce an extra eligible completed visit after B submits. Required behaviour is preserved: A supervisor defines a round, eligible frame, form version, dates and expected assignments. Task creation produces one stable assignment per sampled unit and visit. Reassignment changes assignee with history; sample replacement records original and substitute with reason.</x:v>
      </x:c>
      <x:c r="H189" s="13" t="str">
        <x:v>Not run</x:v>
      </x:c>
      <x:c r="I189" s="13" t="str"/>
      <x:c r="J189" s="13" t="str">
        <x:v>Primary owning component C05. Execute relevant channels; record actual fixture IDs and observed evidence.</x:v>
      </x:c>
    </x:row>
    <x:row r="190" ht="77" customHeight="1">
      <x:c r="A190" s="11" t="str">
        <x:v>TC-FRM-005-02</x:v>
      </x:c>
      <x:c r="B190" s="11" t="str">
        <x:v>FR-FRM-005 / BR-FRM-005 / SC01–SC08</x:v>
      </x:c>
      <x:c r="C190" s="11" t="str">
        <x:v>P0 / R1</x:v>
      </x:c>
      <x:c r="D190" s="11" t="str">
        <x:v>Collection rounds and assignments validation and recovery</x:v>
      </x:c>
      <x:c r="E190" s="11" t="str">
        <x:v>Start from the same eligible fixture and retain the submitted draft; record the last committed head and receipt. Introduce the boundary or failure stated below.</x:v>
      </x:c>
      <x:c r="F190" s="11" t="str">
        <x:v>1. Exercise each independent condition in the validation contract, as separate recorded variants: No automatic expansion from assigned sample to full registry. Replacement does not erase nonresponse or increase the intended denominator silently. 2. Inspect the safe error/state and authorised recovery actions. 3. Correct the condition and retry under current authority and expected revision. 4. Compare durable effects and audit history with the original baseline.</x:v>
      </x:c>
      <x:c r="G190" s="11" t="str">
        <x:v>No automatic expansion from assigned sample to full registry. Replacement does not erase nonresponse or increase the intended denominator silently. Ordinary failed saves have no partial effect. Explicit bulk partial modes account for committed and unprocessed items. A retry does not duplicate the intended business effect.</x:v>
      </x:c>
      <x:c r="H190" s="13" t="str">
        <x:v>Not run</x:v>
      </x:c>
      <x:c r="I190" s="13" t="str"/>
      <x:c r="J190" s="13" t="str">
        <x:v>Expand multi-condition variants in the run record. Required negative coverage, not a claim that one assertion covers every security attack.</x:v>
      </x:c>
    </x:row>
    <x:row r="191" ht="103" customHeight="1">
      <x:c r="A191" s="11" t="str">
        <x:v>TC-FRM-006-01</x:v>
      </x:c>
      <x:c r="B191" s="11" t="str">
        <x:v>FR-FRM-006 / BR-FRM-006</x:v>
      </x:c>
      <x:c r="C191" s="11" t="str">
        <x:v>P0 / R1</x:v>
      </x:c>
      <x:c r="D191" s="11" t="str">
        <x:v>Save resume and correction intended outcome</x:v>
      </x:c>
      <x:c r="E191" s="11" t="str">
        <x:v>Synthetic tenant A; tenant B hidden markers; eligible actor with explicit capability, scope, purpose and current assurance. Set up the source acceptance fixture: Interrupt during final submit, reopen and retry; the receipt resolves to one submission and the local draft remains until server acceptance is confirmed.</x:v>
      </x:c>
      <x:c r="F191" s="11" t="str">
        <x:v>1. Record current object revisions, policy and safe audit cursor. 2. Perform the specified interaction: The collector may save a local or server draft and sees which occurred. Resume restores the same submission identity and form version. Submit runs validation, confirms intended finality and returns a receipt; returned work starts a linked correction revision. 3. Inspect UI, canonical API read and audit/receipt for the resulting version. 4. Apply the acceptance example: Interrupt during final submit, reopen and retry; the receipt resolves to one submission and the local draft remains until server acceptance is confirmed.</x:v>
      </x:c>
      <x:c r="G191" s="11" t="str">
        <x:v>Interrupt during final submit, reopen and retry; the receipt resolves to one submission and the local draft remains until server acceptance is confirmed. Required behaviour is preserved: The collector may save a local or server draft and sees which occurred. Resume restores the same submission identity and form version. Submit runs validation, confirms intended finality and returns a receipt; returned work starts a linked correction revision.</x:v>
      </x:c>
      <x:c r="H191" s="13" t="str">
        <x:v>Not run</x:v>
      </x:c>
      <x:c r="I191" s="13" t="str"/>
      <x:c r="J191" s="13" t="str">
        <x:v>Primary owning component C05. Execute relevant channels; record actual fixture IDs and observed evidence.</x:v>
      </x:c>
    </x:row>
    <x:row r="192" ht="77" customHeight="1">
      <x:c r="A192" s="11" t="str">
        <x:v>TC-FRM-006-02</x:v>
      </x:c>
      <x:c r="B192" s="11" t="str">
        <x:v>FR-FRM-006 / BR-FRM-006 / SC01–SC08</x:v>
      </x:c>
      <x:c r="C192" s="11" t="str">
        <x:v>P0 / R1</x:v>
      </x:c>
      <x:c r="D192" s="11" t="str">
        <x:v>Save resume and correction validation and recovery</x:v>
      </x:c>
      <x:c r="E192" s="11" t="str">
        <x:v>Start from the same eligible fixture and retain the submitted draft; record the last committed head and receipt. Introduce the boundary or failure stated below.</x:v>
      </x:c>
      <x:c r="F192" s="11" t="str">
        <x:v>1. Exercise each independent condition in the validation contract, as separate recorded variants: Repeated taps reuse operation identity. Closing a browser with unsaved changes warns; a server timeout enters confirmation pending, not a new submission. 2. Inspect the safe error/state and authorised recovery actions. 3. Correct the condition and retry under current authority and expected revision. 4. Compare durable effects and audit history with the original baseline.</x:v>
      </x:c>
      <x:c r="G192" s="11" t="str">
        <x:v>Repeated taps reuse operation identity. Closing a browser with unsaved changes warns; a server timeout enters confirmation pending, not a new submission. Ordinary failed saves have no partial effect. Explicit bulk partial modes account for committed and unprocessed items. A retry does not duplicate the intended business effect.</x:v>
      </x:c>
      <x:c r="H192" s="13" t="str">
        <x:v>Not run</x:v>
      </x:c>
      <x:c r="I192" s="13" t="str"/>
      <x:c r="J192" s="13" t="str">
        <x:v>Expand multi-condition variants in the run record. Required negative coverage, not a claim that one assertion covers every security attack.</x:v>
      </x:c>
    </x:row>
    <x:row r="193" ht="103" customHeight="1">
      <x:c r="A193" s="11" t="str">
        <x:v>TC-FRM-007-01</x:v>
      </x:c>
      <x:c r="B193" s="11" t="str">
        <x:v>FR-FRM-007 / BR-FRM-007</x:v>
      </x:c>
      <x:c r="C193" s="11" t="str">
        <x:v>P1 / R1</x:v>
      </x:c>
      <x:c r="D193" s="11" t="str">
        <x:v>Media and location evidence intended outcome</x:v>
      </x:c>
      <x:c r="E193" s="11" t="str">
        <x:v>Synthetic tenant A; tenant B hidden markers; eligible actor with explicit capability, scope, purpose and current assurance. Set up the source acceptance fixture: Upload a photo with embedded coordinates while location disclosure is prohibited; the external artifact contains no recoverable coordinate metadata.</x:v>
      </x:c>
      <x:c r="F193" s="11" t="str">
        <x:v>1. Record current object revisions, policy and safe audit cursor. 2. Perform the specified interaction: Media capture displays necessity, consent and size limits before recording. Each attachment has upload progress, safety state and evidence requirement. Optional GPS refusal records unavailable or declined; mandatory justified GPS follows an explicit exception path. 3. Inspect UI, canonical API read and audit/receipt for the resulting version. 4. Apply the acceptance example: Upload a photo with embedded coordinates while location disclosure is prohibited; the external artifact contains no recoverable coordinate metadata.</x:v>
      </x:c>
      <x:c r="G193" s="11" t="str">
        <x:v>Upload a photo with embedded coordinates while location disclosure is prohibited; the external artifact contains no recoverable coordinate metadata. Required behaviour is preserved: Media capture displays necessity, consent and size limits before recording. Each attachment has upload progress, safety state and evidence requirement. Optional GPS refusal records unavailable or declined; mandatory justified GPS follows an explicit exception path.</x:v>
      </x:c>
      <x:c r="H193" s="13" t="str">
        <x:v>Not run</x:v>
      </x:c>
      <x:c r="I193" s="13" t="str"/>
      <x:c r="J193" s="13" t="str">
        <x:v>Primary owning component C05. Execute relevant channels; record actual fixture IDs and observed evidence.</x:v>
      </x:c>
    </x:row>
    <x:row r="194" ht="77" customHeight="1">
      <x:c r="A194" s="11" t="str">
        <x:v>TC-FRM-007-02</x:v>
      </x:c>
      <x:c r="B194" s="11" t="str">
        <x:v>FR-FRM-007 / BR-FRM-007 / SC01–SC08</x:v>
      </x:c>
      <x:c r="C194" s="11" t="str">
        <x:v>P1 / R1</x:v>
      </x:c>
      <x:c r="D194" s="11" t="str">
        <x:v>Media and location evidence validation and recovery</x:v>
      </x:c>
      <x:c r="E194" s="11" t="str">
        <x:v>Start from the same eligible fixture and retain the submitted draft; record the last committed head and receipt. Introduce the boundary or failure stated below.</x:v>
      </x:c>
      <x:c r="F194" s="11" t="str">
        <x:v>1. Exercise each independent condition in the validation contract, as separate recorded variants: Strip prohibited embedded metadata before approved disclosure while retaining permitted source provenance. Scanning incomplete or unsafe files prevents evidence completeness and approval. 2. Inspect the safe error/state and authorised recovery actions. 3. Correct the condition and retry under current authority and expected revision. 4. Compare durable effects and audit history with the original baseline.</x:v>
      </x:c>
      <x:c r="G194" s="11" t="str">
        <x:v>Strip prohibited embedded metadata before approved disclosure while retaining permitted source provenance. Scanning incomplete or unsafe files prevents evidence completeness and approval. Ordinary failed saves have no partial effect. Explicit bulk partial modes account for committed and unprocessed items. A retry does not duplicate the intended business effect.</x:v>
      </x:c>
      <x:c r="H194" s="13" t="str">
        <x:v>Not run</x:v>
      </x:c>
      <x:c r="I194" s="13" t="str"/>
      <x:c r="J194" s="13" t="str">
        <x:v>Expand multi-condition variants in the run record. Required negative coverage, not a claim that one assertion covers every security attack.</x:v>
      </x:c>
    </x:row>
    <x:row r="195" ht="103" customHeight="1">
      <x:c r="A195" s="11" t="str">
        <x:v>TC-FRM-008-01</x:v>
      </x:c>
      <x:c r="B195" s="11" t="str">
        <x:v>FR-FRM-008 / BR-FRM-008</x:v>
      </x:c>
      <x:c r="C195" s="11" t="str">
        <x:v>P1 / R2</x:v>
      </x:c>
      <x:c r="D195" s="11" t="str">
        <x:v>Respondent and public forms intended outcome</x:v>
      </x:c>
      <x:c r="E195" s="11" t="str">
        <x:v>Synthetic tenant A; tenant B hidden markers; eligible actor with explicit capability, scope, purpose and current assurance. Set up the source acceptance fixture: Submit once with a token and request a different response ID; replay is idempotent or unavailable and the other response is never shown.</x:v>
      </x:c>
      <x:c r="F195" s="11" t="str">
        <x:v>1. Record current object revisions, policy and safe audit cursor. 2. Perform the specified interaction: Self completion uses a public form or a scoped single response token with notice, expiry and permitted resume behaviour. The form exposes no participant directory. Default token permits one final submission and optional authenticated or token bound draft resume until expiry. 3. Inspect UI, canonical API read and audit/receipt for the resulting version. 4. Apply the acceptance example: Submit once with a token and request a different response ID; replay is idempotent or unavailable and the other response is never shown.</x:v>
      </x:c>
      <x:c r="G195" s="11" t="str">
        <x:v>Submit once with a token and request a different response ID; replay is idempotent or unavailable and the other response is never shown. Required behaviour is preserved: Self completion uses a public form or a scoped single response token with notice, expiry and permitted resume behaviour. The form exposes no participant directory. Default token permits one final submission and optional authenticated or token bound draft resume until expiry.</x:v>
      </x:c>
      <x:c r="H195" s="13" t="str">
        <x:v>Not run</x:v>
      </x:c>
      <x:c r="I195" s="13" t="str"/>
      <x:c r="J195" s="13" t="str">
        <x:v>Primary owning component C05. Execute relevant channels; record actual fixture IDs and observed evidence.</x:v>
      </x:c>
    </x:row>
    <x:row r="196" ht="77" customHeight="1">
      <x:c r="A196" s="11" t="str">
        <x:v>TC-FRM-008-02</x:v>
      </x:c>
      <x:c r="B196" s="11" t="str">
        <x:v>FR-FRM-008 / BR-FRM-008 / SC01–SC08</x:v>
      </x:c>
      <x:c r="C196" s="11" t="str">
        <x:v>P1 / R2</x:v>
      </x:c>
      <x:c r="D196" s="11" t="str">
        <x:v>Respondent and public forms validation and recovery</x:v>
      </x:c>
      <x:c r="E196" s="11" t="str">
        <x:v>Start from the same eligible fixture and retain the submitted draft; record the last committed head and receipt. Introduce the boundary or failure stated below.</x:v>
      </x:c>
      <x:c r="F196" s="11" t="str">
        <x:v>1. Exercise each independent condition in the validation contract, as separate recorded variants: Apply accessible abuse controls and rate limits. Receipt confirms successful submission without returning other respondents' details. Token replay cannot create duplicate results. 2. Inspect the safe error/state and authorised recovery actions. 3. Correct the condition and retry under current authority and expected revision. 4. Compare durable effects and audit history with the original baseline.</x:v>
      </x:c>
      <x:c r="G196" s="11" t="str">
        <x:v>Apply accessible abuse controls and rate limits. Receipt confirms successful submission without returning other respondents' details. Token replay cannot create duplicate results. Ordinary failed saves have no partial effect. Explicit bulk partial modes account for committed and unprocessed items. A retry does not duplicate the intended business effect.</x:v>
      </x:c>
      <x:c r="H196" s="13" t="str">
        <x:v>Not run</x:v>
      </x:c>
      <x:c r="I196" s="13" t="str"/>
      <x:c r="J196" s="13" t="str">
        <x:v>Expand multi-condition variants in the run record. Required negative coverage, not a claim that one assertion covers every security attack.</x:v>
      </x:c>
    </x:row>
    <x:row r="197" ht="103" customHeight="1">
      <x:c r="A197" s="11" t="str">
        <x:v>TC-FRM-009-01</x:v>
      </x:c>
      <x:c r="B197" s="11" t="str">
        <x:v>FR-FRM-009 / BR-FRM-009</x:v>
      </x:c>
      <x:c r="C197" s="11" t="str">
        <x:v>P1 / R2</x:v>
      </x:c>
      <x:c r="D197" s="11" t="str">
        <x:v>Longitudinal and repeat visits intended outcome</x:v>
      </x:c>
      <x:c r="E197" s="11" t="str">
        <x:v>Synthetic tenant A; tenant B hidden markers; eligible actor with explicit capability, scope, purpose and current assurance. Set up the source acceptance fixture: Record a baseline and two follow ups for one person; the analysis selects the designated window without counting all three as different participants.</x:v>
      </x:c>
      <x:c r="F197" s="11" t="str">
        <x:v>1. Record current object revisions, policy and safe audit cursor. 2. Perform the specified interaction: Repeat visit templates declare entity scope, visit type, baseline reference, expected interval and observation window. Each visit is a separate event. Permitted prior responses may be shown with their date and source, never copied as current answers by default. 3. Inspect UI, canonical API read and audit/receipt for the resulting version. 4. Apply the acceptance example: Record a baseline and two follow ups for one person; the analysis selects the designated window without counting all three as different participants.</x:v>
      </x:c>
      <x:c r="G197" s="11" t="str">
        <x:v>Record a baseline and two follow ups for one person; the analysis selects the designated window without counting all three as different participants. Required behaviour is preserved: Repeat visit templates declare entity scope, visit type, baseline reference, expected interval and observation window. Each visit is a separate event. Permitted prior responses may be shown with their date and source, never copied as current answers by default.</x:v>
      </x:c>
      <x:c r="H197" s="13" t="str">
        <x:v>Not run</x:v>
      </x:c>
      <x:c r="I197" s="13" t="str"/>
      <x:c r="J197" s="13" t="str">
        <x:v>Primary owning component C05. Execute relevant channels; record actual fixture IDs and observed evidence.</x:v>
      </x:c>
    </x:row>
    <x:row r="198" ht="77" customHeight="1">
      <x:c r="A198" s="11" t="str">
        <x:v>TC-FRM-009-02</x:v>
      </x:c>
      <x:c r="B198" s="11" t="str">
        <x:v>FR-FRM-009 / BR-FRM-009 / SC01–SC08</x:v>
      </x:c>
      <x:c r="C198" s="11" t="str">
        <x:v>P1 / R2</x:v>
      </x:c>
      <x:c r="D198" s="11" t="str">
        <x:v>Longitudinal and repeat visits validation and recovery</x:v>
      </x:c>
      <x:c r="E198" s="11" t="str">
        <x:v>Start from the same eligible fixture and retain the submitted draft; record the last committed head and receipt. Introduce the boundary or failure stated below.</x:v>
      </x:c>
      <x:c r="F198" s="11" t="str">
        <x:v>1. Exercise each independent condition in the validation contract, as separate recorded variants: Outside-window visits require a reason and an analysis eligibility decision. Missing follow up, withdrawal and death remain distinct from zero outcomes. 2. Inspect the safe error/state and authorised recovery actions. 3. Correct the condition and retry under current authority and expected revision. 4. Compare durable effects and audit history with the original baseline.</x:v>
      </x:c>
      <x:c r="G198" s="11" t="str">
        <x:v>Outside-window visits require a reason and an analysis eligibility decision. Missing follow up, withdrawal and death remain distinct from zero outcomes. Ordinary failed saves have no partial effect. Explicit bulk partial modes account for committed and unprocessed items. A retry does not duplicate the intended business effect.</x:v>
      </x:c>
      <x:c r="H198" s="13" t="str">
        <x:v>Not run</x:v>
      </x:c>
      <x:c r="I198" s="13" t="str"/>
      <x:c r="J198" s="13" t="str">
        <x:v>Expand multi-condition variants in the run record. Required negative coverage, not a claim that one assertion covers every security attack.</x:v>
      </x:c>
    </x:row>
    <x:row r="199" ht="103" customHeight="1">
      <x:c r="A199" s="11" t="str">
        <x:v>TC-FRM-010-01</x:v>
      </x:c>
      <x:c r="B199" s="11" t="str">
        <x:v>FR-FRM-010 / BR-FRM-010</x:v>
      </x:c>
      <x:c r="C199" s="11" t="str">
        <x:v>P1 / R1</x:v>
      </x:c>
      <x:c r="D199" s="11" t="str">
        <x:v>Instrument testing and reuse intended outcome</x:v>
      </x:c>
      <x:c r="E199" s="11" t="str">
        <x:v>Synthetic tenant A; tenant B hidden markers; eligible actor with explicit capability, scope, purpose and current assurance. Set up the source acceptance fixture: Exercise two skip branches and one repeat boundary, publish the form and verify all synthetic responses remain outside production counts.</x:v>
      </x:c>
      <x:c r="F199" s="11" t="str">
        <x:v>1. Record current object revisions, policy and safe audit cursor. 2. Perform the specified interaction: Form testing uses synthetic submissions, branch coverage, boundary answers, translations and device previews. Results identify unvisited logic branches and validation failures. Copying a question library pins the selected version and allows permitted local adaptation. 3. Inspect UI, canonical API read and audit/receipt for the resulting version. 4. Apply the acceptance example: Exercise two skip branches and one repeat boundary, publish the form and verify all synthetic responses remain outside production counts.</x:v>
      </x:c>
      <x:c r="G199" s="11" t="str">
        <x:v>Exercise two skip branches and one repeat boundary, publish the form and verify all synthetic responses remain outside production counts. Required behaviour is preserved: Form testing uses synthetic submissions, branch coverage, boundary answers, translations and device previews. Results identify unvisited logic branches and validation failures. Copying a question library pins the selected version and allows permitted local adaptation.</x:v>
      </x:c>
      <x:c r="H199" s="13" t="str">
        <x:v>Not run</x:v>
      </x:c>
      <x:c r="I199" s="13" t="str"/>
      <x:c r="J199" s="13" t="str">
        <x:v>Primary owning component C05. Execute relevant channels; record actual fixture IDs and observed evidence.</x:v>
      </x:c>
    </x:row>
    <x:row r="200" ht="77" customHeight="1">
      <x:c r="A200" s="11" t="str">
        <x:v>TC-FRM-010-02</x:v>
      </x:c>
      <x:c r="B200" s="11" t="str">
        <x:v>FR-FRM-010 / BR-FRM-010 / SC01–SC08</x:v>
      </x:c>
      <x:c r="C200" s="11" t="str">
        <x:v>P1 / R1</x:v>
      </x:c>
      <x:c r="D200" s="11" t="str">
        <x:v>Instrument testing and reuse validation and recovery</x:v>
      </x:c>
      <x:c r="E200" s="11" t="str">
        <x:v>Start from the same eligible fixture and retain the submitted draft; record the last committed head and receipt. Introduce the boundary or failure stated below.</x:v>
      </x:c>
      <x:c r="F200" s="11" t="str">
        <x:v>1. Exercise each independent condition in the validation contract, as separate recorded variants: No test submission may enter official datasets or trigger real respondent messages. Publish requires passing mandatory path checks and independent instrument review. 2. Inspect the safe error/state and authorised recovery actions. 3. Correct the condition and retry under current authority and expected revision. 4. Compare durable effects and audit history with the original baseline.</x:v>
      </x:c>
      <x:c r="G200" s="11" t="str">
        <x:v>No test submission may enter official datasets or trigger real respondent messages. Publish requires passing mandatory path checks and independent instrument review. Ordinary failed saves have no partial effect. Explicit bulk partial modes account for committed and unprocessed items. A retry does not duplicate the intended business effect.</x:v>
      </x:c>
      <x:c r="H200" s="13" t="str">
        <x:v>Not run</x:v>
      </x:c>
      <x:c r="I200" s="13" t="str"/>
      <x:c r="J200" s="13" t="str">
        <x:v>Expand multi-condition variants in the run record. Required negative coverage, not a claim that one assertion covers every security attack.</x:v>
      </x:c>
    </x:row>
    <x:row r="201" ht="103" customHeight="1">
      <x:c r="A201" s="11" t="str">
        <x:v>TC-OFF-001-01</x:v>
      </x:c>
      <x:c r="B201" s="11" t="str">
        <x:v>FR-OFF-001 / BR-OFF-001</x:v>
      </x:c>
      <x:c r="C201" s="11" t="str">
        <x:v>P0 / R1</x:v>
      </x:c>
      <x:c r="D201" s="11" t="str">
        <x:v>Offline task packages intended outcome</x:v>
      </x:c>
      <x:c r="E201" s="11" t="str">
        <x:v>Synthetic tenant A; tenant B hidden markers; eligible actor with explicit capability, scope, purpose and current assurance. Set up the source acceptance fixture: Download three assigned households and go offline; the collector can complete those forms but cannot browse a fourth unassigned household.</x:v>
      </x:c>
      <x:c r="F201" s="11" t="str">
        <x:v>1. Record current object revisions, policy and safe audit cursor. 2. Perform the specified interaction: An authenticated collector selects assigned work to package. Preview lists form versions, minimal reference fields, media size and expiry. The download binds actor, tenant, device workspace and policy version; successful local preparation is confirmed before field departure. 3. Inspect UI, canonical API read and audit/receipt for the resulting version. 4. Apply the acceptance example: Download three assigned households and go offline; the collector can complete those forms but cannot browse a fourth unassigned household.</x:v>
      </x:c>
      <x:c r="G201" s="11" t="str">
        <x:v>Download three assigned households and go offline; the collector can complete those forms but cannot browse a fourth unassigned household. Required behaviour is preserved: An authenticated collector selects assigned work to package. Preview lists form versions, minimal reference fields, media size and expiry. The download binds actor, tenant, device workspace and policy version; successful local preparation is confirmed before field departure.</x:v>
      </x:c>
      <x:c r="H201" s="13" t="str">
        <x:v>Not run</x:v>
      </x:c>
      <x:c r="I201" s="13" t="str"/>
      <x:c r="J201" s="13" t="str">
        <x:v>Primary owning component C05. Execute relevant channels; record actual fixture IDs and observed evidence.</x:v>
      </x:c>
    </x:row>
    <x:row r="202" ht="77" customHeight="1">
      <x:c r="A202" s="11" t="str">
        <x:v>TC-OFF-001-02</x:v>
      </x:c>
      <x:c r="B202" s="11" t="str">
        <x:v>FR-OFF-001 / BR-OFF-001 / SC01–SC08</x:v>
      </x:c>
      <x:c r="C202" s="11" t="str">
        <x:v>P0 / R1</x:v>
      </x:c>
      <x:c r="D202" s="11" t="str">
        <x:v>Offline task packages validation and recovery</x:v>
      </x:c>
      <x:c r="E202" s="11" t="str">
        <x:v>Start from the same eligible fixture and retain the submitted draft; record the last committed head and receipt. Introduce the boundary or failure stated below.</x:v>
      </x:c>
      <x:c r="F202" s="11" t="str">
        <x:v>1. Exercise each independent condition in the validation contract, as separate recorded variants: No full project registry download by default. Package renewal needs online policy verification. Expired assignments are excluded even if still visible in an old task list. 2. Inspect the safe error/state and authorised recovery actions. 3. Correct the condition and retry under current authority and expected revision. 4. Compare durable effects and audit history with the original baseline.</x:v>
      </x:c>
      <x:c r="G202" s="11" t="str">
        <x:v>No full project registry download by default. Package renewal needs online policy verification. Expired assignments are excluded even if still visible in an old task list. Ordinary failed saves have no partial effect. Explicit bulk partial modes account for committed and unprocessed items. A retry does not duplicate the intended business effect.</x:v>
      </x:c>
      <x:c r="H202" s="13" t="str">
        <x:v>Not run</x:v>
      </x:c>
      <x:c r="I202" s="13" t="str"/>
      <x:c r="J202" s="13" t="str">
        <x:v>Expand multi-condition variants in the run record. Required negative coverage, not a claim that one assertion covers every security attack.</x:v>
      </x:c>
    </x:row>
    <x:row r="203" ht="103" customHeight="1">
      <x:c r="A203" s="11" t="str">
        <x:v>TC-OFF-002-01</x:v>
      </x:c>
      <x:c r="B203" s="11" t="str">
        <x:v>FR-OFF-002 / BR-OFF-002</x:v>
      </x:c>
      <x:c r="C203" s="11" t="str">
        <x:v>P0 / R1</x:v>
      </x:c>
      <x:c r="D203" s="11" t="str">
        <x:v>Durable local capture intended outcome</x:v>
      </x:c>
      <x:c r="E203" s="11" t="str">
        <x:v>Synthetic tenant A; tenant B hidden markers; eligible actor with explicit capability, scope, purpose and current assurance. Set up the source acceptance fixture: Restart during an attachment save and confirm the saved answers survive, the incomplete file is flagged and no false server received status appears.</x:v>
      </x:c>
      <x:c r="F203" s="11" t="str">
        <x:v>1. Record current object revisions, policy and safe audit cursor. 2. Perform the specified interaction: Every local save returns a device receipt and safe status. The client persists drafts, stable IDs and attachment references within the qualified device profile. Restart recovery lists recovered work and any incomplete local writes; storage warnings appear before capture becomes unsafe. 3. Inspect UI, canonical API read and audit/receipt for the resulting version. 4. Apply the acceptance example: Restart during an attachment save and confirm the saved answers survive, the incomplete file is flagged and no false server received status appears.</x:v>
      </x:c>
      <x:c r="G203" s="11" t="str">
        <x:v>Restart during an attachment save and confirm the saved answers survive, the incomplete file is flagged and no false server received status appears. Required behaviour is preserved: Every local save returns a device receipt and safe status. The client persists drafts, stable IDs and attachment references within the qualified device profile. Restart recovery lists recovered work and any incomplete local writes; storage warnings appear before capture becomes unsafe.</x:v>
      </x:c>
      <x:c r="H203" s="13" t="str">
        <x:v>Not run</x:v>
      </x:c>
      <x:c r="I203" s="13" t="str"/>
      <x:c r="J203" s="13" t="str">
        <x:v>Primary owning component C05. Execute relevant channels; record actual fixture IDs and observed evidence.</x:v>
      </x:c>
    </x:row>
    <x:row r="204" ht="77" customHeight="1">
      <x:c r="A204" s="11" t="str">
        <x:v>TC-OFF-002-02</x:v>
      </x:c>
      <x:c r="B204" s="11" t="str">
        <x:v>FR-OFF-002 / BR-OFF-002 / SC01–SC08</x:v>
      </x:c>
      <x:c r="C204" s="11" t="str">
        <x:v>P0 / R1</x:v>
      </x:c>
      <x:c r="D204" s="11" t="str">
        <x:v>Durable local capture validation and recovery</x:v>
      </x:c>
      <x:c r="E204" s="11" t="str">
        <x:v>Start from the same eligible fixture and retain the submitted draft; record the last committed head and receipt. Introduce the boundary or failure stated below.</x:v>
      </x:c>
      <x:c r="F204" s="11" t="str">
        <x:v>1. Exercise each independent condition in the validation contract, as separate recorded variants: A local acknowledgement is not server durability. If secure durable storage cannot be qualified on a client, disable sensitive offline collection and show the supported alternative. 2. Inspect the safe error/state and authorised recovery actions. 3. Correct the condition and retry under current authority and expected revision. 4. Compare durable effects and audit history with the original baseline.</x:v>
      </x:c>
      <x:c r="G204" s="11" t="str">
        <x:v>A local acknowledgement is not server durability. If secure durable storage cannot be qualified on a client, disable sensitive offline collection and show the supported alternative. Ordinary failed saves have no partial effect. Explicit bulk partial modes account for committed and unprocessed items. A retry does not duplicate the intended business effect.</x:v>
      </x:c>
      <x:c r="H204" s="13" t="str">
        <x:v>Not run</x:v>
      </x:c>
      <x:c r="I204" s="13" t="str"/>
      <x:c r="J204" s="13" t="str">
        <x:v>Expand multi-condition variants in the run record. Required negative coverage, not a claim that one assertion covers every security attack.</x:v>
      </x:c>
    </x:row>
    <x:row r="205" ht="103" customHeight="1">
      <x:c r="A205" s="11" t="str">
        <x:v>TC-OFF-003-01</x:v>
      </x:c>
      <x:c r="B205" s="11" t="str">
        <x:v>FR-OFF-003 / BR-OFF-003</x:v>
      </x:c>
      <x:c r="C205" s="11" t="str">
        <x:v>P0 / R1</x:v>
      </x:c>
      <x:c r="D205" s="11" t="str">
        <x:v>Idempotent synchronisation intended outcome</x:v>
      </x:c>
      <x:c r="E205" s="11" t="str">
        <x:v>Synthetic tenant A; tenant B hidden markers; eligible actor with explicit capability, scope, purpose and current assurance. Set up the source acceptance fixture: Interrupt the same batch five times; each intended submission has one identity and missing media remains visibly incomplete.</x:v>
      </x:c>
      <x:c r="F205" s="11" t="str">
        <x:v>1. Record current object revisions, policy and safe audit cursor. 2. Perform the specified interaction: Sync uploads the submission identity, base revision, form version, grant context and media manifest. The server responds per item with accepted, duplicate, conflict, quarantined or rejected. Media chunks resume independently; final completeness waits for required files and checks. 3. Inspect UI, canonical API read and audit/receipt for the resulting version. 4. Apply the acceptance example: Interrupt the same batch five times; each intended submission has one identity and missing media remains visibly incomplete.</x:v>
      </x:c>
      <x:c r="G205" s="11" t="str">
        <x:v>Interrupt the same batch five times; each intended submission has one identity and missing media remains visibly incomplete. Required behaviour is preserved: Sync uploads the submission identity, base revision, form version, grant context and media manifest. The server responds per item with accepted, duplicate, conflict, quarantined or rejected. Media chunks resume independently; final completeness waits for required files and checks.</x:v>
      </x:c>
      <x:c r="H205" s="13" t="str">
        <x:v>Not run</x:v>
      </x:c>
      <x:c r="I205" s="13" t="str"/>
      <x:c r="J205" s="13" t="str">
        <x:v>Primary owning component C05. Execute relevant channels; record actual fixture IDs and observed evidence.</x:v>
      </x:c>
    </x:row>
    <x:row r="206" ht="77" customHeight="1">
      <x:c r="A206" s="11" t="str">
        <x:v>TC-OFF-003-02</x:v>
      </x:c>
      <x:c r="B206" s="11" t="str">
        <x:v>FR-OFF-003 / BR-OFF-003 / SC01–SC08</x:v>
      </x:c>
      <x:c r="C206" s="11" t="str">
        <x:v>P0 / R1</x:v>
      </x:c>
      <x:c r="D206" s="11" t="str">
        <x:v>Idempotent synchronisation validation and recovery</x:v>
      </x:c>
      <x:c r="E206" s="11" t="str">
        <x:v>Start from the same eligible fixture and retain the submitted draft; record the last committed head and receipt. Introduce the boundary or failure stated below.</x:v>
      </x:c>
      <x:c r="F206" s="11" t="str">
        <x:v>1. Exercise each independent condition in the validation contract, as separate recorded variants: Retain local receipt until server reconciliation completes. Repeat identical submissions resolve to the same server object even after ordinary interactive operation receipts expire. 2. Inspect the safe error/state and authorised recovery actions. 3. Correct the condition and retry under current authority and expected revision. 4. Compare durable effects and audit history with the original baseline.</x:v>
      </x:c>
      <x:c r="G206" s="11" t="str">
        <x:v>Retain local receipt until server reconciliation completes. Repeat identical submissions resolve to the same server object even after ordinary interactive operation receipts expire. Ordinary failed saves have no partial effect. Explicit bulk partial modes account for committed and unprocessed items. A retry does not duplicate the intended business effect.</x:v>
      </x:c>
      <x:c r="H206" s="13" t="str">
        <x:v>Not run</x:v>
      </x:c>
      <x:c r="I206" s="13" t="str"/>
      <x:c r="J206" s="13" t="str">
        <x:v>Expand multi-condition variants in the run record. Required negative coverage, not a claim that one assertion covers every security attack.</x:v>
      </x:c>
    </x:row>
    <x:row r="207" ht="103" customHeight="1">
      <x:c r="A207" s="11" t="str">
        <x:v>TC-OFF-004-01</x:v>
      </x:c>
      <x:c r="B207" s="11" t="str">
        <x:v>FR-OFF-004 / BR-OFF-004</x:v>
      </x:c>
      <x:c r="C207" s="11" t="str">
        <x:v>P0 / R1</x:v>
      </x:c>
      <x:c r="D207" s="11" t="str">
        <x:v>Conflict handling intended outcome</x:v>
      </x:c>
      <x:c r="E207" s="11" t="str">
        <x:v>Synthetic tenant A; tenant B hidden markers; eligible actor with explicit capability, scope, purpose and current assurance. Set up the source acceptance fixture: Two devices alter the same visit and one uses an obsolete form; both candidates remain visible to the resolver with their distinct versions.</x:v>
      </x:c>
      <x:c r="F207" s="11" t="str">
        <x:v>1. Record current object revisions, policy and safe audit cursor. 2. Perform the specified interaction: On concurrent edits, the server preserves both candidate revisions and identifies the common base. An authorised resolver compares permitted fields, chooses values or creates a merged revision, supplies reason and resubmits through validation and approval. 3. Inspect UI, canonical API read and audit/receipt for the resulting version. 4. Apply the acceptance example: Two devices alter the same visit and one uses an obsolete form; both candidates remain visible to the resolver with their distinct versions.</x:v>
      </x:c>
      <x:c r="G207" s="11" t="str">
        <x:v>Two devices alter the same visit and one uses an obsolete form; both candidates remain visible to the resolver with their distinct versions. Required behaviour is preserved: On concurrent edits, the server preserves both candidate revisions and identifies the common base. An authorised resolver compares permitted fields, chooses values or creates a merged revision, supplies reason and resubmits through validation and approval.</x:v>
      </x:c>
      <x:c r="H207" s="13" t="str">
        <x:v>Not run</x:v>
      </x:c>
      <x:c r="I207" s="13" t="str"/>
      <x:c r="J207" s="13" t="str">
        <x:v>Primary owning component C05. Execute relevant channels; record actual fixture IDs and observed evidence.</x:v>
      </x:c>
    </x:row>
    <x:row r="208" ht="77" customHeight="1">
      <x:c r="A208" s="11" t="str">
        <x:v>TC-OFF-004-02</x:v>
      </x:c>
      <x:c r="B208" s="11" t="str">
        <x:v>FR-OFF-004 / BR-OFF-004 / SC01–SC08</x:v>
      </x:c>
      <x:c r="C208" s="11" t="str">
        <x:v>P0 / R1</x:v>
      </x:c>
      <x:c r="D208" s="11" t="str">
        <x:v>Conflict handling validation and recovery</x:v>
      </x:c>
      <x:c r="E208" s="11" t="str">
        <x:v>Start from the same eligible fixture and retain the submitted draft; record the last committed head and receipt. Introduce the boundary or failure stated below.</x:v>
      </x:c>
      <x:c r="F208" s="11" t="str">
        <x:v>1. Exercise each independent condition in the validation contract, as separate recorded variants: No automatic last device wins. Identity duplicates, reassigned tasks and obsolete forms use specific conflict categories; existing approved data is not overwritten. 2. Inspect the safe error/state and authorised recovery actions. 3. Correct the condition and retry under current authority and expected revision. 4. Compare durable effects and audit history with the original baseline.</x:v>
      </x:c>
      <x:c r="G208" s="11" t="str">
        <x:v>No automatic last device wins. Identity duplicates, reassigned tasks and obsolete forms use specific conflict categories; existing approved data is not overwritten. Ordinary failed saves have no partial effect. Explicit bulk partial modes account for committed and unprocessed items. A retry does not duplicate the intended business effect.</x:v>
      </x:c>
      <x:c r="H208" s="13" t="str">
        <x:v>Not run</x:v>
      </x:c>
      <x:c r="I208" s="13" t="str"/>
      <x:c r="J208" s="13" t="str">
        <x:v>Expand multi-condition variants in the run record. Required negative coverage, not a claim that one assertion covers every security attack.</x:v>
      </x:c>
    </x:row>
    <x:row r="209" ht="103" customHeight="1">
      <x:c r="A209" s="11" t="str">
        <x:v>TC-OFF-005-01</x:v>
      </x:c>
      <x:c r="B209" s="11" t="str">
        <x:v>FR-OFF-005 / BR-OFF-005</x:v>
      </x:c>
      <x:c r="C209" s="11" t="str">
        <x:v>P0 / R1</x:v>
      </x:c>
      <x:c r="D209" s="11" t="str">
        <x:v>Device protection and expiry intended outcome</x:v>
      </x:c>
      <x:c r="E209" s="11" t="str">
        <x:v>Synthetic tenant A; tenant B hidden markers; eligible actor with explicit capability, scope, purpose and current assurance. Set up the source acceptance fixture: Revoke a disconnected collector, advance beyond the grant expiry and reconnect; viewing is blocked locally and uploads are rejected or explicitly quarantined.</x:v>
      </x:c>
      <x:c r="F209" s="11" t="str">
        <x:v>1. Record current object revisions, policy and safe audit cursor. 2. Perform the specified interaction: Offline unlock requires the qualified local authentication policy. Expiry prevents further protected viewing or capture under that grant; reconnect applies current revocation before accepting new work. Package removal and remote wipe requests report requested, confirmed or unknown outcomes. 3. Inspect UI, canonical API read and audit/receipt for the resulting version. 4. Apply the acceptance example: Revoke a disconnected collector, advance beyond the grant expiry and reconnect; viewing is blocked locally and uploads are rejected or explicitly quarantined.</x:v>
      </x:c>
      <x:c r="G209" s="11" t="str">
        <x:v>Revoke a disconnected collector, advance beyond the grant expiry and reconnect; viewing is blocked locally and uploads are rejected or explicitly quarantined. Required behaviour is preserved: Offline unlock requires the qualified local authentication policy. Expiry prevents further protected viewing or capture under that grant; reconnect applies current revocation before accepting new work. Package removal and remote wipe requests report requested, confirmed or unknown outcomes.</x:v>
      </x:c>
      <x:c r="H209" s="13" t="str">
        <x:v>Not run</x:v>
      </x:c>
      <x:c r="I209" s="13" t="str"/>
      <x:c r="J209" s="13" t="str">
        <x:v>Primary owning component C05. Execute relevant channels; record actual fixture IDs and observed evidence.</x:v>
      </x:c>
    </x:row>
    <x:row r="210" ht="90" customHeight="1">
      <x:c r="A210" s="11" t="str">
        <x:v>TC-OFF-005-02</x:v>
      </x:c>
      <x:c r="B210" s="11" t="str">
        <x:v>FR-OFF-005 / BR-OFF-005 / SC01–SC08</x:v>
      </x:c>
      <x:c r="C210" s="11" t="str">
        <x:v>P0 / R1</x:v>
      </x:c>
      <x:c r="D210" s="11" t="str">
        <x:v>Device protection and expiry validation and recovery</x:v>
      </x:c>
      <x:c r="E210" s="11" t="str">
        <x:v>Start from the same eligible fixture and retain the submitted draft; record the last committed head and receipt. Introduce the boundary or failure stated below.</x:v>
      </x:c>
      <x:c r="F210" s="11" t="str">
        <x:v>1. Exercise each independent condition in the validation contract, as separate recorded variants: Client clock rollback must not extend the verified authority window. Expired or revoked uploads enter restricted quarantine only under an approved recovery policy; they never become approved data automatically. 2. Inspect the safe error/state and authorised recovery actions. 3. Correct the condition and retry under current authority and expected revision. 4. Compare durable effects and audit history with the original baseline.</x:v>
      </x:c>
      <x:c r="G210" s="11" t="str">
        <x:v>Client clock rollback must not extend the verified authority window. Expired or revoked uploads enter restricted quarantine only under an approved recovery policy; they never become approved data automatically. Ordinary failed saves have no partial effect. Explicit bulk partial modes account for committed and unprocessed items. A retry does not duplicate the intended business effect.</x:v>
      </x:c>
      <x:c r="H210" s="13" t="str">
        <x:v>Not run</x:v>
      </x:c>
      <x:c r="I210" s="13" t="str"/>
      <x:c r="J210" s="13" t="str">
        <x:v>Expand multi-condition variants in the run record. Required negative coverage, not a claim that one assertion covers every security attack.</x:v>
      </x:c>
    </x:row>
    <x:row r="211" ht="103" customHeight="1">
      <x:c r="A211" s="11" t="str">
        <x:v>TC-OFF-006-01</x:v>
      </x:c>
      <x:c r="B211" s="11" t="str">
        <x:v>FR-OFF-006 / BR-OFF-006</x:v>
      </x:c>
      <x:c r="C211" s="11" t="str">
        <x:v>P0 / R1</x:v>
      </x:c>
      <x:c r="D211" s="11" t="str">
        <x:v>Shared device operation intended outcome</x:v>
      </x:c>
      <x:c r="E211" s="11" t="str">
        <x:v>Synthetic tenant A; tenant B hidden markers; eligible actor with explicit capability, scope, purpose and current assurance. Set up the source acceptance fixture: Collector B signs in after A leaves two unsynced forms; B sees neither answers nor participant names and A's authorship remains unchanged.</x:v>
      </x:c>
      <x:c r="F211" s="11" t="str">
        <x:v>1. Record current object revisions, policy and safe audit cursor. 2. Perform the specified interaction: Each person uses a distinct protected local workspace. Switching accounts closes the previous workspace and displays its unsynchronised count without exposing content. Handover requires both eligible actors online or a separately qualified secure supervisor procedure. 3. Inspect UI, canonical API read and audit/receipt for the resulting version. 4. Apply the acceptance example: Collector B signs in after A leaves two unsynced forms; B sees neither answers nor participant names and A's authorship remains unchanged.</x:v>
      </x:c>
      <x:c r="G211" s="11" t="str">
        <x:v>Collector B signs in after A leaves two unsynced forms; B sees neither answers nor participant names and A's authorship remains unchanged. Required behaviour is preserved: Each person uses a distinct protected local workspace. Switching accounts closes the previous workspace and displays its unsynchronised count without exposing content. Handover requires both eligible actors online or a separately qualified secure supervisor procedure.</x:v>
      </x:c>
      <x:c r="H211" s="13" t="str">
        <x:v>Not run</x:v>
      </x:c>
      <x:c r="I211" s="13" t="str"/>
      <x:c r="J211" s="13" t="str">
        <x:v>Primary owning component C05. Execute relevant channels; record actual fixture IDs and observed evidence.</x:v>
      </x:c>
    </x:row>
    <x:row r="212" ht="77" customHeight="1">
      <x:c r="A212" s="11" t="str">
        <x:v>TC-OFF-006-02</x:v>
      </x:c>
      <x:c r="B212" s="11" t="str">
        <x:v>FR-OFF-006 / BR-OFF-006 / SC01–SC08</x:v>
      </x:c>
      <x:c r="C212" s="11" t="str">
        <x:v>P0 / R1</x:v>
      </x:c>
      <x:c r="D212" s="11" t="str">
        <x:v>Shared device operation validation and recovery</x:v>
      </x:c>
      <x:c r="E212" s="11" t="str">
        <x:v>Start from the same eligible fixture and retain the submitted draft; record the last committed head and receipt. Introduce the boundary or failure stated below.</x:v>
      </x:c>
      <x:c r="F212" s="11" t="str">
        <x:v>1. Exercise each independent condition in the validation contract, as separate recorded variants: Never transfer author identity to the next collector. Logout may lock pending work for later recovery; deleting it requires an explicit loss warning and permitted confirmation. 2. Inspect the safe error/state and authorised recovery actions. 3. Correct the condition and retry under current authority and expected revision. 4. Compare durable effects and audit history with the original baseline.</x:v>
      </x:c>
      <x:c r="G212" s="11" t="str">
        <x:v>Never transfer author identity to the next collector. Logout may lock pending work for later recovery; deleting it requires an explicit loss warning and permitted confirmation. Ordinary failed saves have no partial effect. Explicit bulk partial modes account for committed and unprocessed items. A retry does not duplicate the intended business effect.</x:v>
      </x:c>
      <x:c r="H212" s="13" t="str">
        <x:v>Not run</x:v>
      </x:c>
      <x:c r="I212" s="13" t="str"/>
      <x:c r="J212" s="13" t="str">
        <x:v>Expand multi-condition variants in the run record. Required negative coverage, not a claim that one assertion covers every security attack.</x:v>
      </x:c>
    </x:row>
    <x:row r="213" ht="103" customHeight="1">
      <x:c r="A213" s="11" t="str">
        <x:v>TC-OFF-007-01</x:v>
      </x:c>
      <x:c r="B213" s="11" t="str">
        <x:v>FR-OFF-007 / BR-OFF-007</x:v>
      </x:c>
      <x:c r="C213" s="11" t="str">
        <x:v>P1 / R1</x:v>
      </x:c>
      <x:c r="D213" s="11" t="str">
        <x:v>Sync and quality supervisor view intended outcome</x:v>
      </x:c>
      <x:c r="E213" s="11" t="str">
        <x:v>Synthetic tenant A; tenant B hidden markers; eligible actor with explicit capability, scope, purpose and current assurance. Set up the source acceptance fixture: Disconnect a device after it reported two pending forms; the view says two at last contact and unknown current state, not a live count.</x:v>
      </x:c>
      <x:c r="F213" s="11" t="str">
        <x:v>1. Record current object revisions, policy and safe audit cursor. 2. Perform the specified interaction: The supervisor view shows last contact, last reported pending count, package version, expiry, known failures and unresolved conflicts. Each value is timestamped. Supervisors can request follow up or reassignment without claiming knowledge of unseen offline activity. 3. Inspect UI, canonical API read and audit/receipt for the resulting version. 4. Apply the acceptance example: Disconnect a device after it reported two pending forms; the view says two at last contact and unknown current state, not a live count.</x:v>
      </x:c>
      <x:c r="G213" s="11" t="str">
        <x:v>Disconnect a device after it reported two pending forms; the view says two at last contact and unknown current state, not a live count. Required behaviour is preserved: The supervisor view shows last contact, last reported pending count, package version, expiry, known failures and unresolved conflicts. Each value is timestamped. Supervisors can request follow up or reassignment without claiming knowledge of unseen offline activity.</x:v>
      </x:c>
      <x:c r="H213" s="13" t="str">
        <x:v>Not run</x:v>
      </x:c>
      <x:c r="I213" s="13" t="str"/>
      <x:c r="J213" s="13" t="str">
        <x:v>Primary owning component C05. Execute relevant channels; record actual fixture IDs and observed evidence.</x:v>
      </x:c>
    </x:row>
    <x:row r="214" ht="77" customHeight="1">
      <x:c r="A214" s="11" t="str">
        <x:v>TC-OFF-007-02</x:v>
      </x:c>
      <x:c r="B214" s="11" t="str">
        <x:v>FR-OFF-007 / BR-OFF-007 / SC01–SC08</x:v>
      </x:c>
      <x:c r="C214" s="11" t="str">
        <x:v>P1 / R1</x:v>
      </x:c>
      <x:c r="D214" s="11" t="str">
        <x:v>Sync and quality supervisor view validation and recovery</x:v>
      </x:c>
      <x:c r="E214" s="11" t="str">
        <x:v>Start from the same eligible fixture and retain the submitted draft; record the last committed head and receipt. Introduce the boundary or failure stated below.</x:v>
      </x:c>
      <x:c r="F214" s="11" t="str">
        <x:v>1. Exercise each independent condition in the validation contract, as separate recorded variants: A disconnected device has unknown current progress. It is not recorded as zero completed or guaranteed wiped. Counts and locations remain within supervisor scope. 2. Inspect the safe error/state and authorised recovery actions. 3. Correct the condition and retry under current authority and expected revision. 4. Compare durable effects and audit history with the original baseline.</x:v>
      </x:c>
      <x:c r="G214" s="11" t="str">
        <x:v>A disconnected device has unknown current progress. It is not recorded as zero completed or guaranteed wiped. Counts and locations remain within supervisor scope. Ordinary failed saves have no partial effect. Explicit bulk partial modes account for committed and unprocessed items. A retry does not duplicate the intended business effect.</x:v>
      </x:c>
      <x:c r="H214" s="13" t="str">
        <x:v>Not run</x:v>
      </x:c>
      <x:c r="I214" s="13" t="str"/>
      <x:c r="J214" s="13" t="str">
        <x:v>Expand multi-condition variants in the run record. Required negative coverage, not a claim that one assertion covers every security attack.</x:v>
      </x:c>
    </x:row>
    <x:row r="215" ht="103" customHeight="1">
      <x:c r="A215" s="11" t="str">
        <x:v>TC-OFF-008-01</x:v>
      </x:c>
      <x:c r="B215" s="11" t="str">
        <x:v>FR-OFF-008 / BR-OFF-008</x:v>
      </x:c>
      <x:c r="C215" s="11" t="str">
        <x:v>P0 / R1</x:v>
      </x:c>
      <x:c r="D215" s="11" t="str">
        <x:v>Constrained connectivity intended outcome</x:v>
      </x:c>
      <x:c r="E215" s="11" t="str">
        <x:v>Synthetic tenant A; tenant B hidden markers; eligible actor with explicit capability, scope, purpose and current assurance. Set up the source acceptance fixture: Complete a form under 1 Mbps and intermittent loss; answers persist and permitted delayed media upload does not create a false complete submission.</x:v>
      </x:c>
      <x:c r="F215" s="11" t="str">
        <x:v>1. Record current object revisions, policy and safe audit cursor. 2. Perform the specified interaction: Before field departure, clients download approved languages, reference lists and form logic. Manual sync and text first upload are supported; media transfer may be deferred if policy permits. Large downloads require size disclosure and user control. 3. Inspect UI, canonical API read and audit/receipt for the resulting version. 4. Apply the acceptance example: Complete a form under 1 Mbps and intermittent loss; answers persist and permitted delayed media upload does not create a false complete submission.</x:v>
      </x:c>
      <x:c r="G215" s="11" t="str">
        <x:v>Complete a form under 1 Mbps and intermittent loss; answers persist and permitted delayed media upload does not create a false complete submission. Required behaviour is preserved: Before field departure, clients download approved languages, reference lists and form logic. Manual sync and text first upload are supported; media transfer may be deferred if policy permits. Large downloads require size disclosure and user control.</x:v>
      </x:c>
      <x:c r="H215" s="13" t="str">
        <x:v>Not run</x:v>
      </x:c>
      <x:c r="I215" s="13" t="str"/>
      <x:c r="J215" s="13" t="str">
        <x:v>Primary owning component C05. Execute relevant channels; record actual fixture IDs and observed evidence.</x:v>
      </x:c>
    </x:row>
    <x:row r="216" ht="77" customHeight="1">
      <x:c r="A216" s="11" t="str">
        <x:v>TC-OFF-008-02</x:v>
      </x:c>
      <x:c r="B216" s="11" t="str">
        <x:v>FR-OFF-008 / BR-OFF-008 / SC01–SC08</x:v>
      </x:c>
      <x:c r="C216" s="11" t="str">
        <x:v>P0 / R1</x:v>
      </x:c>
      <x:c r="D216" s="11" t="str">
        <x:v>Constrained connectivity validation and recovery</x:v>
      </x:c>
      <x:c r="E216" s="11" t="str">
        <x:v>Start from the same eligible fixture and retain the submitted draft; record the last committed head and receipt. Introduce the boundary or failure stated below.</x:v>
      </x:c>
      <x:c r="F216" s="11" t="str">
        <x:v>1. Exercise each independent condition in the validation contract, as separate recorded variants: Do not auto-download large media on constrained connections. Form logic that requires a live external lookup is labelled online only and cannot masquerade as offline capable. 2. Inspect the safe error/state and authorised recovery actions. 3. Correct the condition and retry under current authority and expected revision. 4. Compare durable effects and audit history with the original baseline.</x:v>
      </x:c>
      <x:c r="G216" s="11" t="str">
        <x:v>Do not auto-download large media on constrained connections. Form logic that requires a live external lookup is labelled online only and cannot masquerade as offline capable. Ordinary failed saves have no partial effect. Explicit bulk partial modes account for committed and unprocessed items. A retry does not duplicate the intended business effect.</x:v>
      </x:c>
      <x:c r="H216" s="13" t="str">
        <x:v>Not run</x:v>
      </x:c>
      <x:c r="I216" s="13" t="str"/>
      <x:c r="J216" s="13" t="str">
        <x:v>Expand multi-condition variants in the run record. Required negative coverage, not a claim that one assertion covers every security attack.</x:v>
      </x:c>
    </x:row>
    <x:row r="217" ht="103" customHeight="1">
      <x:c r="A217" s="11" t="str">
        <x:v>TC-DAT-001-01</x:v>
      </x:c>
      <x:c r="B217" s="11" t="str">
        <x:v>FR-DAT-001 / BR-DAT-001</x:v>
      </x:c>
      <x:c r="C217" s="11" t="str">
        <x:v>P0 / R1</x:v>
      </x:c>
      <x:c r="D217" s="11" t="str">
        <x:v>File ingestion intended outcome</x:v>
      </x:c>
      <x:c r="E217" s="11" t="str">
        <x:v>Synthetic tenant A; tenant B hidden markers; eligible actor with explicit capability, scope, purpose and current assurance. Set up the source acceptance fixture: Import 00123, a 20 digit ID, 03/04/2026 and a quoted comma; show each exact interpretation before commit.</x:v>
      </x:c>
      <x:c r="F217" s="11" t="str">
        <x:v>1. Record current object revisions, policy and safe audit cursor. 2. Perform the specified interaction: The import wizard chooses file, sheet, encoding, delimiter, header row, locale, date pattern and source key. It previews raw and interpreted values side by side before applying conversions. Identifiers default to text; formulas are imported as permitted values or rejected by declared mode. 3. Inspect UI, canonical API read and audit/receipt for the resulting version. 4. Apply the acceptance example: Import 00123, a 20 digit ID, 03/04/2026 and a quoted comma; show each exact interpretation before commit.</x:v>
      </x:c>
      <x:c r="G217" s="11" t="str">
        <x:v>Import 00123, a 20 digit ID, 03/04/2026 and a quoted comma; show each exact interpretation before commit. Required behaviour is preserved: The import wizard chooses file, sheet, encoding, delimiter, header row, locale, date pattern and source key. It previews raw and interpreted values side by side before applying conversions. Identifiers default to text; formulas are imported as permitted values or rejected by declared mode.</x:v>
      </x:c>
      <x:c r="H217" s="13" t="str">
        <x:v>Not run</x:v>
      </x:c>
      <x:c r="I217" s="13" t="str"/>
      <x:c r="J217" s="13" t="str">
        <x:v>Primary owning component C06. Execute relevant channels; record actual fixture IDs and observed evidence.</x:v>
      </x:c>
    </x:row>
    <x:row r="218" ht="77" customHeight="1">
      <x:c r="A218" s="11" t="str">
        <x:v>TC-DAT-001-02</x:v>
      </x:c>
      <x:c r="B218" s="11" t="str">
        <x:v>FR-DAT-001 / BR-DAT-001 / SC01–SC08</x:v>
      </x:c>
      <x:c r="C218" s="11" t="str">
        <x:v>P0 / R1</x:v>
      </x:c>
      <x:c r="D218" s="11" t="str">
        <x:v>File ingestion validation and recovery</x:v>
      </x:c>
      <x:c r="E218" s="11" t="str">
        <x:v>Start from the same eligible fixture and retain the submitted draft; record the last committed head and receipt. Introduce the boundary or failure stated below.</x:v>
      </x:c>
      <x:c r="F218" s="11" t="str">
        <x:v>1. Exercise each independent condition in the validation contract, as separate recorded variants: Ambiguous dates require an explicit pattern. Mixed types produce row errors; leading zeros and long IDs are preserved. File safety checks precede parsing. 2. Inspect the safe error/state and authorised recovery actions. 3. Correct the condition and retry under current authority and expected revision. 4. Compare durable effects and audit history with the original baseline.</x:v>
      </x:c>
      <x:c r="G218" s="11" t="str">
        <x:v>Ambiguous dates require an explicit pattern. Mixed types produce row errors; leading zeros and long IDs are preserved. File safety checks precede parsing. Ordinary failed saves have no partial effect. Explicit bulk partial modes account for committed and unprocessed items. A retry does not duplicate the intended business effect.</x:v>
      </x:c>
      <x:c r="H218" s="13" t="str">
        <x:v>Not run</x:v>
      </x:c>
      <x:c r="I218" s="13" t="str"/>
      <x:c r="J218" s="13" t="str">
        <x:v>Expand multi-condition variants in the run record. Required negative coverage, not a claim that one assertion covers every security attack.</x:v>
      </x:c>
    </x:row>
    <x:row r="219" ht="103" customHeight="1">
      <x:c r="A219" s="11" t="str">
        <x:v>TC-DAT-002-01</x:v>
      </x:c>
      <x:c r="B219" s="11" t="str">
        <x:v>FR-DAT-002 / BR-DAT-002</x:v>
      </x:c>
      <x:c r="C219" s="11" t="str">
        <x:v>P0 / R1</x:v>
      </x:c>
      <x:c r="D219" s="11" t="str">
        <x:v>Mapping and preview intended outcome</x:v>
      </x:c>
      <x:c r="E219" s="11" t="str">
        <x:v>Synthetic tenant A; tenant B hidden markers; eligible actor with explicit capability, scope, purpose and current assurance. Set up the source acceptance fixture: Reorder columns and rename one numeric field; the system preserves known bindings and pauses the unknown mapping instead of shifting values.</x:v>
      </x:c>
      <x:c r="F219" s="11" t="str">
        <x:v>1. Record current object revisions, policy and safe audit cursor. 2. Perform the specified interaction: A mapping version binds source field identity to destination field, type, unit and transformation. Preview shows unmatched required fields, dropped columns, conversion errors and sample outcomes. AI suggestions remain unchecked proposals until individually accepted or edited. 3. Inspect UI, canonical API read and audit/receipt for the resulting version. 4. Apply the acceptance example: Reorder columns and rename one numeric field; the system preserves known bindings and pauses the unknown mapping instead of shifting values.</x:v>
      </x:c>
      <x:c r="G219" s="11" t="str">
        <x:v>Reorder columns and rename one numeric field; the system preserves known bindings and pauses the unknown mapping instead of shifting values. Required behaviour is preserved: A mapping version binds source field identity to destination field, type, unit and transformation. Preview shows unmatched required fields, dropped columns, conversion errors and sample outcomes. AI suggestions remain unchecked proposals until individually accepted or edited.</x:v>
      </x:c>
      <x:c r="H219" s="13" t="str">
        <x:v>Not run</x:v>
      </x:c>
      <x:c r="I219" s="13" t="str"/>
      <x:c r="J219" s="13" t="str">
        <x:v>Primary owning component C06. Execute relevant channels; record actual fixture IDs and observed evidence.</x:v>
      </x:c>
    </x:row>
    <x:row r="220" ht="77" customHeight="1">
      <x:c r="A220" s="11" t="str">
        <x:v>TC-DAT-002-02</x:v>
      </x:c>
      <x:c r="B220" s="11" t="str">
        <x:v>FR-DAT-002 / BR-DAT-002 / SC01–SC08</x:v>
      </x:c>
      <x:c r="C220" s="11" t="str">
        <x:v>P0 / R1</x:v>
      </x:c>
      <x:c r="D220" s="11" t="str">
        <x:v>Mapping and preview validation and recovery</x:v>
      </x:c>
      <x:c r="E220" s="11" t="str">
        <x:v>Start from the same eligible fixture and retain the submitted draft; record the last committed head and receipt. Introduce the boundary or failure stated below.</x:v>
      </x:c>
      <x:c r="F220" s="11" t="str">
        <x:v>1. Exercise each independent condition in the validation contract, as separate recorded variants: A renamed or type changed source column requires reviewed remapping; positional column order alone is never stable identity. Preview expires when source or mapping changes. 2. Inspect the safe error/state and authorised recovery actions. 3. Correct the condition and retry under current authority and expected revision. 4. Compare durable effects and audit history with the original baseline.</x:v>
      </x:c>
      <x:c r="G220" s="11" t="str">
        <x:v>A renamed or type changed source column requires reviewed remapping; positional column order alone is never stable identity. Preview expires when source or mapping changes. Ordinary failed saves have no partial effect. Explicit bulk partial modes account for committed and unprocessed items. A retry does not duplicate the intended business effect.</x:v>
      </x:c>
      <x:c r="H220" s="13" t="str">
        <x:v>Not run</x:v>
      </x:c>
      <x:c r="I220" s="13" t="str"/>
      <x:c r="J220" s="13" t="str">
        <x:v>Expand multi-condition variants in the run record. Required negative coverage, not a claim that one assertion covers every security attack.</x:v>
      </x:c>
    </x:row>
    <x:row r="221" ht="103" customHeight="1">
      <x:c r="A221" s="11" t="str">
        <x:v>TC-DAT-003-01</x:v>
      </x:c>
      <x:c r="B221" s="11" t="str">
        <x:v>FR-DAT-003 / BR-DAT-003</x:v>
      </x:c>
      <x:c r="C221" s="11" t="str">
        <x:v>P0 / R1</x:v>
      </x:c>
      <x:c r="D221" s="11" t="str">
        <x:v>Import mode and identity intended outcome</x:v>
      </x:c>
      <x:c r="E221" s="11" t="str">
        <x:v>Synthetic tenant A; tenant B hidden markers; eligible actor with explicit capability, scope, purpose and current assurance. Set up the source acceptance fixture: Load a keyed file twice, then revise one row; the second run has no new achievement and the third creates one correction revision.</x:v>
      </x:c>
      <x:c r="F221" s="11" t="str">
        <x:v>1. Record current object revisions, policy and safe audit cursor. 2. Perform the specified interaction: The user selects append, keyed update or controlled replacement and identifies the source namespace and stable key. Preview computes inserts, revisions, unchanged duplicates and removals. Commit records original and resulting revision references for every effect. 3. Inspect UI, canonical API read and audit/receipt for the resulting version. 4. Apply the acceptance example: Load a keyed file twice, then revise one row; the second run has no new achievement and the third creates one correction revision.</x:v>
      </x:c>
      <x:c r="G221" s="11" t="str">
        <x:v>Load a keyed file twice, then revise one row; the second run has no new achievement and the third creates one correction revision. Required behaviour is preserved: The user selects append, keyed update or controlled replacement and identifies the source namespace and stable key. Preview computes inserts, revisions, unchanged duplicates and removals. Commit records original and resulting revision references for every effect.</x:v>
      </x:c>
      <x:c r="H221" s="13" t="str">
        <x:v>Not run</x:v>
      </x:c>
      <x:c r="I221" s="13" t="str"/>
      <x:c r="J221" s="13" t="str">
        <x:v>Primary owning component C06. Execute relevant channels; record actual fixture IDs and observed evidence.</x:v>
      </x:c>
    </x:row>
    <x:row r="222" ht="90" customHeight="1">
      <x:c r="A222" s="11" t="str">
        <x:v>TC-DAT-003-02</x:v>
      </x:c>
      <x:c r="B222" s="11" t="str">
        <x:v>FR-DAT-003 / BR-DAT-003 / SC01–SC08</x:v>
      </x:c>
      <x:c r="C222" s="11" t="str">
        <x:v>P0 / R1</x:v>
      </x:c>
      <x:c r="D222" s="11" t="str">
        <x:v>Import mode and identity validation and recovery</x:v>
      </x:c>
      <x:c r="E222" s="11" t="str">
        <x:v>Start from the same eligible fixture and retain the submitted draft; record the last committed head and receipt. Introduce the boundary or failure stated below.</x:v>
      </x:c>
      <x:c r="F222" s="11" t="str">
        <x:v>1. Exercise each independent condition in the validation contract, as separate recorded variants: Append without reliable keys warns that deduplication cannot establish entity uniqueness. Replacement needs explicit scope and deletion impact approval; absence from a partial file never implies deletion. 2. Inspect the safe error/state and authorised recovery actions. 3. Correct the condition and retry under current authority and expected revision. 4. Compare durable effects and audit history with the original baseline.</x:v>
      </x:c>
      <x:c r="G222" s="11" t="str">
        <x:v>Append without reliable keys warns that deduplication cannot establish entity uniqueness. Replacement needs explicit scope and deletion impact approval; absence from a partial file never implies deletion. Ordinary failed saves have no partial effect. Explicit bulk partial modes account for committed and unprocessed items. A retry does not duplicate the intended business effect.</x:v>
      </x:c>
      <x:c r="H222" s="13" t="str">
        <x:v>Not run</x:v>
      </x:c>
      <x:c r="I222" s="13" t="str"/>
      <x:c r="J222" s="13" t="str">
        <x:v>Expand multi-condition variants in the run record. Required negative coverage, not a claim that one assertion covers every security attack.</x:v>
      </x:c>
    </x:row>
    <x:row r="223" ht="103" customHeight="1">
      <x:c r="A223" s="11" t="str">
        <x:v>TC-DAT-004-01</x:v>
      </x:c>
      <x:c r="B223" s="11" t="str">
        <x:v>FR-DAT-004 / BR-DAT-004</x:v>
      </x:c>
      <x:c r="C223" s="11" t="str">
        <x:v>P0 / R1</x:v>
      </x:c>
      <x:c r="D223" s="11" t="str">
        <x:v>Validation and quarantine intended outcome</x:v>
      </x:c>
      <x:c r="E223" s="11" t="str">
        <x:v>Synthetic tenant A; tenant B hidden markers; eligible actor with explicit capability, scope, purpose and current assurance. Set up the source acceptance fixture: Load 100 rows with 90 valid, five duplicates and five invalid in partial mode; reconcile all 100 outcomes and retry only the corrected five.</x:v>
      </x:c>
      <x:c r="F223" s="11" t="str">
        <x:v>1. Record current object revisions, policy and safe audit cursor. 2. Perform the specified interaction: Validation classifies every input row as accepted insert, accepted update, unchanged duplicate, rejected, quarantined or unprocessed. Atomic mode commits no rows if any blocking row fails; partial mode commits eligible items and returns the exact manifest. 3. Inspect UI, canonical API read and audit/receipt for the resulting version. 4. Apply the acceptance example: Load 100 rows with 90 valid, five duplicates and five invalid in partial mode; reconcile all 100 outcomes and retry only the corrected five.</x:v>
      </x:c>
      <x:c r="G223" s="11" t="str">
        <x:v>Load 100 rows with 90 valid, five duplicates and five invalid in partial mode; reconcile all 100 outcomes and retry only the corrected five. Required behaviour is preserved: Validation classifies every input row as accepted insert, accepted update, unchanged duplicate, rejected, quarantined or unprocessed. Atomic mode commits no rows if any blocking row fails; partial mode commits eligible items and returns the exact manifest.</x:v>
      </x:c>
      <x:c r="H223" s="13" t="str">
        <x:v>Not run</x:v>
      </x:c>
      <x:c r="I223" s="13" t="str"/>
      <x:c r="J223" s="13" t="str">
        <x:v>Primary owning component C06. Execute relevant channels; record actual fixture IDs and observed evidence.</x:v>
      </x:c>
    </x:row>
    <x:row r="224" ht="77" customHeight="1">
      <x:c r="A224" s="11" t="str">
        <x:v>TC-DAT-004-02</x:v>
      </x:c>
      <x:c r="B224" s="11" t="str">
        <x:v>FR-DAT-004 / BR-DAT-004 / SC01–SC08</x:v>
      </x:c>
      <x:c r="C224" s="11" t="str">
        <x:v>P0 / R1</x:v>
      </x:c>
      <x:c r="D224" s="11" t="str">
        <x:v>Validation and quarantine validation and recovery</x:v>
      </x:c>
      <x:c r="E224" s="11" t="str">
        <x:v>Start from the same eligible fixture and retain the submitted draft; record the last committed head and receipt. Introduce the boundary or failure stated below.</x:v>
      </x:c>
      <x:c r="F224" s="11" t="str">
        <x:v>1. Exercise each independent condition in the validation contract, as separate recorded variants: Mode is selected before execution. Rejected rows carry safe field errors; raw input remains unchanged. Cancelled jobs identify committed rows and never claim full rollback. 2. Inspect the safe error/state and authorised recovery actions. 3. Correct the condition and retry under current authority and expected revision. 4. Compare durable effects and audit history with the original baseline.</x:v>
      </x:c>
      <x:c r="G224" s="11" t="str">
        <x:v>Mode is selected before execution. Rejected rows carry safe field errors; raw input remains unchanged. Cancelled jobs identify committed rows and never claim full rollback. Ordinary failed saves have no partial effect. Explicit bulk partial modes account for committed and unprocessed items. A retry does not duplicate the intended business effect.</x:v>
      </x:c>
      <x:c r="H224" s="13" t="str">
        <x:v>Not run</x:v>
      </x:c>
      <x:c r="I224" s="13" t="str"/>
      <x:c r="J224" s="13" t="str">
        <x:v>Expand multi-condition variants in the run record. Required negative coverage, not a claim that one assertion covers every security attack.</x:v>
      </x:c>
    </x:row>
    <x:row r="225" ht="90" customHeight="1">
      <x:c r="A225" s="11" t="str">
        <x:v>TC-DAT-005-01</x:v>
      </x:c>
      <x:c r="B225" s="11" t="str">
        <x:v>FR-DAT-005 / BR-DAT-005</x:v>
      </x:c>
      <x:c r="C225" s="11" t="str">
        <x:v>P0 / R1</x:v>
      </x:c>
      <x:c r="D225" s="11" t="str">
        <x:v>Immutable raw source intended outcome</x:v>
      </x:c>
      <x:c r="E225" s="11" t="str">
        <x:v>Synthetic tenant A; tenant B hidden markers; eligible actor with explicit capability, scope, purpose and current assurance. Set up the source acceptance fixture: Correct an interpreted date and trace the result back to the unchanged raw text and the mapping version that produced each interpretation.</x:v>
      </x:c>
      <x:c r="F225" s="11" t="str">
        <x:v>1. Record current object revisions, policy and safe audit cursor. 2. Perform the specified interaction: Receipt records the source file integrity reference, receipt time, source owner and import settings. Raw values are retained under the chosen policy separately from derived values. Lineage resolves a result to source file, sheet or payload and row key. 3. Inspect UI, canonical API read and audit/receipt for the resulting version. 4. Apply the acceptance example: Correct an interpreted date and trace the result back to the unchanged raw text and the mapping version that produced each interpretation.</x:v>
      </x:c>
      <x:c r="G225" s="11" t="str">
        <x:v>Correct an interpreted date and trace the result back to the unchanged raw text and the mapping version that produced each interpretation. Required behaviour is preserved: Receipt records the source file integrity reference, receipt time, source owner and import settings. Raw values are retained under the chosen policy separately from derived values. Lineage resolves a result to source file, sheet or payload and row key.</x:v>
      </x:c>
      <x:c r="H225" s="13" t="str">
        <x:v>Not run</x:v>
      </x:c>
      <x:c r="I225" s="13" t="str"/>
      <x:c r="J225" s="13" t="str">
        <x:v>Primary owning component C06. Execute relevant channels; record actual fixture IDs and observed evidence.</x:v>
      </x:c>
    </x:row>
    <x:row r="226" ht="77" customHeight="1">
      <x:c r="A226" s="11" t="str">
        <x:v>TC-DAT-005-02</x:v>
      </x:c>
      <x:c r="B226" s="11" t="str">
        <x:v>FR-DAT-005 / BR-DAT-005 / SC01–SC08</x:v>
      </x:c>
      <x:c r="C226" s="11" t="str">
        <x:v>P0 / R1</x:v>
      </x:c>
      <x:c r="D226" s="11" t="str">
        <x:v>Immutable raw source validation and recovery</x:v>
      </x:c>
      <x:c r="E226" s="11" t="str">
        <x:v>Start from the same eligible fixture and retain the submitted draft; record the last committed head and receipt. Introduce the boundary or failure stated below.</x:v>
      </x:c>
      <x:c r="F226" s="11" t="str">
        <x:v>1. Exercise each independent condition in the validation contract, as separate recorded variants: Raw storage is not an exemption from privacy deletion or retention. Restricted previews inherit source classification and access; original files are not broadly downloadable. 2. Inspect the safe error/state and authorised recovery actions. 3. Correct the condition and retry under current authority and expected revision. 4. Compare durable effects and audit history with the original baseline.</x:v>
      </x:c>
      <x:c r="G226" s="11" t="str">
        <x:v>Raw storage is not an exemption from privacy deletion or retention. Restricted previews inherit source classification and access; original files are not broadly downloadable. Ordinary failed saves have no partial effect. Explicit bulk partial modes account for committed and unprocessed items. A retry does not duplicate the intended business effect.</x:v>
      </x:c>
      <x:c r="H226" s="13" t="str">
        <x:v>Not run</x:v>
      </x:c>
      <x:c r="I226" s="13" t="str"/>
      <x:c r="J226" s="13" t="str">
        <x:v>Expand multi-condition variants in the run record. Required negative coverage, not a claim that one assertion covers every security attack.</x:v>
      </x:c>
    </x:row>
    <x:row r="227" ht="103" customHeight="1">
      <x:c r="A227" s="11" t="str">
        <x:v>TC-DAT-006-01</x:v>
      </x:c>
      <x:c r="B227" s="11" t="str">
        <x:v>FR-DAT-006 / BR-DAT-006</x:v>
      </x:c>
      <x:c r="C227" s="11" t="str">
        <x:v>P1 / R1</x:v>
      </x:c>
      <x:c r="D227" s="11" t="str">
        <x:v>Governed transformations intended outcome</x:v>
      </x:c>
      <x:c r="E227" s="11" t="str">
        <x:v>Synthetic tenant A; tenant B hidden markers; eligible actor with explicit capability, scope, purpose and current assurance. Set up the source acceptance fixture: Join one participant to three visits; preview shows three output rows and distinct participant count one, preventing accidental unique reach inflation.</x:v>
      </x:c>
      <x:c r="F227" s="11" t="str">
        <x:v>1. Record current object revisions, policy and safe audit cursor. 2. Perform the specified interaction: Transformation authoring supports bounded recode, derive, filter, join and reshape operations with typed schemas. Preview reports input and output counts, unmatched keys, duplicates and join cardinality. Publishing pins rule and source versions. 3. Inspect UI, canonical API read and audit/receipt for the resulting version. 4. Apply the acceptance example: Join one participant to three visits; preview shows three output rows and distinct participant count one, preventing accidental unique reach inflation.</x:v>
      </x:c>
      <x:c r="G227" s="11" t="str">
        <x:v>Join one participant to three visits; preview shows three output rows and distinct participant count one, preventing accidental unique reach inflation. Required behaviour is preserved: Transformation authoring supports bounded recode, derive, filter, join and reshape operations with typed schemas. Preview reports input and output counts, unmatched keys, duplicates and join cardinality. Publishing pins rule and source versions.</x:v>
      </x:c>
      <x:c r="H227" s="13" t="str">
        <x:v>Not run</x:v>
      </x:c>
      <x:c r="I227" s="13" t="str"/>
      <x:c r="J227" s="13" t="str">
        <x:v>Primary owning component C06. Execute relevant channels; record actual fixture IDs and observed evidence.</x:v>
      </x:c>
    </x:row>
    <x:row r="228" ht="77" customHeight="1">
      <x:c r="A228" s="11" t="str">
        <x:v>TC-DAT-006-02</x:v>
      </x:c>
      <x:c r="B228" s="11" t="str">
        <x:v>FR-DAT-006 / BR-DAT-006 / SC01–SC08</x:v>
      </x:c>
      <x:c r="C228" s="11" t="str">
        <x:v>P1 / R1</x:v>
      </x:c>
      <x:c r="D228" s="11" t="str">
        <x:v>Governed transformations validation and recovery</x:v>
      </x:c>
      <x:c r="E228" s="11" t="str">
        <x:v>Start from the same eligible fixture and retain the submitted draft; record the last committed head and receipt. Introduce the boundary or failure stated below.</x:v>
      </x:c>
      <x:c r="F228" s="11" t="str">
        <x:v>1. Exercise each independent condition in the validation contract, as separate recorded variants: R1 joins require declared one to one, one to many or many to one intent; many to many needs explicit reviewed justification. No unrestricted code execution through expressions. 2. Inspect the safe error/state and authorised recovery actions. 3. Correct the condition and retry under current authority and expected revision. 4. Compare durable effects and audit history with the original baseline.</x:v>
      </x:c>
      <x:c r="G228" s="11" t="str">
        <x:v>R1 joins require declared one to one, one to many or many to one intent; many to many needs explicit reviewed justification. No unrestricted code execution through expressions. Ordinary failed saves have no partial effect. Explicit bulk partial modes account for committed and unprocessed items. A retry does not duplicate the intended business effect.</x:v>
      </x:c>
      <x:c r="H228" s="13" t="str">
        <x:v>Not run</x:v>
      </x:c>
      <x:c r="I228" s="13" t="str"/>
      <x:c r="J228" s="13" t="str">
        <x:v>Expand multi-condition variants in the run record. Required negative coverage, not a claim that one assertion covers every security attack.</x:v>
      </x:c>
    </x:row>
    <x:row r="229" ht="90" customHeight="1">
      <x:c r="A229" s="11" t="str">
        <x:v>TC-DAT-007-01</x:v>
      </x:c>
      <x:c r="B229" s="11" t="str">
        <x:v>FR-DAT-007 / BR-DAT-007</x:v>
      </x:c>
      <x:c r="C229" s="11" t="str">
        <x:v>P0 / R1</x:v>
      </x:c>
      <x:c r="D229" s="11" t="str">
        <x:v>Schema drift intended outcome</x:v>
      </x:c>
      <x:c r="E229" s="11" t="str">
        <x:v>Synthetic tenant A; tenant B hidden markers; eligible actor with explicit capability, scope, purpose and current assurance. Set up the source acceptance fixture: Change a numerator column from decimal to free text; dependent result freshness becomes failed or stale until a reviewed mapping resolves it.</x:v>
      </x:c>
      <x:c r="F229" s="11" t="str">
        <x:v>1. Record current object revisions, policy and safe audit cursor. 2. Perform the specified interaction: Recurring loads compare the incoming schema with the approved source contract. Added optional fields may be ignored with notice; missing required, renamed, type changed or unit changed fields pause affected processing for review. 3. Inspect UI, canonical API read and audit/receipt for the resulting version. 4. Apply the acceptance example: Change a numerator column from decimal to free text; dependent result freshness becomes failed or stale until a reviewed mapping resolves it.</x:v>
      </x:c>
      <x:c r="G229" s="11" t="str">
        <x:v>Change a numerator column from decimal to free text; dependent result freshness becomes failed or stale until a reviewed mapping resolves it. Required behaviour is preserved: Recurring loads compare the incoming schema with the approved source contract. Added optional fields may be ignored with notice; missing required, renamed, type changed or unit changed fields pause affected processing for review.</x:v>
      </x:c>
      <x:c r="H229" s="13" t="str">
        <x:v>Not run</x:v>
      </x:c>
      <x:c r="I229" s="13" t="str"/>
      <x:c r="J229" s="13" t="str">
        <x:v>Primary owning component C06. Execute relevant channels; record actual fixture IDs and observed evidence.</x:v>
      </x:c>
    </x:row>
    <x:row r="230" ht="77" customHeight="1">
      <x:c r="A230" s="11" t="str">
        <x:v>TC-DAT-007-02</x:v>
      </x:c>
      <x:c r="B230" s="11" t="str">
        <x:v>FR-DAT-007 / BR-DAT-007 / SC01–SC08</x:v>
      </x:c>
      <x:c r="C230" s="11" t="str">
        <x:v>P0 / R1</x:v>
      </x:c>
      <x:c r="D230" s="11" t="str">
        <x:v>Schema drift validation and recovery</x:v>
      </x:c>
      <x:c r="E230" s="11" t="str">
        <x:v>Start from the same eligible fixture and retain the submitted draft; record the last committed head and receipt. Introduce the boundary or failure stated below.</x:v>
      </x:c>
      <x:c r="F230" s="11" t="str">
        <x:v>1. Exercise each independent condition in the validation contract, as separate recorded variants: Do not treat incompatible text as zero or silently infer a new date locale. Unaffected validated data may proceed only when partial mode was approved. 2. Inspect the safe error/state and authorised recovery actions. 3. Correct the condition and retry under current authority and expected revision. 4. Compare durable effects and audit history with the original baseline.</x:v>
      </x:c>
      <x:c r="G230" s="11" t="str">
        <x:v>Do not treat incompatible text as zero or silently infer a new date locale. Unaffected validated data may proceed only when partial mode was approved. Ordinary failed saves have no partial effect. Explicit bulk partial modes account for committed and unprocessed items. A retry does not duplicate the intended business effect.</x:v>
      </x:c>
      <x:c r="H230" s="13" t="str">
        <x:v>Not run</x:v>
      </x:c>
      <x:c r="I230" s="13" t="str"/>
      <x:c r="J230" s="13" t="str">
        <x:v>Expand multi-condition variants in the run record. Required negative coverage, not a claim that one assertion covers every security attack.</x:v>
      </x:c>
    </x:row>
    <x:row r="231" ht="103" customHeight="1">
      <x:c r="A231" s="11" t="str">
        <x:v>TC-DAT-008-01</x:v>
      </x:c>
      <x:c r="B231" s="11" t="str">
        <x:v>FR-DAT-008 / BR-DAT-008</x:v>
      </x:c>
      <x:c r="C231" s="11" t="str">
        <x:v>P1 / R1</x:v>
      </x:c>
      <x:c r="D231" s="11" t="str">
        <x:v>Data catalogue and lineage intended outcome</x:v>
      </x:c>
      <x:c r="E231" s="11" t="str">
        <x:v>Synthetic tenant A; tenant B hidden markers; eligible actor with explicit capability, scope, purpose and current assurance. Set up the source acceptance fixture: Select a stale dataset and identify affected authorised reports without exposing a restricted programme that also consumes the source.</x:v>
      </x:c>
      <x:c r="F231" s="11" t="str">
        <x:v>1. Record current object revisions, policy and safe audit cursor. 2. Perform the specified interaction: Catalogue results contain permitted name, owner, purpose, schema, coverage, classification, quality and freshness. Lineage traversal follows authorised source, transformation, result and report dependencies. A user can inspect impact before correction or retirement. 3. Inspect UI, canonical API read and audit/receipt for the resulting version. 4. Apply the acceptance example: Select a stale dataset and identify affected authorised reports without exposing a restricted programme that also consumes the source.</x:v>
      </x:c>
      <x:c r="G231" s="11" t="str">
        <x:v>Select a stale dataset and identify affected authorised reports without exposing a restricted programme that also consumes the source. Required behaviour is preserved: Catalogue results contain permitted name, owner, purpose, schema, coverage, classification, quality and freshness. Lineage traversal follows authorised source, transformation, result and report dependencies. A user can inspect impact before correction or retirement.</x:v>
      </x:c>
      <x:c r="H231" s="13" t="str">
        <x:v>Not run</x:v>
      </x:c>
      <x:c r="I231" s="13" t="str"/>
      <x:c r="J231" s="13" t="str">
        <x:v>Primary owning component C06. Execute relevant channels; record actual fixture IDs and observed evidence.</x:v>
      </x:c>
    </x:row>
    <x:row r="232" ht="77" customHeight="1">
      <x:c r="A232" s="11" t="str">
        <x:v>TC-DAT-008-02</x:v>
      </x:c>
      <x:c r="B232" s="11" t="str">
        <x:v>FR-DAT-008 / BR-DAT-008 / SC01–SC08</x:v>
      </x:c>
      <x:c r="C232" s="11" t="str">
        <x:v>P1 / R1</x:v>
      </x:c>
      <x:c r="D232" s="11" t="str">
        <x:v>Data catalogue and lineage validation and recovery</x:v>
      </x:c>
      <x:c r="E232" s="11" t="str">
        <x:v>Start from the same eligible fixture and retain the submitted draft; record the last committed head and receipt. Introduce the boundary or failure stated below.</x:v>
      </x:c>
      <x:c r="F232" s="11" t="str">
        <x:v>1. Exercise each independent condition in the validation contract, as separate recorded variants: Do not reveal hidden source names or counts through lineage edges. A permitted derivative may show a withheld source reference under its disclosure contract. 2. Inspect the safe error/state and authorised recovery actions. 3. Correct the condition and retry under current authority and expected revision. 4. Compare durable effects and audit history with the original baseline.</x:v>
      </x:c>
      <x:c r="G232" s="11" t="str">
        <x:v>Do not reveal hidden source names or counts through lineage edges. A permitted derivative may show a withheld source reference under its disclosure contract. Ordinary failed saves have no partial effect. Explicit bulk partial modes account for committed and unprocessed items. A retry does not duplicate the intended business effect.</x:v>
      </x:c>
      <x:c r="H232" s="13" t="str">
        <x:v>Not run</x:v>
      </x:c>
      <x:c r="I232" s="13" t="str"/>
      <x:c r="J232" s="13" t="str">
        <x:v>Expand multi-condition variants in the run record. Required negative coverage, not a claim that one assertion covers every security attack.</x:v>
      </x:c>
    </x:row>
    <x:row r="233" ht="103" customHeight="1">
      <x:c r="A233" s="11" t="str">
        <x:v>TC-DAT-009-01</x:v>
      </x:c>
      <x:c r="B233" s="11" t="str">
        <x:v>FR-DAT-009 / BR-DAT-009</x:v>
      </x:c>
      <x:c r="C233" s="11" t="str">
        <x:v>P0 / R1</x:v>
      </x:c>
      <x:c r="D233" s="11" t="str">
        <x:v>Data editing and amendments intended outcome</x:v>
      </x:c>
      <x:c r="E233" s="11" t="str">
        <x:v>Synthetic tenant A; tenant B hidden markers; eligible actor with explicit capability, scope, purpose and current assurance. Set up the source acceptance fixture: Correct an approved unit from kilograms to tonnes and verify impacted indicators are recalculated under reviewed semantics, with old reports frozen.</x:v>
      </x:c>
      <x:c r="F233" s="11" t="str">
        <x:v>1. Record current object revisions, policy and safe audit cursor. 2. Perform the specified interaction: An amendment captures object revision, proposed values, reason and scope. Approved source changes retain earlier values where lawful and create a new revision requiring the relevant review. Bulk correction uses itemised preview and outcome receipts. 3. Inspect UI, canonical API read and audit/receipt for the resulting version. 4. Apply the acceptance example: Correct an approved unit from kilograms to tonnes and verify impacted indicators are recalculated under reviewed semantics, with old reports frozen.</x:v>
      </x:c>
      <x:c r="G233" s="11" t="str">
        <x:v>Correct an approved unit from kilograms to tonnes and verify impacted indicators are recalculated under reviewed semantics, with old reports frozen. Required behaviour is preserved: An amendment captures object revision, proposed values, reason and scope. Approved source changes retain earlier values where lawful and create a new revision requiring the relevant review. Bulk correction uses itemised preview and outcome receipts.</x:v>
      </x:c>
      <x:c r="H233" s="13" t="str">
        <x:v>Not run</x:v>
      </x:c>
      <x:c r="I233" s="13" t="str"/>
      <x:c r="J233" s="13" t="str">
        <x:v>Primary owning component C06. Execute relevant channels; record actual fixture IDs and observed evidence.</x:v>
      </x:c>
    </x:row>
    <x:row r="234" ht="77" customHeight="1">
      <x:c r="A234" s="11" t="str">
        <x:v>TC-DAT-009-02</x:v>
      </x:c>
      <x:c r="B234" s="11" t="str">
        <x:v>FR-DAT-009 / BR-DAT-009 / SC01–SC08</x:v>
      </x:c>
      <x:c r="C234" s="11" t="str">
        <x:v>P0 / R1</x:v>
      </x:c>
      <x:c r="D234" s="11" t="str">
        <x:v>Data editing and amendments validation and recovery</x:v>
      </x:c>
      <x:c r="E234" s="11" t="str">
        <x:v>Start from the same eligible fixture and retain the submitted draft; record the last committed head and receipt. Introduce the boundary or failure stated below.</x:v>
      </x:c>
      <x:c r="F234" s="11" t="str">
        <x:v>1. Exercise each independent condition in the validation contract, as separate recorded variants: A user cannot edit calculated actuals through dataset correction. Deletion or minimisation policy may retain only a permitted change marker instead of sensitive before and after values. 2. Inspect the safe error/state and authorised recovery actions. 3. Correct the condition and retry under current authority and expected revision. 4. Compare durable effects and audit history with the original baseline.</x:v>
      </x:c>
      <x:c r="G234" s="11" t="str">
        <x:v>A user cannot edit calculated actuals through dataset correction. Deletion or minimisation policy may retain only a permitted change marker instead of sensitive before and after values. Ordinary failed saves have no partial effect. Explicit bulk partial modes account for committed and unprocessed items. A retry does not duplicate the intended business effect.</x:v>
      </x:c>
      <x:c r="H234" s="13" t="str">
        <x:v>Not run</x:v>
      </x:c>
      <x:c r="I234" s="13" t="str"/>
      <x:c r="J234" s="13" t="str">
        <x:v>Expand multi-condition variants in the run record. Required negative coverage, not a claim that one assertion covers every security attack.</x:v>
      </x:c>
    </x:row>
    <x:row r="235" ht="90" customHeight="1">
      <x:c r="A235" s="11" t="str">
        <x:v>TC-DAT-010-01</x:v>
      </x:c>
      <x:c r="B235" s="11" t="str">
        <x:v>FR-DAT-010 / BR-DAT-010</x:v>
      </x:c>
      <x:c r="C235" s="11" t="str">
        <x:v>P1 / R1</x:v>
      </x:c>
      <x:c r="D235" s="11" t="str">
        <x:v>Refresh scheduling and freshness intended outcome</x:v>
      </x:c>
      <x:c r="E235" s="11" t="str">
        <x:v>Synthetic tenant A; tenant B hidden markers; eligible actor with explicit capability, scope, purpose and current assurance. Set up the source acceptance fixture: Fetch succeeds but validation fails; source health distinguishes the two and dependent dashboards do not show a fresh approved result.</x:v>
      </x:c>
      <x:c r="F235" s="11" t="str">
        <x:v>1. Record current object revisions, policy and safe audit cursor. 2. Perform the specified interaction: Each source records cadence, zone, next run, last received, last validated and last approved data times. Schedule changes preview affected runs. Dashboards display the relevant freshness stage rather than equating a successful fetch with usable data. 3. Inspect UI, canonical API read and audit/receipt for the resulting version. 4. Apply the acceptance example: Fetch succeeds but validation fails; source health distinguishes the two and dependent dashboards do not show a fresh approved result.</x:v>
      </x:c>
      <x:c r="G235" s="11" t="str">
        <x:v>Fetch succeeds but validation fails; source health distinguishes the two and dependent dashboards do not show a fresh approved result. Required behaviour is preserved: Each source records cadence, zone, next run, last received, last validated and last approved data times. Schedule changes preview affected runs. Dashboards display the relevant freshness stage rather than equating a successful fetch with usable data.</x:v>
      </x:c>
      <x:c r="H235" s="13" t="str">
        <x:v>Not run</x:v>
      </x:c>
      <x:c r="I235" s="13" t="str"/>
      <x:c r="J235" s="13" t="str">
        <x:v>Primary owning component C06. Execute relevant channels; record actual fixture IDs and observed evidence.</x:v>
      </x:c>
    </x:row>
    <x:row r="236" ht="90" customHeight="1">
      <x:c r="A236" s="11" t="str">
        <x:v>TC-DAT-010-02</x:v>
      </x:c>
      <x:c r="B236" s="11" t="str">
        <x:v>FR-DAT-010 / BR-DAT-010 / SC01–SC08</x:v>
      </x:c>
      <x:c r="C236" s="11" t="str">
        <x:v>P1 / R1</x:v>
      </x:c>
      <x:c r="D236" s="11" t="str">
        <x:v>Refresh scheduling and freshness validation and recovery</x:v>
      </x:c>
      <x:c r="E236" s="11" t="str">
        <x:v>Start from the same eligible fixture and retain the submitted draft; record the last committed head and receipt. Introduce the boundary or failure stated below.</x:v>
      </x:c>
      <x:c r="F236" s="11" t="str">
        <x:v>1. Exercise each independent condition in the validation contract, as separate recorded variants: Missed or failed refresh does not clear the last known result. It labels it stale and links to the authorised failure owner. Overlapping scheduled runs follow one declared checkpoint sequence. 2. Inspect the safe error/state and authorised recovery actions. 3. Correct the condition and retry under current authority and expected revision. 4. Compare durable effects and audit history with the original baseline.</x:v>
      </x:c>
      <x:c r="G236" s="11" t="str">
        <x:v>Missed or failed refresh does not clear the last known result. It labels it stale and links to the authorised failure owner. Overlapping scheduled runs follow one declared checkpoint sequence. Ordinary failed saves have no partial effect. Explicit bulk partial modes account for committed and unprocessed items. A retry does not duplicate the intended business effect.</x:v>
      </x:c>
      <x:c r="H236" s="13" t="str">
        <x:v>Not run</x:v>
      </x:c>
      <x:c r="I236" s="13" t="str"/>
      <x:c r="J236" s="13" t="str">
        <x:v>Expand multi-condition variants in the run record. Required negative coverage, not a claim that one assertion covers every security attack.</x:v>
      </x:c>
    </x:row>
    <x:row r="237" ht="90" customHeight="1">
      <x:c r="A237" s="11" t="str">
        <x:v>TC-DAT-011-01</x:v>
      </x:c>
      <x:c r="B237" s="11" t="str">
        <x:v>FR-DAT-011 / BR-DAT-011</x:v>
      </x:c>
      <x:c r="C237" s="11" t="str">
        <x:v>P0 / R1</x:v>
      </x:c>
      <x:c r="D237" s="11" t="str">
        <x:v>Data exports and portability intended outcome</x:v>
      </x:c>
      <x:c r="E237" s="11" t="str">
        <x:v>Synthetic tenant A; tenant B hidden markers; eligible actor with explicit capability, scope, purpose and current assurance. Set up the source acceptance fixture: Export text beginning with an equals sign and a leading-zero ID; opening the file does not execute a formula and the ID remains text.</x:v>
      </x:c>
      <x:c r="F237" s="11" t="str">
        <x:v>1. Record current object revisions, policy and safe audit cursor. 2. Perform the specified interaction: Export selects authorised rows and fields, format and semantic metadata. Include stable IDs, type dictionary, code lists, units, time zone, source versions and value states. Large exports follow job and revocation controls. 3. Inspect UI, canonical API read and audit/receipt for the resulting version. 4. Apply the acceptance example: Export text beginning with an equals sign and a leading-zero ID; opening the file does not execute a formula and the ID remains text.</x:v>
      </x:c>
      <x:c r="G237" s="11" t="str">
        <x:v>Export text beginning with an equals sign and a leading-zero ID; opening the file does not execute a formula and the ID remains text. Required behaviour is preserved: Export selects authorised rows and fields, format and semantic metadata. Include stable IDs, type dictionary, code lists, units, time zone, source versions and value states. Large exports follow job and revocation controls.</x:v>
      </x:c>
      <x:c r="H237" s="13" t="str">
        <x:v>Not run</x:v>
      </x:c>
      <x:c r="I237" s="13" t="str"/>
      <x:c r="J237" s="13" t="str">
        <x:v>Primary owning component C06. Execute relevant channels; record actual fixture IDs and observed evidence.</x:v>
      </x:c>
    </x:row>
    <x:row r="238" ht="90" customHeight="1">
      <x:c r="A238" s="11" t="str">
        <x:v>TC-DAT-011-02</x:v>
      </x:c>
      <x:c r="B238" s="11" t="str">
        <x:v>FR-DAT-011 / BR-DAT-011 / SC01–SC08</x:v>
      </x:c>
      <x:c r="C238" s="11" t="str">
        <x:v>P0 / R1</x:v>
      </x:c>
      <x:c r="D238" s="11" t="str">
        <x:v>Data exports and portability validation and recovery</x:v>
      </x:c>
      <x:c r="E238" s="11" t="str">
        <x:v>Start from the same eligible fixture and retain the submitted draft; record the last committed head and receipt. Introduce the boundary or failure stated below.</x:v>
      </x:c>
      <x:c r="F238" s="11" t="str">
        <x:v>1. Exercise each independent condition in the validation contract, as separate recorded variants: Neutralise spreadsheet formula-like text without silently changing its represented meaning; document the safe export encoding. No hidden unselected columns or private raw values in metadata. 2. Inspect the safe error/state and authorised recovery actions. 3. Correct the condition and retry under current authority and expected revision. 4. Compare durable effects and audit history with the original baseline.</x:v>
      </x:c>
      <x:c r="G238" s="11" t="str">
        <x:v>Neutralise spreadsheet formula-like text without silently changing its represented meaning; document the safe export encoding. No hidden unselected columns or private raw values in metadata. Ordinary failed saves have no partial effect. Explicit bulk partial modes account for committed and unprocessed items. A retry does not duplicate the intended business effect.</x:v>
      </x:c>
      <x:c r="H238" s="13" t="str">
        <x:v>Not run</x:v>
      </x:c>
      <x:c r="I238" s="13" t="str"/>
      <x:c r="J238" s="13" t="str">
        <x:v>Expand multi-condition variants in the run record. Required negative coverage, not a claim that one assertion covers every security attack.</x:v>
      </x:c>
    </x:row>
    <x:row r="239" ht="103" customHeight="1">
      <x:c r="A239" s="11" t="str">
        <x:v>TC-DAT-012-01</x:v>
      </x:c>
      <x:c r="B239" s="11" t="str">
        <x:v>FR-DAT-012 / BR-DAT-012</x:v>
      </x:c>
      <x:c r="C239" s="11" t="str">
        <x:v>P0 / R1</x:v>
      </x:c>
      <x:c r="D239" s="11" t="str">
        <x:v>Data retention and dependency review intended outcome</x:v>
      </x:c>
      <x:c r="E239" s="11" t="str">
        <x:v>Synthetic tenant A; tenant B hidden markers; eligible actor with explicit capability, scope, purpose and current assurance. Set up the source acceptance fixture: Delete an eligible source and verify search, AI and generated private exports cannot recover it; held evidence appears only in the authorised hold inventory.</x:v>
      </x:c>
      <x:c r="F239" s="11" t="str">
        <x:v>1. Record current object revisions, policy and safe audit cursor. 2. Perform the specified interaction: Dataset archival or deletion starts with dependency and retention review. The preview separates live inputs, retained snapshots, indexes, AI references and external disclosures. Execution produces an itemised restriction or deletion manifest with holds and retryable failures. 3. Inspect UI, canonical API read and audit/receipt for the resulting version. 4. Apply the acceptance example: Delete an eligible source and verify search, AI and generated private exports cannot recover it; held evidence appears only in the authorised hold inventory.</x:v>
      </x:c>
      <x:c r="G239" s="11" t="str">
        <x:v>Delete an eligible source and verify search, AI and generated private exports cannot recover it; held evidence appears only in the authorised hold inventory. Required behaviour is preserved: Dataset archival or deletion starts with dependency and retention review. The preview separates live inputs, retained snapshots, indexes, AI references and external disclosures. Execution produces an itemised restriction or deletion manifest with holds and retryable failures.</x:v>
      </x:c>
      <x:c r="H239" s="13" t="str">
        <x:v>Not run</x:v>
      </x:c>
      <x:c r="I239" s="13" t="str"/>
      <x:c r="J239" s="13" t="str">
        <x:v>Primary owning component C06. Execute relevant channels; record actual fixture IDs and observed evidence.</x:v>
      </x:c>
    </x:row>
    <x:row r="240" ht="90" customHeight="1">
      <x:c r="A240" s="11" t="str">
        <x:v>TC-DAT-012-02</x:v>
      </x:c>
      <x:c r="B240" s="11" t="str">
        <x:v>FR-DAT-012 / BR-DAT-012 / SC01–SC08</x:v>
      </x:c>
      <x:c r="C240" s="11" t="str">
        <x:v>P0 / R1</x:v>
      </x:c>
      <x:c r="D240" s="11" t="str">
        <x:v>Data retention and dependency review validation and recovery</x:v>
      </x:c>
      <x:c r="E240" s="11" t="str">
        <x:v>Start from the same eligible fixture and retain the submitted draft; record the last committed head and receipt. Introduce the boundary or failure stated below.</x:v>
      </x:c>
      <x:c r="F240" s="11" t="str">
        <x:v>1. Exercise each independent condition in the validation contract, as separate recorded variants: Do not leave readable orphan artifacts. A lawful retained snapshot is explicitly restricted and labelled, while historical publication may be withdrawn if its continued exposure is no longer permitted. 2. Inspect the safe error/state and authorised recovery actions. 3. Correct the condition and retry under current authority and expected revision. 4. Compare durable effects and audit history with the original baseline.</x:v>
      </x:c>
      <x:c r="G240" s="11" t="str">
        <x:v>Do not leave readable orphan artifacts. A lawful retained snapshot is explicitly restricted and labelled, while historical publication may be withdrawn if its continued exposure is no longer permitted. Ordinary failed saves have no partial effect. Explicit bulk partial modes account for committed and unprocessed items. A retry does not duplicate the intended business effect.</x:v>
      </x:c>
      <x:c r="H240" s="13" t="str">
        <x:v>Not run</x:v>
      </x:c>
      <x:c r="I240" s="13" t="str"/>
      <x:c r="J240" s="13" t="str">
        <x:v>Expand multi-condition variants in the run record. Required negative coverage, not a claim that one assertion covers every security attack.</x:v>
      </x:c>
    </x:row>
    <x:row r="241" ht="103" customHeight="1">
      <x:c r="A241" s="11" t="str">
        <x:v>TC-DQ-001-01</x:v>
      </x:c>
      <x:c r="B241" s="11" t="str">
        <x:v>FR-DQ-001 / BR-DQ-001</x:v>
      </x:c>
      <x:c r="C241" s="11" t="str">
        <x:v>P0 / R1</x:v>
      </x:c>
      <x:c r="D241" s="11" t="str">
        <x:v>Quality rule catalogue intended outcome</x:v>
      </x:c>
      <x:c r="E241" s="11" t="str">
        <x:v>Synthetic tenant A; tenant B hidden markers; eligible actor with explicit capability, scope, purpose and current assurance. Set up the source acceptance fixture: Activate a visit date after birth date check and inspect the failing record's exact rule version and safe field message.</x:v>
      </x:c>
      <x:c r="F241" s="11" t="str">
        <x:v>1. Record current object revisions, policy and safe audit cursor. 2. Perform the specified interaction: The quality editor selects rule type, target fields, scope, severity, owner and effective version. Supported checks cover requiredness, uniqueness, range, references, dates, cross field logic and control totals. Preview reports failures against a permitted sample before activation. 3. Inspect UI, canonical API read and audit/receipt for the resulting version. 4. Apply the acceptance example: Activate a visit date after birth date check and inspect the failing record's exact rule version and safe field message.</x:v>
      </x:c>
      <x:c r="G241" s="11" t="str">
        <x:v>Activate a visit date after birth date check and inspect the failing record's exact rule version and safe field message. Required behaviour is preserved: The quality editor selects rule type, target fields, scope, severity, owner and effective version. Supported checks cover requiredness, uniqueness, range, references, dates, cross field logic and control totals. Preview reports failures against a permitted sample before activation.</x:v>
      </x:c>
      <x:c r="H241" s="13" t="str">
        <x:v>Not run</x:v>
      </x:c>
      <x:c r="I241" s="13" t="str"/>
      <x:c r="J241" s="13" t="str">
        <x:v>Primary owning component C06. Execute relevant channels; record actual fixture IDs and observed evidence.</x:v>
      </x:c>
    </x:row>
    <x:row r="242" ht="77" customHeight="1">
      <x:c r="A242" s="11" t="str">
        <x:v>TC-DQ-001-02</x:v>
      </x:c>
      <x:c r="B242" s="11" t="str">
        <x:v>FR-DQ-001 / BR-DQ-001 / SC01–SC08</x:v>
      </x:c>
      <x:c r="C242" s="11" t="str">
        <x:v>P0 / R1</x:v>
      </x:c>
      <x:c r="D242" s="11" t="str">
        <x:v>Quality rule catalogue validation and recovery</x:v>
      </x:c>
      <x:c r="E242" s="11" t="str">
        <x:v>Start from the same eligible fixture and retain the submitted draft; record the last committed head and receipt. Introduce the boundary or failure stated below.</x:v>
      </x:c>
      <x:c r="F242" s="11" t="str">
        <x:v>1. Exercise each independent condition in the validation contract, as separate recorded variants: Rule updates apply prospectively unless a reviewed revalidation job is requested. A rule cannot read a field outside its authorised processing scope. 2. Inspect the safe error/state and authorised recovery actions. 3. Correct the condition and retry under current authority and expected revision. 4. Compare durable effects and audit history with the original baseline.</x:v>
      </x:c>
      <x:c r="G242" s="11" t="str">
        <x:v>Rule updates apply prospectively unless a reviewed revalidation job is requested. A rule cannot read a field outside its authorised processing scope. Ordinary failed saves have no partial effect. Explicit bulk partial modes account for committed and unprocessed items. A retry does not duplicate the intended business effect.</x:v>
      </x:c>
      <x:c r="H242" s="13" t="str">
        <x:v>Not run</x:v>
      </x:c>
      <x:c r="I242" s="13" t="str"/>
      <x:c r="J242" s="13" t="str">
        <x:v>Expand multi-condition variants in the run record. Required negative coverage, not a claim that one assertion covers every security attack.</x:v>
      </x:c>
    </x:row>
    <x:row r="243" ht="103" customHeight="1">
      <x:c r="A243" s="11" t="str">
        <x:v>TC-DQ-002-01</x:v>
      </x:c>
      <x:c r="B243" s="11" t="str">
        <x:v>FR-DQ-002 / BR-DQ-002</x:v>
      </x:c>
      <x:c r="C243" s="11" t="str">
        <x:v>P0 / R1</x:v>
      </x:c>
      <x:c r="D243" s="11" t="str">
        <x:v>Blocking and warning behaviour intended outcome</x:v>
      </x:c>
      <x:c r="E243" s="11" t="str">
        <x:v>Synthetic tenant A; tenant B hidden markers; eligible actor with explicit capability, scope, purpose and current assurance. Set up the source acceptance fixture: Attempt approval with a blocking duplicate event; it stays blocked until corrected, while a permitted warning can proceed only with its recorded exception.</x:v>
      </x:c>
      <x:c r="F243" s="11" t="str">
        <x:v>1. Record current object revisions, policy and safe audit cursor. 2. Perform the specified interaction: A blocking error prevents progression; a review warning requires explicit disposition; informational findings do not block. Exception requests include rule, affected revision, reason, authority and expiry. Revalidation, correction and exception are separate actions. 3. Inspect UI, canonical API read and audit/receipt for the resulting version. 4. Apply the acceptance example: Attempt approval with a blocking duplicate event; it stays blocked until corrected, while a permitted warning can proceed only with its recorded exception.</x:v>
      </x:c>
      <x:c r="G243" s="11" t="str">
        <x:v>Attempt approval with a blocking duplicate event; it stays blocked until corrected, while a permitted warning can proceed only with its recorded exception. Required behaviour is preserved: A blocking error prevents progression; a review warning requires explicit disposition; informational findings do not block. Exception requests include rule, affected revision, reason, authority and expiry. Revalidation, correction and exception are separate actions.</x:v>
      </x:c>
      <x:c r="H243" s="13" t="str">
        <x:v>Not run</x:v>
      </x:c>
      <x:c r="I243" s="13" t="str"/>
      <x:c r="J243" s="13" t="str">
        <x:v>Primary owning component C06. Execute relevant channels; record actual fixture IDs and observed evidence.</x:v>
      </x:c>
    </x:row>
    <x:row r="244" ht="77" customHeight="1">
      <x:c r="A244" s="11" t="str">
        <x:v>TC-DQ-002-02</x:v>
      </x:c>
      <x:c r="B244" s="11" t="str">
        <x:v>FR-DQ-002 / BR-DQ-002 / SC01–SC08</x:v>
      </x:c>
      <x:c r="C244" s="11" t="str">
        <x:v>P0 / R1</x:v>
      </x:c>
      <x:c r="D244" s="11" t="str">
        <x:v>Blocking and warning behaviour validation and recovery</x:v>
      </x:c>
      <x:c r="E244" s="11" t="str">
        <x:v>Start from the same eligible fixture and retain the submitted draft; record the last committed head and receipt. Introduce the boundary or failure stated below.</x:v>
      </x:c>
      <x:c r="F244" s="11" t="str">
        <x:v>1. Exercise each independent condition in the validation contract, as separate recorded variants: Dismissing a notification never resolves the underlying issue. Security restrictions, impossible calculations and self approval are nonwaivable. 2. Inspect the safe error/state and authorised recovery actions. 3. Correct the condition and retry under current authority and expected revision. 4. Compare durable effects and audit history with the original baseline.</x:v>
      </x:c>
      <x:c r="G244" s="11" t="str">
        <x:v>Dismissing a notification never resolves the underlying issue. Security restrictions, impossible calculations and self approval are nonwaivable. Ordinary failed saves have no partial effect. Explicit bulk partial modes account for committed and unprocessed items. A retry does not duplicate the intended business effect.</x:v>
      </x:c>
      <x:c r="H244" s="13" t="str">
        <x:v>Not run</x:v>
      </x:c>
      <x:c r="I244" s="13" t="str"/>
      <x:c r="J244" s="13" t="str">
        <x:v>Expand multi-condition variants in the run record. Required negative coverage, not a claim that one assertion covers every security attack.</x:v>
      </x:c>
    </x:row>
    <x:row r="245" ht="103" customHeight="1">
      <x:c r="A245" s="11" t="str">
        <x:v>TC-DQ-003-01</x:v>
      </x:c>
      <x:c r="B245" s="11" t="str">
        <x:v>FR-DQ-003 / BR-DQ-003</x:v>
      </x:c>
      <x:c r="C245" s="11" t="str">
        <x:v>P0 / R1</x:v>
      </x:c>
      <x:c r="D245" s="11" t="str">
        <x:v>Duplicate detection intended outcome</x:v>
      </x:c>
      <x:c r="E245" s="11" t="str">
        <x:v>Synthetic tenant A; tenant B hidden markers; eligible actor with explicit capability, scope, purpose and current assurance. Set up the source acceptance fixture: Two participants named Asha remain separate until reviewed evidence supports identity equivalence; a rejected match does not silently reappear as confirmed.</x:v>
      </x:c>
      <x:c r="F245" s="11" t="str">
        <x:v>1. Record current object revisions, policy and safe audit cursor. 2. Perform the specified interaction: Exact duplicate detection uses declared business keys. Fuzzy matching generates candidate pairs with permitted evidence and match rationale. A reviewer chooses distinct, merge or further investigation; merge maps source identities to a canonical record and preserves provenance. 3. Inspect UI, canonical API read and audit/receipt for the resulting version. 4. Apply the acceptance example: Two participants named Asha remain separate until reviewed evidence supports identity equivalence; a rejected match does not silently reappear as confirmed.</x:v>
      </x:c>
      <x:c r="G245" s="11" t="str">
        <x:v>Two participants named Asha remain separate until reviewed evidence supports identity equivalence; a rejected match does not silently reappear as confirmed. Required behaviour is preserved: Exact duplicate detection uses declared business keys. Fuzzy matching generates candidate pairs with permitted evidence and match rationale. A reviewer chooses distinct, merge or further investigation; merge maps source identities to a canonical record and preserves provenance.</x:v>
      </x:c>
      <x:c r="H245" s="13" t="str">
        <x:v>Not run</x:v>
      </x:c>
      <x:c r="I245" s="13" t="str"/>
      <x:c r="J245" s="13" t="str">
        <x:v>Primary owning component C06. Execute relevant channels; record actual fixture IDs and observed evidence.</x:v>
      </x:c>
    </x:row>
    <x:row r="246" ht="77" customHeight="1">
      <x:c r="A246" s="11" t="str">
        <x:v>TC-DQ-003-02</x:v>
      </x:c>
      <x:c r="B246" s="11" t="str">
        <x:v>FR-DQ-003 / BR-DQ-003 / SC01–SC08</x:v>
      </x:c>
      <x:c r="C246" s="11" t="str">
        <x:v>P0 / R1</x:v>
      </x:c>
      <x:c r="D246" s="11" t="str">
        <x:v>Duplicate detection validation and recovery</x:v>
      </x:c>
      <x:c r="E246" s="11" t="str">
        <x:v>Start from the same eligible fixture and retain the submitted draft; record the last committed head and receipt. Introduce the boundary or failure stated below.</x:v>
      </x:c>
      <x:c r="F246" s="11" t="str">
        <x:v>1. Exercise each independent condition in the validation contract, as separate recorded variants: Do not merge solely on a shared name. Unmerge or corrective split must restore affected relationships and recalculate counts; source confidentiality survives a merge. 2. Inspect the safe error/state and authorised recovery actions. 3. Correct the condition and retry under current authority and expected revision. 4. Compare durable effects and audit history with the original baseline.</x:v>
      </x:c>
      <x:c r="G246" s="11" t="str">
        <x:v>Do not merge solely on a shared name. Unmerge or corrective split must restore affected relationships and recalculate counts; source confidentiality survives a merge. Ordinary failed saves have no partial effect. Explicit bulk partial modes account for committed and unprocessed items. A retry does not duplicate the intended business effect.</x:v>
      </x:c>
      <x:c r="H246" s="13" t="str">
        <x:v>Not run</x:v>
      </x:c>
      <x:c r="I246" s="13" t="str"/>
      <x:c r="J246" s="13" t="str">
        <x:v>Expand multi-condition variants in the run record. Required negative coverage, not a claim that one assertion covers every security attack.</x:v>
      </x:c>
    </x:row>
    <x:row r="247" ht="103" customHeight="1">
      <x:c r="A247" s="11" t="str">
        <x:v>TC-DQ-004-01</x:v>
      </x:c>
      <x:c r="B247" s="11" t="str">
        <x:v>FR-DQ-004 / BR-DQ-004</x:v>
      </x:c>
      <x:c r="C247" s="11" t="str">
        <x:v>P0 / R1</x:v>
      </x:c>
      <x:c r="D247" s="11" t="str">
        <x:v>Reconciliation checks intended outcome</x:v>
      </x:c>
      <x:c r="E247" s="11" t="str">
        <x:v>Synthetic tenant A; tenant B hidden markers; eligible actor with explicit capability, scope, purpose and current assurance. Set up the source acceptance fixture: A total of ten with exclusive components six and four passes; two overlapping service categories six and seven are not incorrectly required to sum to ten.</x:v>
      </x:c>
      <x:c r="F247" s="11" t="str">
        <x:v>1. Record current object revisions, policy and safe audit cursor. 2. Perform the specified interaction: Reconciliation rules declare the expected equation and category semantics. For exclusive exhaustive breakdowns, compare component sum to total at the stated precision. For overlapping categories, compare distinct entities or use a labelled nonadditive check. 3. Inspect UI, canonical API read and audit/receipt for the resulting version. 4. Apply the acceptance example: A total of ten with exclusive components six and four passes; two overlapping service categories six and seven are not incorrectly required to sum to ten.</x:v>
      </x:c>
      <x:c r="G247" s="11" t="str">
        <x:v>A total of ten with exclusive components six and four passes; two overlapping service categories six and seven are not incorrectly required to sum to ten. Required behaviour is preserved: Reconciliation rules declare the expected equation and category semantics. For exclusive exhaustive breakdowns, compare component sum to total at the stated precision. For overlapping categories, compare distinct entities or use a labelled nonadditive check.</x:v>
      </x:c>
      <x:c r="H247" s="13" t="str">
        <x:v>Not run</x:v>
      </x:c>
      <x:c r="I247" s="13" t="str"/>
      <x:c r="J247" s="13" t="str">
        <x:v>Primary owning component C06. Execute relevant channels; record actual fixture IDs and observed evidence.</x:v>
      </x:c>
    </x:row>
    <x:row r="248" ht="77" customHeight="1">
      <x:c r="A248" s="11" t="str">
        <x:v>TC-DQ-004-02</x:v>
      </x:c>
      <x:c r="B248" s="11" t="str">
        <x:v>FR-DQ-004 / BR-DQ-004 / SC01–SC08</x:v>
      </x:c>
      <x:c r="C248" s="11" t="str">
        <x:v>P0 / R1</x:v>
      </x:c>
      <x:c r="D248" s="11" t="str">
        <x:v>Reconciliation checks validation and recovery</x:v>
      </x:c>
      <x:c r="E248" s="11" t="str">
        <x:v>Start from the same eligible fixture and retain the submitted draft; record the last committed head and receipt. Introduce the boundary or failure stated below.</x:v>
      </x:c>
      <x:c r="F248" s="11" t="str">
        <x:v>1. Exercise each independent condition in the validation contract, as separate recorded variants: Suppressed values may be evaluated privately but never exposed in public reconciliation detail. Missing components make the check incomplete rather than automatically failed or passed. 2. Inspect the safe error/state and authorised recovery actions. 3. Correct the condition and retry under current authority and expected revision. 4. Compare durable effects and audit history with the original baseline.</x:v>
      </x:c>
      <x:c r="G248" s="11" t="str">
        <x:v>Suppressed values may be evaluated privately but never exposed in public reconciliation detail. Missing components make the check incomplete rather than automatically failed or passed. Ordinary failed saves have no partial effect. Explicit bulk partial modes account for committed and unprocessed items. A retry does not duplicate the intended business effect.</x:v>
      </x:c>
      <x:c r="H248" s="13" t="str">
        <x:v>Not run</x:v>
      </x:c>
      <x:c r="I248" s="13" t="str"/>
      <x:c r="J248" s="13" t="str">
        <x:v>Expand multi-condition variants in the run record. Required negative coverage, not a claim that one assertion covers every security attack.</x:v>
      </x:c>
    </x:row>
    <x:row r="249" ht="103" customHeight="1">
      <x:c r="A249" s="11" t="str">
        <x:v>TC-DQ-005-01</x:v>
      </x:c>
      <x:c r="B249" s="11" t="str">
        <x:v>FR-DQ-005 / BR-DQ-005</x:v>
      </x:c>
      <x:c r="C249" s="11" t="str">
        <x:v>P0 / R1</x:v>
      </x:c>
      <x:c r="D249" s="11" t="str">
        <x:v>Quality issue workflow intended outcome</x:v>
      </x:c>
      <x:c r="E249" s="11" t="str">
        <x:v>Synthetic tenant A; tenant B hidden markers; eligible actor with explicit capability, scope, purpose and current assurance. Set up the source acceptance fixture: Follow a malformed date from import rejection through correction and revalidation; the reporting delay and final accepted revision remain traceable.</x:v>
      </x:c>
      <x:c r="F249" s="11" t="str">
        <x:v>1. Record current object revisions, policy and safe audit cursor. 2. Perform the specified interaction: A quality issue binds the failing object revision, rule, severity, owner and due time. Correction opens a linked revision; revalidation confirms the new outcome. Closure records evidence, while an unresolved material issue remains attached to dependent results. 3. Inspect UI, canonical API read and audit/receipt for the resulting version. 4. Apply the acceptance example: Follow a malformed date from import rejection through correction and revalidation; the reporting delay and final accepted revision remain traceable.</x:v>
      </x:c>
      <x:c r="G249" s="11" t="str">
        <x:v>Follow a malformed date from import rejection through correction and revalidation; the reporting delay and final accepted revision remain traceable. Required behaviour is preserved: A quality issue binds the failing object revision, rule, severity, owner and due time. Correction opens a linked revision; revalidation confirms the new outcome. Closure records evidence, while an unresolved material issue remains attached to dependent results.</x:v>
      </x:c>
      <x:c r="H249" s="13" t="str">
        <x:v>Not run</x:v>
      </x:c>
      <x:c r="I249" s="13" t="str"/>
      <x:c r="J249" s="13" t="str">
        <x:v>Primary owning component C06. Execute relevant channels; record actual fixture IDs and observed evidence.</x:v>
      </x:c>
    </x:row>
    <x:row r="250" ht="77" customHeight="1">
      <x:c r="A250" s="11" t="str">
        <x:v>TC-DQ-005-02</x:v>
      </x:c>
      <x:c r="B250" s="11" t="str">
        <x:v>FR-DQ-005 / BR-DQ-005 / SC01–SC08</x:v>
      </x:c>
      <x:c r="C250" s="11" t="str">
        <x:v>P0 / R1</x:v>
      </x:c>
      <x:c r="D250" s="11" t="str">
        <x:v>Quality issue workflow validation and recovery</x:v>
      </x:c>
      <x:c r="E250" s="11" t="str">
        <x:v>Start from the same eligible fixture and retain the submitted draft; record the last committed head and receipt. Introduce the boundary or failure stated below.</x:v>
      </x:c>
      <x:c r="F250" s="11" t="str">
        <x:v>1. Exercise each independent condition in the validation contract, as separate recorded variants: Changing owner or marking a comment resolved cannot close the issue. A new recurrence links to prior history without erasing the earlier fix. 2. Inspect the safe error/state and authorised recovery actions. 3. Correct the condition and retry under current authority and expected revision. 4. Compare durable effects and audit history with the original baseline.</x:v>
      </x:c>
      <x:c r="G250" s="11" t="str">
        <x:v>Changing owner or marking a comment resolved cannot close the issue. A new recurrence links to prior history without erasing the earlier fix. Ordinary failed saves have no partial effect. Explicit bulk partial modes account for committed and unprocessed items. A retry does not duplicate the intended business effect.</x:v>
      </x:c>
      <x:c r="H250" s="13" t="str">
        <x:v>Not run</x:v>
      </x:c>
      <x:c r="I250" s="13" t="str"/>
      <x:c r="J250" s="13" t="str">
        <x:v>Expand multi-condition variants in the run record. Required negative coverage, not a claim that one assertion covers every security attack.</x:v>
      </x:c>
    </x:row>
    <x:row r="251" ht="90" customHeight="1">
      <x:c r="A251" s="11" t="str">
        <x:v>TC-DQ-006-01</x:v>
      </x:c>
      <x:c r="B251" s="11" t="str">
        <x:v>FR-DQ-006 / BR-DQ-006</x:v>
      </x:c>
      <x:c r="C251" s="11" t="str">
        <x:v>P0 / R1</x:v>
      </x:c>
      <x:c r="D251" s="11" t="str">
        <x:v>Completeness and timeliness intended outcome</x:v>
      </x:c>
      <x:c r="E251" s="11" t="str">
        <x:v>Synthetic tenant A; tenant B hidden markers; eligible actor with explicit capability, scope, purpose and current assurance. Set up the source acceptance fixture: Retire a partner in July and verify its missing June submission remains counted while no August obligation is created.</x:v>
      </x:c>
      <x:c r="F251" s="11" t="str">
        <x:v>1. Record current object revisions, policy and safe audit cursor. 2. Perform the specified interaction: The completeness view uses the period's obligation snapshot and distinguishes expected, received, valid, approved, late and excepted. Each percentage exposes numerator and denominator; lateness uses first valid receipt or approval according to the declared metric. 3. Inspect UI, canonical API read and audit/receipt for the resulting version. 4. Apply the acceptance example: Retire a partner in July and verify its missing June submission remains counted while no August obligation is created.</x:v>
      </x:c>
      <x:c r="G251" s="11" t="str">
        <x:v>Retire a partner in July and verify its missing June submission remains counted while no August obligation is created. Required behaviour is preserved: The completeness view uses the period's obligation snapshot and distinguishes expected, received, valid, approved, late and excepted. Each percentage exposes numerator and denominator; lateness uses first valid receipt or approval according to the declared metric.</x:v>
      </x:c>
      <x:c r="H251" s="13" t="str">
        <x:v>Not run</x:v>
      </x:c>
      <x:c r="I251" s="13" t="str"/>
      <x:c r="J251" s="13" t="str">
        <x:v>Primary owning component C06. Execute relevant channels; record actual fixture IDs and observed evidence.</x:v>
      </x:c>
    </x:row>
    <x:row r="252" ht="77" customHeight="1">
      <x:c r="A252" s="11" t="str">
        <x:v>TC-DQ-006-02</x:v>
      </x:c>
      <x:c r="B252" s="11" t="str">
        <x:v>FR-DQ-006 / BR-DQ-006 / SC01–SC08</x:v>
      </x:c>
      <x:c r="C252" s="11" t="str">
        <x:v>P0 / R1</x:v>
      </x:c>
      <x:c r="D252" s="11" t="str">
        <x:v>Completeness and timeliness validation and recovery</x:v>
      </x:c>
      <x:c r="E252" s="11" t="str">
        <x:v>Start from the same eligible fixture and retain the submitted draft; record the last committed head and receipt. Introduce the boundary or failure stated below.</x:v>
      </x:c>
      <x:c r="F252" s="11" t="str">
        <x:v>1. Exercise each independent condition in the validation contract, as separate recorded variants: Changing current partner membership cannot rewrite older obligation denominators. Cancelled obligations require approved effective dates and reason. 2. Inspect the safe error/state and authorised recovery actions. 3. Correct the condition and retry under current authority and expected revision. 4. Compare durable effects and audit history with the original baseline.</x:v>
      </x:c>
      <x:c r="G252" s="11" t="str">
        <x:v>Changing current partner membership cannot rewrite older obligation denominators. Cancelled obligations require approved effective dates and reason. Ordinary failed saves have no partial effect. Explicit bulk partial modes account for committed and unprocessed items. A retry does not duplicate the intended business effect.</x:v>
      </x:c>
      <x:c r="H252" s="13" t="str">
        <x:v>Not run</x:v>
      </x:c>
      <x:c r="I252" s="13" t="str"/>
      <x:c r="J252" s="13" t="str">
        <x:v>Expand multi-condition variants in the run record. Required negative coverage, not a claim that one assertion covers every security attack.</x:v>
      </x:c>
    </x:row>
    <x:row r="253" ht="103" customHeight="1">
      <x:c r="A253" s="11" t="str">
        <x:v>TC-DQ-007-01</x:v>
      </x:c>
      <x:c r="B253" s="11" t="str">
        <x:v>FR-DQ-007 / BR-DQ-007</x:v>
      </x:c>
      <x:c r="C253" s="11" t="str">
        <x:v>P1 / R2</x:v>
      </x:c>
      <x:c r="D253" s="11" t="str">
        <x:v>Anomaly assistance intended outcome</x:v>
      </x:c>
      <x:c r="E253" s="11" t="str">
        <x:v>Synthetic tenant A; tenant B hidden markers; eligible actor with explicit capability, scope, purpose and current assurance. Set up the source acceptance fixture: A seasonal spike is flagged, reviewed as expected and retained unchanged; the dismissed suggestion remains distinct from a confirmed quality defect.</x:v>
      </x:c>
      <x:c r="F253" s="11" t="str">
        <x:v>1. Record current object revisions, policy and safe audit cursor. 2. Perform the specified interaction: An anomaly run records method version, eligible data, comparison window and explanation. Findings enter suggested state with severity and owner. Review can confirm an issue, dismiss with reason or defer; feedback informs later evaluated model changes. 3. Inspect UI, canonical API read and audit/receipt for the resulting version. 4. Apply the acceptance example: A seasonal spike is flagged, reviewed as expected and retained unchanged; the dismissed suggestion remains distinct from a confirmed quality defect.</x:v>
      </x:c>
      <x:c r="G253" s="11" t="str">
        <x:v>A seasonal spike is flagged, reviewed as expected and retained unchanged; the dismissed suggestion remains distinct from a confirmed quality defect. Required behaviour is preserved: An anomaly run records method version, eligible data, comparison window and explanation. Findings enter suggested state with severity and owner. Review can confirm an issue, dismiss with reason or defer; feedback informs later evaluated model changes.</x:v>
      </x:c>
      <x:c r="H253" s="13" t="str">
        <x:v>Not run</x:v>
      </x:c>
      <x:c r="I253" s="13" t="str"/>
      <x:c r="J253" s="13" t="str">
        <x:v>Primary owning component C06. Execute relevant channels; record actual fixture IDs and observed evidence.</x:v>
      </x:c>
    </x:row>
    <x:row r="254" ht="77" customHeight="1">
      <x:c r="A254" s="11" t="str">
        <x:v>TC-DQ-007-02</x:v>
      </x:c>
      <x:c r="B254" s="11" t="str">
        <x:v>FR-DQ-007 / BR-DQ-007 / SC01–SC08</x:v>
      </x:c>
      <x:c r="C254" s="11" t="str">
        <x:v>P1 / R2</x:v>
      </x:c>
      <x:c r="D254" s="11" t="str">
        <x:v>Anomaly assistance validation and recovery</x:v>
      </x:c>
      <x:c r="E254" s="11" t="str">
        <x:v>Start from the same eligible fixture and retain the submitted draft; record the last committed head and receipt. Introduce the boundary or failure stated below.</x:v>
      </x:c>
      <x:c r="F254" s="11" t="str">
        <x:v>1. Exercise each independent condition in the validation contract, as separate recorded variants: A flag never modifies data or labels a person fraudulent. False positive and missed issue evidence is retained under minimised policy. 2. Inspect the safe error/state and authorised recovery actions. 3. Correct the condition and retry under current authority and expected revision. 4. Compare durable effects and audit history with the original baseline.</x:v>
      </x:c>
      <x:c r="G254" s="11" t="str">
        <x:v>A flag never modifies data or labels a person fraudulent. False positive and missed issue evidence is retained under minimised policy. Ordinary failed saves have no partial effect. Explicit bulk partial modes account for committed and unprocessed items. A retry does not duplicate the intended business effect.</x:v>
      </x:c>
      <x:c r="H254" s="13" t="str">
        <x:v>Not run</x:v>
      </x:c>
      <x:c r="I254" s="13" t="str"/>
      <x:c r="J254" s="13" t="str">
        <x:v>Expand multi-condition variants in the run record. Required negative coverage, not a claim that one assertion covers every security attack.</x:v>
      </x:c>
    </x:row>
    <x:row r="255" ht="103" customHeight="1">
      <x:c r="A255" s="11" t="str">
        <x:v>TC-DQ-008-01</x:v>
      </x:c>
      <x:c r="B255" s="11" t="str">
        <x:v>FR-DQ-008 / BR-DQ-008</x:v>
      </x:c>
      <x:c r="C255" s="11" t="str">
        <x:v>P0 / R1</x:v>
      </x:c>
      <x:c r="D255" s="11" t="str">
        <x:v>Quality disclosure intended outcome</x:v>
      </x:c>
      <x:c r="E255" s="11" t="str">
        <x:v>Synthetic tenant A; tenant B hidden markers; eligible actor with explicit capability, scope, purpose and current assurance. Set up the source acceptance fixture: Generate a report from three of five approved submissions; both chart and narrative export retain partial coverage and 60 percent approval completeness.</x:v>
      </x:c>
      <x:c r="F255" s="11" t="str">
        <x:v>1. Record current object revisions, policy and safe audit cursor. 2. Perform the specified interaction: Every result carries required quality disclosures from its sources and approval exceptions. Dashboard styling, report templates and AI drafting must preserve material caveats. A disclosure may be shortened only through an approved equivalent wording template. 3. Inspect UI, canonical API read and audit/receipt for the resulting version. 4. Apply the acceptance example: Generate a report from three of five approved submissions; both chart and narrative export retain partial coverage and 60 percent approval completeness.</x:v>
      </x:c>
      <x:c r="G255" s="11" t="str">
        <x:v>Generate a report from three of five approved submissions; both chart and narrative export retain partial coverage and 60 percent approval completeness. Required behaviour is preserved: Every result carries required quality disclosures from its sources and approval exceptions. Dashboard styling, report templates and AI drafting must preserve material caveats. A disclosure may be shortened only through an approved equivalent wording template.</x:v>
      </x:c>
      <x:c r="H255" s="13" t="str">
        <x:v>Not run</x:v>
      </x:c>
      <x:c r="I255" s="13" t="str"/>
      <x:c r="J255" s="13" t="str">
        <x:v>Primary owning component C06. Execute relevant channels; record actual fixture IDs and observed evidence.</x:v>
      </x:c>
    </x:row>
    <x:row r="256" ht="77" customHeight="1">
      <x:c r="A256" s="11" t="str">
        <x:v>TC-DQ-008-02</x:v>
      </x:c>
      <x:c r="B256" s="11" t="str">
        <x:v>FR-DQ-008 / BR-DQ-008 / SC01–SC08</x:v>
      </x:c>
      <x:c r="C256" s="11" t="str">
        <x:v>P0 / R1</x:v>
      </x:c>
      <x:c r="D256" s="11" t="str">
        <x:v>Quality disclosure validation and recovery</x:v>
      </x:c>
      <x:c r="E256" s="11" t="str">
        <x:v>Start from the same eligible fixture and retain the submitted draft; record the last committed head and receipt. Introduce the boundary or failure stated below.</x:v>
      </x:c>
      <x:c r="F256" s="11" t="str">
        <x:v>1. Exercise each independent condition in the validation contract, as separate recorded variants: Do not let authors hide partial coverage by removing a widget or exporting a bare number. Restricted detail may be withheld while the material limitation remains visible. 2. Inspect the safe error/state and authorised recovery actions. 3. Correct the condition and retry under current authority and expected revision. 4. Compare durable effects and audit history with the original baseline.</x:v>
      </x:c>
      <x:c r="G256" s="11" t="str">
        <x:v>Do not let authors hide partial coverage by removing a widget or exporting a bare number. Restricted detail may be withheld while the material limitation remains visible. Ordinary failed saves have no partial effect. Explicit bulk partial modes account for committed and unprocessed items. A retry does not duplicate the intended business effect.</x:v>
      </x:c>
      <x:c r="H256" s="13" t="str">
        <x:v>Not run</x:v>
      </x:c>
      <x:c r="I256" s="13" t="str"/>
      <x:c r="J256" s="13" t="str">
        <x:v>Expand multi-condition variants in the run record. Required negative coverage, not a claim that one assertion covers every security attack.</x:v>
      </x:c>
    </x:row>
    <x:row r="257" ht="103" customHeight="1">
      <x:c r="A257" s="11" t="str">
        <x:v>TC-PAR-001-01</x:v>
      </x:c>
      <x:c r="B257" s="11" t="str">
        <x:v>FR-PAR-001 / BR-PAR-001</x:v>
      </x:c>
      <x:c r="C257" s="11" t="str">
        <x:v>P1 / R1</x:v>
      </x:c>
      <x:c r="D257" s="11" t="str">
        <x:v>Optional registries intended outcome</x:v>
      </x:c>
      <x:c r="E257" s="11" t="str">
        <x:v>Synthetic tenant A; tenant B hidden markers; eligible actor with explicit capability, scope, purpose and current assurance. Set up the source acceptance fixture: Create an aggregate-only education programme and a participant programme; only the latter exposes the configured registry workspace.</x:v>
      </x:c>
      <x:c r="F257" s="11" t="str">
        <x:v>1. Record current object revisions, policy and safe audit cursor. 2. Perform the specified interaction: Programme setup chooses aggregate-only or registry-enabled mode. Registry configuration selects entity types and necessary attributes. The system issues a programme pseudonym and supports participants, households, groups, institutions, facilities and sites without mandatory national identifiers. 3. Inspect UI, canonical API read and audit/receipt for the resulting version. 4. Apply the acceptance example: Create an aggregate-only education programme and a participant programme; only the latter exposes the configured registry workspace.</x:v>
      </x:c>
      <x:c r="G257" s="11" t="str">
        <x:v>Create an aggregate-only education programme and a participant programme; only the latter exposes the configured registry workspace. Required behaviour is preserved: Programme setup chooses aggregate-only or registry-enabled mode. Registry configuration selects entity types and necessary attributes. The system issues a programme pseudonym and supports participants, households, groups, institutions, facilities and sites without mandatory national identifiers.</x:v>
      </x:c>
      <x:c r="H257" s="13" t="str">
        <x:v>Not run</x:v>
      </x:c>
      <x:c r="I257" s="13" t="str"/>
      <x:c r="J257" s="13" t="str">
        <x:v>Primary owning component C05. Execute relevant channels; record actual fixture IDs and observed evidence.</x:v>
      </x:c>
    </x:row>
    <x:row r="258" ht="77" customHeight="1">
      <x:c r="A258" s="11" t="str">
        <x:v>TC-PAR-001-02</x:v>
      </x:c>
      <x:c r="B258" s="11" t="str">
        <x:v>FR-PAR-001 / BR-PAR-001 / SC01–SC08</x:v>
      </x:c>
      <x:c r="C258" s="11" t="str">
        <x:v>P1 / R1</x:v>
      </x:c>
      <x:c r="D258" s="11" t="str">
        <x:v>Optional registries validation and recovery</x:v>
      </x:c>
      <x:c r="E258" s="11" t="str">
        <x:v>Start from the same eligible fixture and retain the submitted draft; record the last committed head and receipt. Introduce the boundary or failure stated below.</x:v>
      </x:c>
      <x:c r="F258" s="11" t="str">
        <x:v>1. Exercise each independent condition in the validation contract, as separate recorded variants: Switching to a registry requires privacy review and field configuration; aggregate-only setup cannot silently create empty personal records. Entity type and relationships are explicit. 2. Inspect the safe error/state and authorised recovery actions. 3. Correct the condition and retry under current authority and expected revision. 4. Compare durable effects and audit history with the original baseline.</x:v>
      </x:c>
      <x:c r="G258" s="11" t="str">
        <x:v>Switching to a registry requires privacy review and field configuration; aggregate-only setup cannot silently create empty personal records. Entity type and relationships are explicit. Ordinary failed saves have no partial effect. Explicit bulk partial modes account for committed and unprocessed items. A retry does not duplicate the intended business effect.</x:v>
      </x:c>
      <x:c r="H258" s="13" t="str">
        <x:v>Not run</x:v>
      </x:c>
      <x:c r="I258" s="13" t="str"/>
      <x:c r="J258" s="13" t="str">
        <x:v>Expand multi-condition variants in the run record. Required negative coverage, not a claim that one assertion covers every security attack.</x:v>
      </x:c>
    </x:row>
    <x:row r="259" ht="90" customHeight="1">
      <x:c r="A259" s="11" t="str">
        <x:v>TC-PAR-002-01</x:v>
      </x:c>
      <x:c r="B259" s="11" t="str">
        <x:v>FR-PAR-002 / BR-PAR-002</x:v>
      </x:c>
      <x:c r="C259" s="11" t="str">
        <x:v>P0 / R1</x:v>
      </x:c>
      <x:c r="D259" s="11" t="str">
        <x:v>Purpose limited identity intended outcome</x:v>
      </x:c>
      <x:c r="E259" s="11" t="str">
        <x:v>Synthetic tenant A; tenant B hidden markers; eligible actor with explicit capability, scope, purpose and current assurance. Set up the source acceptance fixture: An analyst joins two visits for one participant using a pseudonym but cannot resolve the person's name or participation in another programme.</x:v>
      </x:c>
      <x:c r="F259" s="11" t="str">
        <x:v>1. Record current object revisions, policy and safe audit cursor. 2. Perform the specified interaction: Direct identity fields use separate capabilities from analytical attributes. Pseudonyms are scoped to the approved programme or matching agreement. Longitudinal joins use those identifiers while hiding names from ordinary analysts. 3. Inspect UI, canonical API read and audit/receipt for the resulting version. 4. Apply the acceptance example: An analyst joins two visits for one participant using a pseudonym but cannot resolve the person's name or participation in another programme.</x:v>
      </x:c>
      <x:c r="G259" s="11" t="str">
        <x:v>An analyst joins two visits for one participant using a pseudonym but cannot resolve the person's name or participation in another programme. Required behaviour is preserved: Direct identity fields use separate capabilities from analytical attributes. Pseudonyms are scoped to the approved programme or matching agreement. Longitudinal joins use those identifiers while hiding names from ordinary analysts.</x:v>
      </x:c>
      <x:c r="H259" s="13" t="str">
        <x:v>Not run</x:v>
      </x:c>
      <x:c r="I259" s="13" t="str"/>
      <x:c r="J259" s="13" t="str">
        <x:v>Primary owning component C05. Execute relevant channels; record actual fixture IDs and observed evidence.</x:v>
      </x:c>
    </x:row>
    <x:row r="260" ht="77" customHeight="1">
      <x:c r="A260" s="11" t="str">
        <x:v>TC-PAR-002-02</x:v>
      </x:c>
      <x:c r="B260" s="11" t="str">
        <x:v>FR-PAR-002 / BR-PAR-002 / SC01–SC08</x:v>
      </x:c>
      <x:c r="C260" s="11" t="str">
        <x:v>P0 / R1</x:v>
      </x:c>
      <x:c r="D260" s="11" t="str">
        <x:v>Purpose limited identity validation and recovery</x:v>
      </x:c>
      <x:c r="E260" s="11" t="str">
        <x:v>Start from the same eligible fixture and retain the submitted draft; record the last committed head and receipt. Introduce the boundary or failure stated below.</x:v>
      </x:c>
      <x:c r="F260" s="11" t="str">
        <x:v>1. Exercise each independent condition in the validation contract, as separate recorded variants: Cross project linkage requires a separately approved purpose, matching contract and authority to both scopes. A pseudonym is not a universal public identifier. 2. Inspect the safe error/state and authorised recovery actions. 3. Correct the condition and retry under current authority and expected revision. 4. Compare durable effects and audit history with the original baseline.</x:v>
      </x:c>
      <x:c r="G260" s="11" t="str">
        <x:v>Cross project linkage requires a separately approved purpose, matching contract and authority to both scopes. A pseudonym is not a universal public identifier. Ordinary failed saves have no partial effect. Explicit bulk partial modes account for committed and unprocessed items. A retry does not duplicate the intended business effect.</x:v>
      </x:c>
      <x:c r="H260" s="13" t="str">
        <x:v>Not run</x:v>
      </x:c>
      <x:c r="I260" s="13" t="str"/>
      <x:c r="J260" s="13" t="str">
        <x:v>Expand multi-condition variants in the run record. Required negative coverage, not a claim that one assertion covers every security attack.</x:v>
      </x:c>
    </x:row>
    <x:row r="261" ht="103" customHeight="1">
      <x:c r="A261" s="11" t="str">
        <x:v>TC-PAR-003-01</x:v>
      </x:c>
      <x:c r="B261" s="11" t="str">
        <x:v>FR-PAR-003 / BR-PAR-003</x:v>
      </x:c>
      <x:c r="C261" s="11" t="str">
        <x:v>P0 / R1</x:v>
      </x:c>
      <x:c r="D261" s="11" t="str">
        <x:v>Notice consent and lawful handling intended outcome</x:v>
      </x:c>
      <x:c r="E261" s="11" t="str">
        <x:v>Synthetic tenant A; tenant B hidden markers; eligible actor with explicit capability, scope, purpose and current assurance. Set up the source acceptance fixture: Withdraw public image permission while retaining lawful service monitoring; photo publication is blocked and eligible analytic observations remain governed by their own basis.</x:v>
      </x:c>
      <x:c r="F261" s="11" t="str">
        <x:v>1. Record current object revisions, policy and safe audit cursor. 2. Perform the specified interaction: Collection presents the applicable notice and records version, language, purpose, handling basis, recorder and consent decision where relevant. Optional purposes such as photography are independently selected. Withdrawal updates only the affected permitted uses and triggers downstream review. 3. Inspect UI, canonical API read and audit/receipt for the resulting version. 4. Apply the acceptance example: Withdraw public image permission while retaining lawful service monitoring; photo publication is blocked and eligible analytic observations remain governed by their own basis.</x:v>
      </x:c>
      <x:c r="G261" s="11" t="str">
        <x:v>Withdraw public image permission while retaining lawful service monitoring; photo publication is blocked and eligible analytic observations remain governed by their own basis. Required behaviour is preserved: Collection presents the applicable notice and records version, language, purpose, handling basis, recorder and consent decision where relevant. Optional purposes such as photography are independently selected. Withdrawal updates only the affected permitted uses and triggers downstream review.</x:v>
      </x:c>
      <x:c r="H261" s="13" t="str">
        <x:v>Not run</x:v>
      </x:c>
      <x:c r="I261" s="13" t="str"/>
      <x:c r="J261" s="13" t="str">
        <x:v>Primary owning component C05. Execute relevant channels; record actual fixture IDs and observed evidence.</x:v>
      </x:c>
    </x:row>
    <x:row r="262" ht="77" customHeight="1">
      <x:c r="A262" s="11" t="str">
        <x:v>TC-PAR-003-02</x:v>
      </x:c>
      <x:c r="B262" s="11" t="str">
        <x:v>FR-PAR-003 / BR-PAR-003 / SC01–SC08</x:v>
      </x:c>
      <x:c r="C262" s="11" t="str">
        <x:v>P0 / R1</x:v>
      </x:c>
      <x:c r="D262" s="11" t="str">
        <x:v>Notice consent and lawful handling validation and recovery</x:v>
      </x:c>
      <x:c r="E262" s="11" t="str">
        <x:v>Start from the same eligible fixture and retain the submitted draft; record the last committed head and receipt. Introduce the boundary or failure stated below.</x:v>
      </x:c>
      <x:c r="F262" s="11" t="str">
        <x:v>1. Exercise each independent condition in the validation contract, as separate recorded variants: Refusal of optional media must not block a service record unless policy justifies that dependency. Consent is not assumed to authorise research, model training or public disclosure. 2. Inspect the safe error/state and authorised recovery actions. 3. Correct the condition and retry under current authority and expected revision. 4. Compare durable effects and audit history with the original baseline.</x:v>
      </x:c>
      <x:c r="G262" s="11" t="str">
        <x:v>Refusal of optional media must not block a service record unless policy justifies that dependency. Consent is not assumed to authorise research, model training or public disclosure. Ordinary failed saves have no partial effect. Explicit bulk partial modes account for committed and unprocessed items. A retry does not duplicate the intended business effect.</x:v>
      </x:c>
      <x:c r="H262" s="13" t="str">
        <x:v>Not run</x:v>
      </x:c>
      <x:c r="I262" s="13" t="str"/>
      <x:c r="J262" s="13" t="str">
        <x:v>Expand multi-condition variants in the run record. Required negative coverage, not a claim that one assertion covers every security attack.</x:v>
      </x:c>
    </x:row>
    <x:row r="263" ht="90" customHeight="1">
      <x:c r="A263" s="11" t="str">
        <x:v>TC-PAR-004-01</x:v>
      </x:c>
      <x:c r="B263" s="11" t="str">
        <x:v>FR-PAR-004 / BR-PAR-004</x:v>
      </x:c>
      <x:c r="C263" s="11" t="str">
        <x:v>P1 / R1</x:v>
      </x:c>
      <x:c r="D263" s="11" t="str">
        <x:v>Service and participation events intended outcome</x:v>
      </x:c>
      <x:c r="E263" s="11" t="str">
        <x:v>Synthetic tenant A; tenant B hidden markers; eligible actor with explicit capability, scope, purpose and current assurance. Set up the source acceptance fixture: Record three distinct visits for one participant; service count is three and approved unique person count is one.</x:v>
      </x:c>
      <x:c r="F263" s="11" t="str">
        <x:v>1. Record current object revisions, policy and safe audit cursor. 2. Perform the specified interaction: A service event captures stable event identity, subject, event type, date, provider or site and evidence. Corrections create revisions. Reporting selects event counts or distinct subjects according to the indicator definition. 3. Inspect UI, canonical API read and audit/receipt for the resulting version. 4. Apply the acceptance example: Record three distinct visits for one participant; service count is three and approved unique person count is one.</x:v>
      </x:c>
      <x:c r="G263" s="11" t="str">
        <x:v>Record three distinct visits for one participant; service count is three and approved unique person count is one. Required behaviour is preserved: A service event captures stable event identity, subject, event type, date, provider or site and evidence. Corrections create revisions. Reporting selects event counts or distinct subjects according to the indicator definition.</x:v>
      </x:c>
      <x:c r="H263" s="13" t="str">
        <x:v>Not run</x:v>
      </x:c>
      <x:c r="I263" s="13" t="str"/>
      <x:c r="J263" s="13" t="str">
        <x:v>Primary owning component C05. Execute relevant channels; record actual fixture IDs and observed evidence.</x:v>
      </x:c>
    </x:row>
    <x:row r="264" ht="77" customHeight="1">
      <x:c r="A264" s="11" t="str">
        <x:v>TC-PAR-004-02</x:v>
      </x:c>
      <x:c r="B264" s="11" t="str">
        <x:v>FR-PAR-004 / BR-PAR-004 / SC01–SC08</x:v>
      </x:c>
      <x:c r="C264" s="11" t="str">
        <x:v>P1 / R1</x:v>
      </x:c>
      <x:c r="D264" s="11" t="str">
        <x:v>Service and participation events validation and recovery</x:v>
      </x:c>
      <x:c r="E264" s="11" t="str">
        <x:v>Start from the same eligible fixture and retain the submitted draft; record the last committed head and receipt. Introduce the boundary or failure stated below.</x:v>
      </x:c>
      <x:c r="F264" s="11" t="str">
        <x:v>1. Exercise each independent condition in the validation contract, as separate recorded variants: Repeated ingestion of the same event does not add another visit. Cancellation or reversal is explicit and cannot silently remove the original receipt. 2. Inspect the safe error/state and authorised recovery actions. 3. Correct the condition and retry under current authority and expected revision. 4. Compare durable effects and audit history with the original baseline.</x:v>
      </x:c>
      <x:c r="G264" s="11" t="str">
        <x:v>Repeated ingestion of the same event does not add another visit. Cancellation or reversal is explicit and cannot silently remove the original receipt. Ordinary failed saves have no partial effect. Explicit bulk partial modes account for committed and unprocessed items. A retry does not duplicate the intended business effect.</x:v>
      </x:c>
      <x:c r="H264" s="13" t="str">
        <x:v>Not run</x:v>
      </x:c>
      <x:c r="I264" s="13" t="str"/>
      <x:c r="J264" s="13" t="str">
        <x:v>Expand multi-condition variants in the run record. Required negative coverage, not a claim that one assertion covers every security attack.</x:v>
      </x:c>
    </x:row>
    <x:row r="265" ht="90" customHeight="1">
      <x:c r="A265" s="11" t="str">
        <x:v>TC-PAR-005-01</x:v>
      </x:c>
      <x:c r="B265" s="11" t="str">
        <x:v>FR-PAR-005 / BR-PAR-005</x:v>
      </x:c>
      <x:c r="C265" s="11" t="str">
        <x:v>P1 / R2</x:v>
      </x:c>
      <x:c r="D265" s="11" t="str">
        <x:v>Household and group membership intended outcome</x:v>
      </x:c>
      <x:c r="E265" s="11" t="str">
        <x:v>Synthetic tenant A; tenant B hidden markers; eligible actor with explicit capability, scope, purpose and current assurance. Set up the source acceptance fixture: Move a person from household A to B on 1 June; May observations retain A and July observations resolve to B.</x:v>
      </x:c>
      <x:c r="F265" s="11" t="str">
        <x:v>1. Record current object revisions, policy and safe audit cursor. 2. Perform the specified interaction: Household or group membership records entity pair, role, effective start and optional end. A change closes the old interval and opens a new one after overlap validation. Survey submissions pin the relevant relationship version. 3. Inspect UI, canonical API read and audit/receipt for the resulting version. 4. Apply the acceptance example: Move a person from household A to B on 1 June; May observations retain A and July observations resolve to B.</x:v>
      </x:c>
      <x:c r="G265" s="11" t="str">
        <x:v>Move a person from household A to B on 1 June; May observations retain A and July observations resolve to B. Required behaviour is preserved: Household or group membership records entity pair, role, effective start and optional end. A change closes the old interval and opens a new one after overlap validation. Survey submissions pin the relevant relationship version.</x:v>
      </x:c>
      <x:c r="H265" s="13" t="str">
        <x:v>Not run</x:v>
      </x:c>
      <x:c r="I265" s="13" t="str"/>
      <x:c r="J265" s="13" t="str">
        <x:v>Primary owning component C05. Execute relevant channels; record actual fixture IDs and observed evidence.</x:v>
      </x:c>
    </x:row>
    <x:row r="266" ht="77" customHeight="1">
      <x:c r="A266" s="11" t="str">
        <x:v>TC-PAR-005-02</x:v>
      </x:c>
      <x:c r="B266" s="11" t="str">
        <x:v>FR-PAR-005 / BR-PAR-005 / SC01–SC08</x:v>
      </x:c>
      <x:c r="C266" s="11" t="str">
        <x:v>P1 / R2</x:v>
      </x:c>
      <x:c r="D266" s="11" t="str">
        <x:v>Household and group membership validation and recovery</x:v>
      </x:c>
      <x:c r="E266" s="11" t="str">
        <x:v>Start from the same eligible fixture and retain the submitted draft; record the last committed head and receipt. Introduce the boundary or failure stated below.</x:v>
      </x:c>
      <x:c r="F266" s="11" t="str">
        <x:v>1. Exercise each independent condition in the validation contract, as separate recorded variants: A guardian field has separate sensitivity and purpose controls. Current membership is not retrospectively applied to historic surveys. 2. Inspect the safe error/state and authorised recovery actions. 3. Correct the condition and retry under current authority and expected revision. 4. Compare durable effects and audit history with the original baseline.</x:v>
      </x:c>
      <x:c r="G266" s="11" t="str">
        <x:v>A guardian field has separate sensitivity and purpose controls. Current membership is not retrospectively applied to historic surveys. Ordinary failed saves have no partial effect. Explicit bulk partial modes account for committed and unprocessed items. A retry does not duplicate the intended business effect.</x:v>
      </x:c>
      <x:c r="H266" s="13" t="str">
        <x:v>Not run</x:v>
      </x:c>
      <x:c r="I266" s="13" t="str"/>
      <x:c r="J266" s="13" t="str">
        <x:v>Expand multi-condition variants in the run record. Required negative coverage, not a claim that one assertion covers every security attack.</x:v>
      </x:c>
    </x:row>
    <x:row r="267" ht="103" customHeight="1">
      <x:c r="A267" s="11" t="str">
        <x:v>TC-PAR-006-01</x:v>
      </x:c>
      <x:c r="B267" s="11" t="str">
        <x:v>FR-PAR-006 / BR-PAR-006</x:v>
      </x:c>
      <x:c r="C267" s="11" t="str">
        <x:v>P1 / R2</x:v>
      </x:c>
      <x:c r="D267" s="11" t="str">
        <x:v>Cohorts and follow up intended outcome</x:v>
      </x:c>
      <x:c r="E267" s="11" t="str">
        <x:v>Synthetic tenant A; tenant B hidden markers; eligible actor with explicit capability, scope, purpose and current assurance. Set up the source acceptance fixture: Ten enrolled participants with two missing follow ups produce the declared denominator and explicit attrition, not eight automatically successful outcomes.</x:v>
      </x:c>
      <x:c r="F267" s="11" t="str">
        <x:v>1. Record current object revisions, policy and safe audit cursor. 2. Perform the specified interaction: Cohort creation pins eligibility rules, index date, observation windows and denominator policy. Follow up outcomes record completed, missing, withdrawn, ineligible, deceased or lost to follow up where appropriate. Analysis displays exclusions and their reasons. 3. Inspect UI, canonical API read and audit/receipt for the resulting version. 4. Apply the acceptance example: Ten enrolled participants with two missing follow ups produce the declared denominator and explicit attrition, not eight automatically successful outcomes.</x:v>
      </x:c>
      <x:c r="G267" s="11" t="str">
        <x:v>Ten enrolled participants with two missing follow ups produce the declared denominator and explicit attrition, not eight automatically successful outcomes. Required behaviour is preserved: Cohort creation pins eligibility rules, index date, observation windows and denominator policy. Follow up outcomes record completed, missing, withdrawn, ineligible, deceased or lost to follow up where appropriate. Analysis displays exclusions and their reasons.</x:v>
      </x:c>
      <x:c r="H267" s="13" t="str">
        <x:v>Not run</x:v>
      </x:c>
      <x:c r="I267" s="13" t="str"/>
      <x:c r="J267" s="13" t="str">
        <x:v>Primary owning component C05. Execute relevant channels; record actual fixture IDs and observed evidence.</x:v>
      </x:c>
    </x:row>
    <x:row r="268" ht="90" customHeight="1">
      <x:c r="A268" s="11" t="str">
        <x:v>TC-PAR-006-02</x:v>
      </x:c>
      <x:c r="B268" s="11" t="str">
        <x:v>FR-PAR-006 / BR-PAR-006 / SC01–SC08</x:v>
      </x:c>
      <x:c r="C268" s="11" t="str">
        <x:v>P1 / R2</x:v>
      </x:c>
      <x:c r="D268" s="11" t="str">
        <x:v>Cohorts and follow up validation and recovery</x:v>
      </x:c>
      <x:c r="E268" s="11" t="str">
        <x:v>Start from the same eligible fixture and retain the submitted draft; record the last committed head and receipt. Introduce the boundary or failure stated below.</x:v>
      </x:c>
      <x:c r="F268" s="11" t="str">
        <x:v>1. Exercise each independent condition in the validation contract, as separate recorded variants: Denominator changes require an approved rule; missing follow up is not successful treatment. An outside-window observation is separately flagged and cannot silently substitute for the intended visit. 2. Inspect the safe error/state and authorised recovery actions. 3. Correct the condition and retry under current authority and expected revision. 4. Compare durable effects and audit history with the original baseline.</x:v>
      </x:c>
      <x:c r="G268" s="11" t="str">
        <x:v>Denominator changes require an approved rule; missing follow up is not successful treatment. An outside-window observation is separately flagged and cannot silently substitute for the intended visit. Ordinary failed saves have no partial effect. Explicit bulk partial modes account for committed and unprocessed items. A retry does not duplicate the intended business effect.</x:v>
      </x:c>
      <x:c r="H268" s="13" t="str">
        <x:v>Not run</x:v>
      </x:c>
      <x:c r="I268" s="13" t="str"/>
      <x:c r="J268" s="13" t="str">
        <x:v>Expand multi-condition variants in the run record. Required negative coverage, not a claim that one assertion covers every security attack.</x:v>
      </x:c>
    </x:row>
    <x:row r="269" ht="103" customHeight="1">
      <x:c r="A269" s="11" t="str">
        <x:v>TC-PAR-007-01</x:v>
      </x:c>
      <x:c r="B269" s="11" t="str">
        <x:v>FR-PAR-007 / BR-PAR-007</x:v>
      </x:c>
      <x:c r="C269" s="11" t="str">
        <x:v>P0 / R1</x:v>
      </x:c>
      <x:c r="D269" s="11" t="str">
        <x:v>Safeguarding and vulnerable people intended outcome</x:v>
      </x:c>
      <x:c r="E269" s="11" t="str">
        <x:v>Synthetic tenant A; tenant B hidden markers; eligible actor with explicit capability, scope, purpose and current assurance. Set up the source acceptance fixture: An enumerator flags a concern; only the assigned safeguarding officer can open its content while the manager sees a restricted follow up status.</x:v>
      </x:c>
      <x:c r="F269" s="11" t="str">
        <x:v>1. Record current object revisions, policy and safe audit cursor. 2. Perform the specified interaction: Sensitive programme setup selects guardian and notice rules, safe contact channels, restricted fields and evidence policy. A safeguarding concern creates a restricted case with minimal reference in ordinary workspaces and routes only to designated staff. 3. Inspect UI, canonical API read and audit/receipt for the resulting version. 4. Apply the acceptance example: An enumerator flags a concern; only the assigned safeguarding officer can open its content while the manager sees a restricted follow up status.</x:v>
      </x:c>
      <x:c r="G269" s="11" t="str">
        <x:v>An enumerator flags a concern; only the assigned safeguarding officer can open its content while the manager sees a restricted follow up status. Required behaviour is preserved: Sensitive programme setup selects guardian and notice rules, safe contact channels, restricted fields and evidence policy. A safeguarding concern creates a restricted case with minimal reference in ordinary workspaces and routes only to designated staff.</x:v>
      </x:c>
      <x:c r="H269" s="13" t="str">
        <x:v>Not run</x:v>
      </x:c>
      <x:c r="I269" s="13" t="str"/>
      <x:c r="J269" s="13" t="str">
        <x:v>Primary owning component C05. Execute relevant channels; record actual fixture IDs and observed evidence.</x:v>
      </x:c>
    </x:row>
    <x:row r="270" ht="77" customHeight="1">
      <x:c r="A270" s="11" t="str">
        <x:v>TC-PAR-007-02</x:v>
      </x:c>
      <x:c r="B270" s="11" t="str">
        <x:v>FR-PAR-007 / BR-PAR-007 / SC01–SC08</x:v>
      </x:c>
      <x:c r="C270" s="11" t="str">
        <x:v>P0 / R1</x:v>
      </x:c>
      <x:c r="D270" s="11" t="str">
        <x:v>Safeguarding and vulnerable people validation and recovery</x:v>
      </x:c>
      <x:c r="E270" s="11" t="str">
        <x:v>Start from the same eligible fixture and retain the submitted draft; record the last committed head and receipt. Introduce the boundary or failure stated below.</x:v>
      </x:c>
      <x:c r="F270" s="11" t="str">
        <x:v>1. Exercise each independent condition in the validation contract, as separate recorded variants: Do not put the concern narrative, precise location or child's identity in general notifications. Ordinary programme membership does not imply safeguarding access. 2. Inspect the safe error/state and authorised recovery actions. 3. Correct the condition and retry under current authority and expected revision. 4. Compare durable effects and audit history with the original baseline.</x:v>
      </x:c>
      <x:c r="G270" s="11" t="str">
        <x:v>Do not put the concern narrative, precise location or child's identity in general notifications. Ordinary programme membership does not imply safeguarding access. Ordinary failed saves have no partial effect. Explicit bulk partial modes account for committed and unprocessed items. A retry does not duplicate the intended business effect.</x:v>
      </x:c>
      <x:c r="H270" s="13" t="str">
        <x:v>Not run</x:v>
      </x:c>
      <x:c r="I270" s="13" t="str"/>
      <x:c r="J270" s="13" t="str">
        <x:v>Expand multi-condition variants in the run record. Required negative coverage, not a claim that one assertion covers every security attack.</x:v>
      </x:c>
    </x:row>
    <x:row r="271" ht="90" customHeight="1">
      <x:c r="A271" s="11" t="str">
        <x:v>TC-PAR-008-01</x:v>
      </x:c>
      <x:c r="B271" s="11" t="str">
        <x:v>FR-PAR-008 / BR-PAR-008</x:v>
      </x:c>
      <x:c r="C271" s="11" t="str">
        <x:v>P0 / R1</x:v>
      </x:c>
      <x:c r="D271" s="11" t="str">
        <x:v>Participant requests and corrections intended outcome</x:v>
      </x:c>
      <x:c r="E271" s="11" t="str">
        <x:v>Synthetic tenant A; tenant B hidden markers; eligible actor with explicit capability, scope, purpose and current assurance. Set up the source acceptance fixture: Correct a wrongly linked visit and recalculate both participants' histories without retaining the erroneous private association in ordinary views.</x:v>
      </x:c>
      <x:c r="F271" s="11" t="str">
        <x:v>1. Record current object revisions, policy and safe audit cursor. 2. Perform the specified interaction: A verified correction request identifies the subject through permitted evidence and opens a scoped case. The reviewer resolves wrong identity, attribute correction, restriction or merge and previews downstream effects before application. 3. Inspect UI, canonical API read and audit/receipt for the resulting version. 4. Apply the acceptance example: Correct a wrongly linked visit and recalculate both participants' histories without retaining the erroneous private association in ordinary views.</x:v>
      </x:c>
      <x:c r="G271" s="11" t="str">
        <x:v>Correct a wrongly linked visit and recalculate both participants' histories without retaining the erroneous private association in ordinary views. Required behaviour is preserved: A verified correction request identifies the subject through permitted evidence and opens a scoped case. The reviewer resolves wrong identity, attribute correction, restriction or merge and previews downstream effects before application.</x:v>
      </x:c>
      <x:c r="H271" s="13" t="str">
        <x:v>Not run</x:v>
      </x:c>
      <x:c r="I271" s="13" t="str"/>
      <x:c r="J271" s="13" t="str">
        <x:v>Primary owning component C05. Execute relevant channels; record actual fixture IDs and observed evidence.</x:v>
      </x:c>
    </x:row>
    <x:row r="272" ht="77" customHeight="1">
      <x:c r="A272" s="11" t="str">
        <x:v>TC-PAR-008-02</x:v>
      </x:c>
      <x:c r="B272" s="11" t="str">
        <x:v>FR-PAR-008 / BR-PAR-008 / SC01–SC08</x:v>
      </x:c>
      <x:c r="C272" s="11" t="str">
        <x:v>P0 / R1</x:v>
      </x:c>
      <x:c r="D272" s="11" t="str">
        <x:v>Participant requests and corrections validation and recovery</x:v>
      </x:c>
      <x:c r="E272" s="11" t="str">
        <x:v>Start from the same eligible fixture and retain the submitted draft; record the last committed head and receipt. Introduce the boundary or failure stated below.</x:v>
      </x:c>
      <x:c r="F272" s="11" t="str">
        <x:v>1. Exercise each independent condition in the validation contract, as separate recorded variants: Do not expose household members' information during verification or response. Corrections preserve minimal attribution while deleting disallowed personal values where required. 2. Inspect the safe error/state and authorised recovery actions. 3. Correct the condition and retry under current authority and expected revision. 4. Compare durable effects and audit history with the original baseline.</x:v>
      </x:c>
      <x:c r="G272" s="11" t="str">
        <x:v>Do not expose household members' information during verification or response. Corrections preserve minimal attribution while deleting disallowed personal values where required. Ordinary failed saves have no partial effect. Explicit bulk partial modes account for committed and unprocessed items. A retry does not duplicate the intended business effect.</x:v>
      </x:c>
      <x:c r="H272" s="13" t="str">
        <x:v>Not run</x:v>
      </x:c>
      <x:c r="I272" s="13" t="str"/>
      <x:c r="J272" s="13" t="str">
        <x:v>Expand multi-condition variants in the run record. Required negative coverage, not a claim that one assertion covers every security attack.</x:v>
      </x:c>
    </x:row>
    <x:row r="273" ht="90" customHeight="1">
      <x:c r="A273" s="11" t="str">
        <x:v>TC-EVD-001-01</x:v>
      </x:c>
      <x:c r="B273" s="11" t="str">
        <x:v>FR-EVD-001 / BR-EVD-001</x:v>
      </x:c>
      <x:c r="C273" s="11" t="str">
        <x:v>P0 / R1</x:v>
      </x:c>
      <x:c r="D273" s="11" t="str">
        <x:v>Evidence repository intended outcome</x:v>
      </x:c>
      <x:c r="E273" s="11" t="str">
        <x:v>Synthetic tenant A; tenant B hidden markers; eligible actor with explicit capability, scope, purpose and current assurance. Set up the source acceptance fixture: Link version 1 of a survey to an achievement, upload version 2 and verify the earlier achievement still cites version 1.</x:v>
      </x:c>
      <x:c r="F273" s="11" t="str">
        <x:v>1. Record current object revisions, policy and safe audit cursor. 2. Perform the specified interaction: Evidence upload collects type, source, date, owner, sensitivity and retention, then receives a safety status. Users link specific evidence versions to permitted results, findings and decisions. Repository search exposes only authorised metadata and content. 3. Inspect UI, canonical API read and audit/receipt for the resulting version. 4. Apply the acceptance example: Link version 1 of a survey to an achievement, upload version 2 and verify the earlier achievement still cites version 1.</x:v>
      </x:c>
      <x:c r="G273" s="11" t="str">
        <x:v>Link version 1 of a survey to an achievement, upload version 2 and verify the earlier achievement still cites version 1. Required behaviour is preserved: Evidence upload collects type, source, date, owner, sensitivity and retention, then receives a safety status. Users link specific evidence versions to permitted results, findings and decisions. Repository search exposes only authorised metadata and content.</x:v>
      </x:c>
      <x:c r="H273" s="13" t="str">
        <x:v>Not run</x:v>
      </x:c>
      <x:c r="I273" s="13" t="str"/>
      <x:c r="J273" s="13" t="str">
        <x:v>Primary owning component C07. Execute relevant channels; record actual fixture IDs and observed evidence.</x:v>
      </x:c>
    </x:row>
    <x:row r="274" ht="77" customHeight="1">
      <x:c r="A274" s="11" t="str">
        <x:v>TC-EVD-001-02</x:v>
      </x:c>
      <x:c r="B274" s="11" t="str">
        <x:v>FR-EVD-001 / BR-EVD-001 / SC01–SC08</x:v>
      </x:c>
      <x:c r="C274" s="11" t="str">
        <x:v>P0 / R1</x:v>
      </x:c>
      <x:c r="D274" s="11" t="str">
        <x:v>Evidence repository validation and recovery</x:v>
      </x:c>
      <x:c r="E274" s="11" t="str">
        <x:v>Start from the same eligible fixture and retain the submitted draft; record the last committed head and receipt. Introduce the boundary or failure stated below.</x:v>
      </x:c>
      <x:c r="F274" s="11" t="str">
        <x:v>1. Exercise each independent condition in the validation contract, as separate recorded variants: A source URL remains an external reference with last checked status, not an archived guarantee. Replacing a file creates a new version; it never overwrites a published citation. 2. Inspect the safe error/state and authorised recovery actions. 3. Correct the condition and retry under current authority and expected revision. 4. Compare durable effects and audit history with the original baseline.</x:v>
      </x:c>
      <x:c r="G274" s="11" t="str">
        <x:v>A source URL remains an external reference with last checked status, not an archived guarantee. Replacing a file creates a new version; it never overwrites a published citation. Ordinary failed saves have no partial effect. Explicit bulk partial modes account for committed and unprocessed items. A retry does not duplicate the intended business effect.</x:v>
      </x:c>
      <x:c r="H274" s="13" t="str">
        <x:v>Not run</x:v>
      </x:c>
      <x:c r="I274" s="13" t="str"/>
      <x:c r="J274" s="13" t="str">
        <x:v>Expand multi-condition variants in the run record. Required negative coverage, not a claim that one assertion covers every security attack.</x:v>
      </x:c>
    </x:row>
    <x:row r="275" ht="90" customHeight="1">
      <x:c r="A275" s="11" t="str">
        <x:v>TC-EVD-002-01</x:v>
      </x:c>
      <x:c r="B275" s="11" t="str">
        <x:v>FR-EVD-002 / BR-EVD-002</x:v>
      </x:c>
      <x:c r="C275" s="11" t="str">
        <x:v>P0 / R1</x:v>
      </x:c>
      <x:c r="D275" s="11" t="str">
        <x:v>Evidence verification and provenance intended outcome</x:v>
      </x:c>
      <x:c r="E275" s="11" t="str">
        <x:v>Synthetic tenant A; tenant B hidden markers; eligible actor with explicit capability, scope, purpose and current assurance. Set up the source acceptance fixture: Mark a previously verified attendance sheet disputed; affected unpublished claims require resolution while published reports enter correction review.</x:v>
      </x:c>
      <x:c r="F275" s="11" t="str">
        <x:v>1. Record current object revisions, policy and safe audit cursor. 2. Perform the specified interaction: Verification records reviewer, method, source checks, limitations and verified or disputed status. The system displays integrity identity separately from authenticity. A dispute identifies every dependent claim and initiates review tasks. 3. Inspect UI, canonical API read and audit/receipt for the resulting version. 4. Apply the acceptance example: Mark a previously verified attendance sheet disputed; affected unpublished claims require resolution while published reports enter correction review.</x:v>
      </x:c>
      <x:c r="G275" s="11" t="str">
        <x:v>Mark a previously verified attendance sheet disputed; affected unpublished claims require resolution while published reports enter correction review. Required behaviour is preserved: Verification records reviewer, method, source checks, limitations and verified or disputed status. The system displays integrity identity separately from authenticity. A dispute identifies every dependent claim and initiates review tasks.</x:v>
      </x:c>
      <x:c r="H275" s="13" t="str">
        <x:v>Not run</x:v>
      </x:c>
      <x:c r="I275" s="13" t="str"/>
      <x:c r="J275" s="13" t="str">
        <x:v>Primary owning component C07. Execute relevant channels; record actual fixture IDs and observed evidence.</x:v>
      </x:c>
    </x:row>
    <x:row r="276" ht="77" customHeight="1">
      <x:c r="A276" s="11" t="str">
        <x:v>TC-EVD-002-02</x:v>
      </x:c>
      <x:c r="B276" s="11" t="str">
        <x:v>FR-EVD-002 / BR-EVD-002 / SC01–SC08</x:v>
      </x:c>
      <x:c r="C276" s="11" t="str">
        <x:v>P0 / R1</x:v>
      </x:c>
      <x:c r="D276" s="11" t="str">
        <x:v>Evidence verification and provenance validation and recovery</x:v>
      </x:c>
      <x:c r="E276" s="11" t="str">
        <x:v>Start from the same eligible fixture and retain the submitted draft; record the last committed head and receipt. Introduce the boundary or failure stated below.</x:v>
      </x:c>
      <x:c r="F276" s="11" t="str">
        <x:v>1. Exercise each independent condition in the validation contract, as separate recorded variants: A passed malware scan or file hash cannot establish truth. Mandatory evidence with unresolved dispute blocks unqualified publication. 2. Inspect the safe error/state and authorised recovery actions. 3. Correct the condition and retry under current authority and expected revision. 4. Compare durable effects and audit history with the original baseline.</x:v>
      </x:c>
      <x:c r="G276" s="11" t="str">
        <x:v>A passed malware scan or file hash cannot establish truth. Mandatory evidence with unresolved dispute blocks unqualified publication. Ordinary failed saves have no partial effect. Explicit bulk partial modes account for committed and unprocessed items. A retry does not duplicate the intended business effect.</x:v>
      </x:c>
      <x:c r="H276" s="13" t="str">
        <x:v>Not run</x:v>
      </x:c>
      <x:c r="I276" s="13" t="str"/>
      <x:c r="J276" s="13" t="str">
        <x:v>Expand multi-condition variants in the run record. Required negative coverage, not a claim that one assertion covers every security attack.</x:v>
      </x:c>
    </x:row>
    <x:row r="277" ht="90" customHeight="1">
      <x:c r="A277" s="11" t="str">
        <x:v>TC-EVD-003-01</x:v>
      </x:c>
      <x:c r="B277" s="11" t="str">
        <x:v>FR-EVD-003 / BR-EVD-003</x:v>
      </x:c>
      <x:c r="C277" s="11" t="str">
        <x:v>P1 / R1</x:v>
      </x:c>
      <x:c r="D277" s="11" t="str">
        <x:v>Search and knowledge retrieval intended outcome</x:v>
      </x:c>
      <x:c r="E277" s="11" t="str">
        <x:v>Synthetic tenant A; tenant B hidden markers; eligible actor with explicit capability, scope, purpose and current assurance. Set up the source acceptance fixture: Search a phrase present only in a restricted report; an unprivileged user receives no matching snippet, citation or revealing count.</x:v>
      </x:c>
      <x:c r="F277" s="11" t="str">
        <x:v>1. Record current object revisions, policy and safe audit cursor. 2. Perform the specified interaction: Search applies permission and purpose filters before result counts and snippets. Indexed text records source version and extraction status. Filters include source, type, date and permitted classification; unsupported content shows metadata only. 3. Inspect UI, canonical API read and audit/receipt for the resulting version. 4. Apply the acceptance example: Search a phrase present only in a restricted report; an unprivileged user receives no matching snippet, citation or revealing count.</x:v>
      </x:c>
      <x:c r="G277" s="11" t="str">
        <x:v>Search a phrase present only in a restricted report; an unprivileged user receives no matching snippet, citation or revealing count. Required behaviour is preserved: Search applies permission and purpose filters before result counts and snippets. Indexed text records source version and extraction status. Filters include source, type, date and permitted classification; unsupported content shows metadata only.</x:v>
      </x:c>
      <x:c r="H277" s="13" t="str">
        <x:v>Not run</x:v>
      </x:c>
      <x:c r="I277" s="13" t="str"/>
      <x:c r="J277" s="13" t="str">
        <x:v>Primary owning component C07. Execute relevant channels; record actual fixture IDs and observed evidence.</x:v>
      </x:c>
    </x:row>
    <x:row r="278" ht="77" customHeight="1">
      <x:c r="A278" s="11" t="str">
        <x:v>TC-EVD-003-02</x:v>
      </x:c>
      <x:c r="B278" s="11" t="str">
        <x:v>FR-EVD-003 / BR-EVD-003 / SC01–SC08</x:v>
      </x:c>
      <x:c r="C278" s="11" t="str">
        <x:v>P1 / R1</x:v>
      </x:c>
      <x:c r="D278" s="11" t="str">
        <x:v>Search and knowledge retrieval validation and recovery</x:v>
      </x:c>
      <x:c r="E278" s="11" t="str">
        <x:v>Start from the same eligible fixture and retain the submitted draft; record the last committed head and receipt. Introduce the boundary or failure stated below.</x:v>
      </x:c>
      <x:c r="F278" s="11" t="str">
        <x:v>1. Exercise each independent condition in the validation contract, as separate recorded variants: Revocation and deletion remove access to index, snippets, suggested queries and AI retrieval. Unauthorised documents do not contribute visible counts or facets. 2. Inspect the safe error/state and authorised recovery actions. 3. Correct the condition and retry under current authority and expected revision. 4. Compare durable effects and audit history with the original baseline.</x:v>
      </x:c>
      <x:c r="G278" s="11" t="str">
        <x:v>Revocation and deletion remove access to index, snippets, suggested queries and AI retrieval. Unauthorised documents do not contribute visible counts or facets. Ordinary failed saves have no partial effect. Explicit bulk partial modes account for committed and unprocessed items. A retry does not duplicate the intended business effect.</x:v>
      </x:c>
      <x:c r="H278" s="13" t="str">
        <x:v>Not run</x:v>
      </x:c>
      <x:c r="I278" s="13" t="str"/>
      <x:c r="J278" s="13" t="str">
        <x:v>Expand multi-condition variants in the run record. Required negative coverage, not a claim that one assertion covers every security attack.</x:v>
      </x:c>
    </x:row>
    <x:row r="279" ht="90" customHeight="1">
      <x:c r="A279" s="11" t="str">
        <x:v>TC-EVD-004-01</x:v>
      </x:c>
      <x:c r="B279" s="11" t="str">
        <x:v>FR-EVD-004 / BR-EVD-004</x:v>
      </x:c>
      <x:c r="C279" s="11" t="str">
        <x:v>P1 / R1</x:v>
      </x:c>
      <x:c r="D279" s="11" t="str">
        <x:v>Document versioning and annotations intended outcome</x:v>
      </x:c>
      <x:c r="E279" s="11" t="str">
        <x:v>Synthetic tenant A; tenant B hidden markers; eligible actor with explicit capability, scope, purpose and current assurance. Set up the source acceptance fixture: Replace a report where pages shift; the old published citation still resolves to the old page and a new annotation requires verified remapping.</x:v>
      </x:c>
      <x:c r="F279" s="11" t="str">
        <x:v>1. Record current object revisions, policy and safe audit cursor. 2. Perform the specified interaction: Annotations reference a specific document version and a stable page, section, timestamp or excerpt anchor. A new version may offer reviewed anchor migration with ambiguity flags. Comment edits retain author and permitted history. 3. Inspect UI, canonical API read and audit/receipt for the resulting version. 4. Apply the acceptance example: Replace a report where pages shift; the old published citation still resolves to the old page and a new annotation requires verified remapping.</x:v>
      </x:c>
      <x:c r="G279" s="11" t="str">
        <x:v>Replace a report where pages shift; the old published citation still resolves to the old page and a new annotation requires verified remapping. Required behaviour is preserved: Annotations reference a specific document version and a stable page, section, timestamp or excerpt anchor. A new version may offer reviewed anchor migration with ambiguity flags. Comment edits retain author and permitted history.</x:v>
      </x:c>
      <x:c r="H279" s="13" t="str">
        <x:v>Not run</x:v>
      </x:c>
      <x:c r="I279" s="13" t="str"/>
      <x:c r="J279" s="13" t="str">
        <x:v>Primary owning component C07. Execute relevant channels; record actual fixture IDs and observed evidence.</x:v>
      </x:c>
    </x:row>
    <x:row r="280" ht="77" customHeight="1">
      <x:c r="A280" s="11" t="str">
        <x:v>TC-EVD-004-02</x:v>
      </x:c>
      <x:c r="B280" s="11" t="str">
        <x:v>FR-EVD-004 / BR-EVD-004 / SC01–SC08</x:v>
      </x:c>
      <x:c r="C280" s="11" t="str">
        <x:v>P1 / R1</x:v>
      </x:c>
      <x:c r="D280" s="11" t="str">
        <x:v>Document versioning and annotations validation and recovery</x:v>
      </x:c>
      <x:c r="E280" s="11" t="str">
        <x:v>Start from the same eligible fixture and retain the submitted draft; record the last committed head and receipt. Introduce the boundary or failure stated below.</x:v>
      </x:c>
      <x:c r="F280" s="11" t="str">
        <x:v>1. Exercise each independent condition in the validation contract, as separate recorded variants: If an anchor cannot be matched, mark it unresolved rather than attaching it to a similar passage. Published citations remain pinned to their original version. 2. Inspect the safe error/state and authorised recovery actions. 3. Correct the condition and retry under current authority and expected revision. 4. Compare durable effects and audit history with the original baseline.</x:v>
      </x:c>
      <x:c r="G280" s="11" t="str">
        <x:v>If an anchor cannot be matched, mark it unresolved rather than attaching it to a similar passage. Published citations remain pinned to their original version. Ordinary failed saves have no partial effect. Explicit bulk partial modes account for committed and unprocessed items. A retry does not duplicate the intended business effect.</x:v>
      </x:c>
      <x:c r="H280" s="13" t="str">
        <x:v>Not run</x:v>
      </x:c>
      <x:c r="I280" s="13" t="str"/>
      <x:c r="J280" s="13" t="str">
        <x:v>Expand multi-condition variants in the run record. Required negative coverage, not a claim that one assertion covers every security attack.</x:v>
      </x:c>
    </x:row>
    <x:row r="281" ht="103" customHeight="1">
      <x:c r="A281" s="11" t="str">
        <x:v>TC-EVD-005-01</x:v>
      </x:c>
      <x:c r="B281" s="11" t="str">
        <x:v>FR-EVD-005 / BR-EVD-005</x:v>
      </x:c>
      <x:c r="C281" s="11" t="str">
        <x:v>P1 / R2</x:v>
      </x:c>
      <x:c r="D281" s="11" t="str">
        <x:v>Qualitative coding intended outcome</x:v>
      </x:c>
      <x:c r="E281" s="11" t="str">
        <x:v>Synthetic tenant A; tenant B hidden markers; eligible actor with explicit capability, scope, purpose and current assurance. Set up the source acceptance fixture: Two coders label the same transcript differently; both assignments remain and the adjudication records its rationale and codebook version.</x:v>
      </x:c>
      <x:c r="F281" s="11" t="str">
        <x:v>1. Record current object revisions, policy and safe audit cursor. 2. Perform the specified interaction: A codebook defines stable codes, meanings, inclusion and exclusion examples and version. Each coder independently assigns excerpts and memos. Comparison shows disagreement and an adjudicator records the final interpretation while preserving individual decisions. 3. Inspect UI, canonical API read and audit/receipt for the resulting version. 4. Apply the acceptance example: Two coders label the same transcript differently; both assignments remain and the adjudication records its rationale and codebook version.</x:v>
      </x:c>
      <x:c r="G281" s="11" t="str">
        <x:v>Two coders label the same transcript differently; both assignments remain and the adjudication records its rationale and codebook version. Required behaviour is preserved: A codebook defines stable codes, meanings, inclusion and exclusion examples and version. Each coder independently assigns excerpts and memos. Comparison shows disagreement and an adjudicator records the final interpretation while preserving individual decisions.</x:v>
      </x:c>
      <x:c r="H281" s="13" t="str">
        <x:v>Not run</x:v>
      </x:c>
      <x:c r="I281" s="13" t="str"/>
      <x:c r="J281" s="13" t="str">
        <x:v>Primary owning component C07. Execute relevant channels; record actual fixture IDs and observed evidence.</x:v>
      </x:c>
    </x:row>
    <x:row r="282" ht="77" customHeight="1">
      <x:c r="A282" s="11" t="str">
        <x:v>TC-EVD-005-02</x:v>
      </x:c>
      <x:c r="B282" s="11" t="str">
        <x:v>FR-EVD-005 / BR-EVD-005 / SC01–SC08</x:v>
      </x:c>
      <x:c r="C282" s="11" t="str">
        <x:v>P1 / R2</x:v>
      </x:c>
      <x:c r="D282" s="11" t="str">
        <x:v>Qualitative coding validation and recovery</x:v>
      </x:c>
      <x:c r="E282" s="11" t="str">
        <x:v>Start from the same eligible fixture and retain the submitted draft; record the last committed head and receipt. Introduce the boundary or failure stated below.</x:v>
      </x:c>
      <x:c r="F282" s="11" t="str">
        <x:v>1. Exercise each independent condition in the validation contract, as separate recorded variants: Do not calculate agreement using unmatched units or claim consensus from overwriting a coder's work. Excerpts and themes inherit source restrictions. 2. Inspect the safe error/state and authorised recovery actions. 3. Correct the condition and retry under current authority and expected revision. 4. Compare durable effects and audit history with the original baseline.</x:v>
      </x:c>
      <x:c r="G282" s="11" t="str">
        <x:v>Do not calculate agreement using unmatched units or claim consensus from overwriting a coder's work. Excerpts and themes inherit source restrictions. Ordinary failed saves have no partial effect. Explicit bulk partial modes account for committed and unprocessed items. A retry does not duplicate the intended business effect.</x:v>
      </x:c>
      <x:c r="H282" s="13" t="str">
        <x:v>Not run</x:v>
      </x:c>
      <x:c r="I282" s="13" t="str"/>
      <x:c r="J282" s="13" t="str">
        <x:v>Expand multi-condition variants in the run record. Required negative coverage, not a claim that one assertion covers every security attack.</x:v>
      </x:c>
    </x:row>
    <x:row r="283" ht="103" customHeight="1">
      <x:c r="A283" s="11" t="str">
        <x:v>TC-EVD-006-01</x:v>
      </x:c>
      <x:c r="B283" s="11" t="str">
        <x:v>FR-EVD-006 / BR-EVD-006</x:v>
      </x:c>
      <x:c r="C283" s="11" t="str">
        <x:v>P1 / R2</x:v>
      </x:c>
      <x:c r="D283" s="11" t="str">
        <x:v>Transcription and translation intended outcome</x:v>
      </x:c>
      <x:c r="E283" s="11" t="str">
        <x:v>Synthetic tenant A; tenant B hidden markers; eligible actor with explicit capability, scope, purpose and current assurance. Set up the source acceptance fixture: Correct a translated phrase at minute 03:12 and verify a report quotation resolves to the corrected segment and original recording.</x:v>
      </x:c>
      <x:c r="F283" s="11" t="str">
        <x:v>1. Record current object revisions, policy and safe audit cursor. 2. Perform the specified interaction: A processing request selects recording, approved destination, language and permitted task. Generated transcript or translation is a new labelled artifact linked to original offsets. Users correct segments and retain original automated output according to policy. 3. Inspect UI, canonical API read and audit/receipt for the resulting version. 4. Apply the acceptance example: Correct a translated phrase at minute 03:12 and verify a report quotation resolves to the corrected segment and original recording.</x:v>
      </x:c>
      <x:c r="G283" s="11" t="str">
        <x:v>Correct a translated phrase at minute 03:12 and verify a report quotation resolves to the corrected segment and original recording. Required behaviour is preserved: A processing request selects recording, approved destination, language and permitted task. Generated transcript or translation is a new labelled artifact linked to original offsets. Users correct segments and retain original automated output according to policy.</x:v>
      </x:c>
      <x:c r="H283" s="13" t="str">
        <x:v>Not run</x:v>
      </x:c>
      <x:c r="I283" s="13" t="str"/>
      <x:c r="J283" s="13" t="str">
        <x:v>Primary owning component C07. Execute relevant channels; record actual fixture IDs and observed evidence.</x:v>
      </x:c>
    </x:row>
    <x:row r="284" ht="77" customHeight="1">
      <x:c r="A284" s="11" t="str">
        <x:v>TC-EVD-006-02</x:v>
      </x:c>
      <x:c r="B284" s="11" t="str">
        <x:v>FR-EVD-006 / BR-EVD-006 / SC01–SC08</x:v>
      </x:c>
      <x:c r="C284" s="11" t="str">
        <x:v>P1 / R2</x:v>
      </x:c>
      <x:c r="D284" s="11" t="str">
        <x:v>Transcription and translation validation and recovery</x:v>
      </x:c>
      <x:c r="E284" s="11" t="str">
        <x:v>Start from the same eligible fixture and retain the submitted draft; record the last committed head and receipt. Introduce the boundary or failure stated below.</x:v>
      </x:c>
      <x:c r="F284" s="11" t="str">
        <x:v>1. Exercise each independent condition in the validation contract, as separate recorded variants: Uncertain speakers or timings are marked unknown, not invented. Sensitive recordings cannot fall back to an unapproved provider. Quotation use requires review of the original meaning. 2. Inspect the safe error/state and authorised recovery actions. 3. Correct the condition and retry under current authority and expected revision. 4. Compare durable effects and audit history with the original baseline.</x:v>
      </x:c>
      <x:c r="G284" s="11" t="str">
        <x:v>Uncertain speakers or timings are marked unknown, not invented. Sensitive recordings cannot fall back to an unapproved provider. Quotation use requires review of the original meaning. Ordinary failed saves have no partial effect. Explicit bulk partial modes account for committed and unprocessed items. A retry does not duplicate the intended business effect.</x:v>
      </x:c>
      <x:c r="H284" s="13" t="str">
        <x:v>Not run</x:v>
      </x:c>
      <x:c r="I284" s="13" t="str"/>
      <x:c r="J284" s="13" t="str">
        <x:v>Expand multi-condition variants in the run record. Required negative coverage, not a claim that one assertion covers every security attack.</x:v>
      </x:c>
    </x:row>
    <x:row r="285" ht="90" customHeight="1">
      <x:c r="A285" s="11" t="str">
        <x:v>TC-EVD-007-01</x:v>
      </x:c>
      <x:c r="B285" s="11" t="str">
        <x:v>FR-EVD-007 / BR-EVD-007</x:v>
      </x:c>
      <x:c r="C285" s="11" t="str">
        <x:v>P0 / R1</x:v>
      </x:c>
      <x:c r="D285" s="11" t="str">
        <x:v>Quotations and disclosure intended outcome</x:v>
      </x:c>
      <x:c r="E285" s="11" t="str">
        <x:v>Synthetic tenant A; tenant B hidden markers; eligible actor with explicit capability, scope, purpose and current assurance. Set up the source acceptance fixture: Export a case story with an approved quote and verify copied text, metadata and embedded files cannot reveal the redacted participant identity.</x:v>
      </x:c>
      <x:c r="F285" s="11" t="str">
        <x:v>1. Record current object revisions, policy and safe audit cursor. 2. Perform the specified interaction: External quotation or story preparation checks source permission, intended audience, consent scope and identifiers. Redaction produces a separate artifact, removes hidden text and metadata, and requires preview before disclosure approval. 3. Inspect UI, canonical API read and audit/receipt for the resulting version. 4. Apply the acceptance example: Export a case story with an approved quote and verify copied text, metadata and embedded files cannot reveal the redacted participant identity.</x:v>
      </x:c>
      <x:c r="G285" s="11" t="str">
        <x:v>Export a case story with an approved quote and verify copied text, metadata and embedded files cannot reveal the redacted participant identity. Required behaviour is preserved: External quotation or story preparation checks source permission, intended audience, consent scope and identifiers. Redaction produces a separate artifact, removes hidden text and metadata, and requires preview before disclosure approval.</x:v>
      </x:c>
      <x:c r="H285" s="13" t="str">
        <x:v>Not run</x:v>
      </x:c>
      <x:c r="I285" s="13" t="str"/>
      <x:c r="J285" s="13" t="str">
        <x:v>Primary owning component C07. Execute relevant channels; record actual fixture IDs and observed evidence.</x:v>
      </x:c>
    </x:row>
    <x:row r="286" ht="77" customHeight="1">
      <x:c r="A286" s="11" t="str">
        <x:v>TC-EVD-007-02</x:v>
      </x:c>
      <x:c r="B286" s="11" t="str">
        <x:v>FR-EVD-007 / BR-EVD-007 / SC01–SC08</x:v>
      </x:c>
      <x:c r="C286" s="11" t="str">
        <x:v>P0 / R1</x:v>
      </x:c>
      <x:c r="D286" s="11" t="str">
        <x:v>Quotations and disclosure validation and recovery</x:v>
      </x:c>
      <x:c r="E286" s="11" t="str">
        <x:v>Start from the same eligible fixture and retain the submitted draft; record the last committed head and receipt. Introduce the boundary or failure stated below.</x:v>
      </x:c>
      <x:c r="F286" s="11" t="str">
        <x:v>1. Exercise each independent condition in the validation contract, as separate recorded variants: A black rectangle over text is not sufficient redaction. Source citations may be retained privately while public references omit identifying detail. 2. Inspect the safe error/state and authorised recovery actions. 3. Correct the condition and retry under current authority and expected revision. 4. Compare durable effects and audit history with the original baseline.</x:v>
      </x:c>
      <x:c r="G286" s="11" t="str">
        <x:v>A black rectangle over text is not sufficient redaction. Source citations may be retained privately while public references omit identifying detail. Ordinary failed saves have no partial effect. Explicit bulk partial modes account for committed and unprocessed items. A retry does not duplicate the intended business effect.</x:v>
      </x:c>
      <x:c r="H286" s="13" t="str">
        <x:v>Not run</x:v>
      </x:c>
      <x:c r="I286" s="13" t="str"/>
      <x:c r="J286" s="13" t="str">
        <x:v>Expand multi-condition variants in the run record. Required negative coverage, not a claim that one assertion covers every security attack.</x:v>
      </x:c>
    </x:row>
    <x:row r="287" ht="90" customHeight="1">
      <x:c r="A287" s="11" t="str">
        <x:v>TC-EVD-008-01</x:v>
      </x:c>
      <x:c r="B287" s="11" t="str">
        <x:v>FR-EVD-008 / BR-EVD-008</x:v>
      </x:c>
      <x:c r="C287" s="11" t="str">
        <x:v>P1 / R2</x:v>
      </x:c>
      <x:c r="D287" s="11" t="str">
        <x:v>Findings and triangulation intended outcome</x:v>
      </x:c>
      <x:c r="E287" s="11" t="str">
        <x:v>Synthetic tenant A; tenant B hidden markers; eligible actor with explicit capability, scope, purpose and current assurance. Set up the source acceptance fixture: Survey evidence improves while interviews describe harm; the reviewed finding retains both sources and distinguishes observation from interpretation.</x:v>
      </x:c>
      <x:c r="F287" s="11" t="str">
        <x:v>1. Record current object revisions, policy and safe audit cursor. 2. Perform the specified interaction: A finding records statement, method, supporting and contradictory evidence, confidence rationale, limitations and reviewer. Editing the interpretation creates a version and shows the changed evidence set. 3. Inspect UI, canonical API read and audit/receipt for the resulting version. 4. Apply the acceptance example: Survey evidence improves while interviews describe harm; the reviewed finding retains both sources and distinguishes observation from interpretation.</x:v>
      </x:c>
      <x:c r="G287" s="11" t="str">
        <x:v>Survey evidence improves while interviews describe harm; the reviewed finding retains both sources and distinguishes observation from interpretation. Required behaviour is preserved: A finding records statement, method, supporting and contradictory evidence, confidence rationale, limitations and reviewer. Editing the interpretation creates a version and shows the changed evidence set.</x:v>
      </x:c>
      <x:c r="H287" s="13" t="str">
        <x:v>Not run</x:v>
      </x:c>
      <x:c r="I287" s="13" t="str"/>
      <x:c r="J287" s="13" t="str">
        <x:v>Primary owning component C07. Execute relevant channels; record actual fixture IDs and observed evidence.</x:v>
      </x:c>
    </x:row>
    <x:row r="288" ht="77" customHeight="1">
      <x:c r="A288" s="11" t="str">
        <x:v>TC-EVD-008-02</x:v>
      </x:c>
      <x:c r="B288" s="11" t="str">
        <x:v>FR-EVD-008 / BR-EVD-008 / SC01–SC08</x:v>
      </x:c>
      <x:c r="C288" s="11" t="str">
        <x:v>P1 / R2</x:v>
      </x:c>
      <x:c r="D288" s="11" t="str">
        <x:v>Findings and triangulation validation and recovery</x:v>
      </x:c>
      <x:c r="E288" s="11" t="str">
        <x:v>Start from the same eligible fixture and retain the submitted draft; record the last committed head and receipt. Introduce the boundary or failure stated below.</x:v>
      </x:c>
      <x:c r="F288" s="11" t="str">
        <x:v>1. Exercise each independent condition in the validation contract, as separate recorded variants: AI confidence is not a substitute for evidential judgement. A finding can remain contested; publication must preserve material contradictory evidence or disclose its limitation. 2. Inspect the safe error/state and authorised recovery actions. 3. Correct the condition and retry under current authority and expected revision. 4. Compare durable effects and audit history with the original baseline.</x:v>
      </x:c>
      <x:c r="G288" s="11" t="str">
        <x:v>AI confidence is not a substitute for evidential judgement. A finding can remain contested; publication must preserve material contradictory evidence or disclose its limitation. Ordinary failed saves have no partial effect. Explicit bulk partial modes account for committed and unprocessed items. A retry does not duplicate the intended business effect.</x:v>
      </x:c>
      <x:c r="H288" s="13" t="str">
        <x:v>Not run</x:v>
      </x:c>
      <x:c r="I288" s="13" t="str"/>
      <x:c r="J288" s="13" t="str">
        <x:v>Expand multi-condition variants in the run record. Required negative coverage, not a claim that one assertion covers every security attack.</x:v>
      </x:c>
    </x:row>
    <x:row r="289" ht="90" customHeight="1">
      <x:c r="A289" s="11" t="str">
        <x:v>TC-EVA-001-01</x:v>
      </x:c>
      <x:c r="B289" s="11" t="str">
        <x:v>FR-EVA-001 / BR-EVA-001</x:v>
      </x:c>
      <x:c r="C289" s="11" t="str">
        <x:v>P1 / R2</x:v>
      </x:c>
      <x:c r="D289" s="11" t="str">
        <x:v>Evaluation registry intended outcome</x:v>
      </x:c>
      <x:c r="E289" s="11" t="str">
        <x:v>Synthetic tenant A; tenant B hidden markers; eligible actor with explicit capability, scope, purpose and current assurance. Set up the source acceptance fixture: Create baseline, midline and endline studies for one programme and verify each keeps its own method and observation period.</x:v>
      </x:c>
      <x:c r="F289" s="11" t="str">
        <x:v>1. Record current object revisions, policy and safe audit cursor. 2. Perform the specified interaction: Evaluation registration captures questions, study design, programme baseline, period, evaluator, independence, ethics requirements, budget and deliverables. Stage gates check required methodological and policy documents before field collection or publication. 3. Inspect UI, canonical API read and audit/receipt for the resulting version. 4. Apply the acceptance example: Create baseline, midline and endline studies for one programme and verify each keeps its own method and observation period.</x:v>
      </x:c>
      <x:c r="G289" s="11" t="str">
        <x:v>Create baseline, midline and endline studies for one programme and verify each keeps its own method and observation period. Required behaviour is preserved: Evaluation registration captures questions, study design, programme baseline, period, evaluator, independence, ethics requirements, budget and deliverables. Stage gates check required methodological and policy documents before field collection or publication.</x:v>
      </x:c>
      <x:c r="H289" s="13" t="str">
        <x:v>Not run</x:v>
      </x:c>
      <x:c r="I289" s="13" t="str"/>
      <x:c r="J289" s="13" t="str">
        <x:v>Primary owning component C07. Execute relevant channels; record actual fixture IDs and observed evidence.</x:v>
      </x:c>
    </x:row>
    <x:row r="290" ht="77" customHeight="1">
      <x:c r="A290" s="11" t="str">
        <x:v>TC-EVA-001-02</x:v>
      </x:c>
      <x:c r="B290" s="11" t="str">
        <x:v>FR-EVA-001 / BR-EVA-001 / SC01–SC08</x:v>
      </x:c>
      <x:c r="C290" s="11" t="str">
        <x:v>P1 / R2</x:v>
      </x:c>
      <x:c r="D290" s="11" t="str">
        <x:v>Evaluation registry validation and recovery</x:v>
      </x:c>
      <x:c r="E290" s="11" t="str">
        <x:v>Start from the same eligible fixture and retain the submitted draft; record the last committed head and receipt. Introduce the boundary or failure stated below.</x:v>
      </x:c>
      <x:c r="F290" s="11" t="str">
        <x:v>1. Exercise each independent condition in the validation contract, as separate recorded variants: A study marked independent must identify its basis; self declaration is not automatically verified. Evaluation registration alone does not approve sensitive processing. 2. Inspect the safe error/state and authorised recovery actions. 3. Correct the condition and retry under current authority and expected revision. 4. Compare durable effects and audit history with the original baseline.</x:v>
      </x:c>
      <x:c r="G290" s="11" t="str">
        <x:v>A study marked independent must identify its basis; self declaration is not automatically verified. Evaluation registration alone does not approve sensitive processing. Ordinary failed saves have no partial effect. Explicit bulk partial modes account for committed and unprocessed items. A retry does not duplicate the intended business effect.</x:v>
      </x:c>
      <x:c r="H290" s="13" t="str">
        <x:v>Not run</x:v>
      </x:c>
      <x:c r="I290" s="13" t="str"/>
      <x:c r="J290" s="13" t="str">
        <x:v>Expand multi-condition variants in the run record. Required negative coverage, not a claim that one assertion covers every security attack.</x:v>
      </x:c>
    </x:row>
    <x:row r="291" ht="90" customHeight="1">
      <x:c r="A291" s="11" t="str">
        <x:v>TC-EVA-002-01</x:v>
      </x:c>
      <x:c r="B291" s="11" t="str">
        <x:v>FR-EVA-002 / BR-EVA-002</x:v>
      </x:c>
      <x:c r="C291" s="11" t="str">
        <x:v>P1 / R2</x:v>
      </x:c>
      <x:c r="D291" s="11" t="str">
        <x:v>Sampling and methodological metadata intended outcome</x:v>
      </x:c>
      <x:c r="E291" s="11" t="str">
        <x:v>Synthetic tenant A; tenant B hidden markers; eligible actor with explicit capability, scope, purpose and current assurance. Set up the source acceptance fixture: Export a stratified sample with weights and nonresponse metadata and reproduce the declared eligible denominator.</x:v>
      </x:c>
      <x:c r="F291" s="11" t="str">
        <x:v>1. Record current object revisions, policy and safe audit cursor. 2. Perform the specified interaction: The methodology record versions sampling frame, eligibility, assignment, weights, nonresponse rules and analysis plan. Amendments identify when changes occurred relative to data inspection and require review. 3. Inspect UI, canonical API read and audit/receipt for the resulting version. 4. Apply the acceptance example: Export a stratified sample with weights and nonresponse metadata and reproduce the declared eligible denominator.</x:v>
      </x:c>
      <x:c r="G291" s="11" t="str">
        <x:v>Export a stratified sample with weights and nonresponse metadata and reproduce the declared eligible denominator. Required behaviour is preserved: The methodology record versions sampling frame, eligibility, assignment, weights, nonresponse rules and analysis plan. Amendments identify when changes occurred relative to data inspection and require review.</x:v>
      </x:c>
      <x:c r="H291" s="13" t="str">
        <x:v>Not run</x:v>
      </x:c>
      <x:c r="I291" s="13" t="str"/>
      <x:c r="J291" s="13" t="str">
        <x:v>Primary owning component C07. Execute relevant channels; record actual fixture IDs and observed evidence.</x:v>
      </x:c>
    </x:row>
    <x:row r="292" ht="90" customHeight="1">
      <x:c r="A292" s="11" t="str">
        <x:v>TC-EVA-002-02</x:v>
      </x:c>
      <x:c r="B292" s="11" t="str">
        <x:v>FR-EVA-002 / BR-EVA-002 / SC01–SC08</x:v>
      </x:c>
      <x:c r="C292" s="11" t="str">
        <x:v>P1 / R2</x:v>
      </x:c>
      <x:c r="D292" s="11" t="str">
        <x:v>Sampling and methodological metadata validation and recovery</x:v>
      </x:c>
      <x:c r="E292" s="11" t="str">
        <x:v>Start from the same eligible fixture and retain the submitted draft; record the last committed head and receipt. Introduce the boundary or failure stated below.</x:v>
      </x:c>
      <x:c r="F292" s="11" t="str">
        <x:v>1. Exercise each independent condition in the validation contract, as separate recorded variants: Population estimates require an explicit valid expansion method; a sample count cannot be relabelled as all beneficiaries. Missing weights block weighted output rather than defaulting to one silently. 2. Inspect the safe error/state and authorised recovery actions. 3. Correct the condition and retry under current authority and expected revision. 4. Compare durable effects and audit history with the original baseline.</x:v>
      </x:c>
      <x:c r="G292" s="11" t="str">
        <x:v>Population estimates require an explicit valid expansion method; a sample count cannot be relabelled as all beneficiaries. Missing weights block weighted output rather than defaulting to one silently. Ordinary failed saves have no partial effect. Explicit bulk partial modes account for committed and unprocessed items. A retry does not duplicate the intended business effect.</x:v>
      </x:c>
      <x:c r="H292" s="13" t="str">
        <x:v>Not run</x:v>
      </x:c>
      <x:c r="I292" s="13" t="str"/>
      <x:c r="J292" s="13" t="str">
        <x:v>Expand multi-condition variants in the run record. Required negative coverage, not a claim that one assertion covers every security attack.</x:v>
      </x:c>
    </x:row>
    <x:row r="293" ht="90" customHeight="1">
      <x:c r="A293" s="11" t="str">
        <x:v>TC-EVA-003-01</x:v>
      </x:c>
      <x:c r="B293" s="11" t="str">
        <x:v>FR-EVA-003 / BR-EVA-003</x:v>
      </x:c>
      <x:c r="C293" s="11" t="str">
        <x:v>P1 / R2</x:v>
      </x:c>
      <x:c r="D293" s="11" t="str">
        <x:v>Analysis packages intended outcome</x:v>
      </x:c>
      <x:c r="E293" s="11" t="str">
        <x:v>Synthetic tenant A; tenant B hidden markers; eligible actor with explicit capability, scope, purpose and current assurance. Set up the source acceptance fixture: Reproduce a submitted result using the pinned extract after live records change; the original analysis remains reconcilable.</x:v>
      </x:c>
      <x:c r="F293" s="11" t="str">
        <x:v>1. Record current object revisions, policy and safe audit cursor. 2. Perform the specified interaction: An analyst creates a frozen extract with selected variables, filters, approved sources, dictionary and integrity manifest. Reviewed scripts and notebooks can be attached as evidence. Results reference the extract and method versions. 3. Inspect UI, canonical API read and audit/receipt for the resulting version. 4. Apply the acceptance example: Reproduce a submitted result using the pinned extract after live records change; the original analysis remains reconcilable.</x:v>
      </x:c>
      <x:c r="G293" s="11" t="str">
        <x:v>Reproduce a submitted result using the pinned extract after live records change; the original analysis remains reconcilable. Required behaviour is preserved: An analyst creates a frozen extract with selected variables, filters, approved sources, dictionary and integrity manifest. Reviewed scripts and notebooks can be attached as evidence. Results reference the extract and method versions.</x:v>
      </x:c>
      <x:c r="H293" s="13" t="str">
        <x:v>Not run</x:v>
      </x:c>
      <x:c r="I293" s="13" t="str"/>
      <x:c r="J293" s="13" t="str">
        <x:v>Primary owning component C07. Execute relevant channels; record actual fixture IDs and observed evidence.</x:v>
      </x:c>
    </x:row>
    <x:row r="294" ht="77" customHeight="1">
      <x:c r="A294" s="11" t="str">
        <x:v>TC-EVA-003-02</x:v>
      </x:c>
      <x:c r="B294" s="11" t="str">
        <x:v>FR-EVA-003 / BR-EVA-003 / SC01–SC08</x:v>
      </x:c>
      <x:c r="C294" s="11" t="str">
        <x:v>P1 / R2</x:v>
      </x:c>
      <x:c r="D294" s="11" t="str">
        <x:v>Analysis packages validation and recovery</x:v>
      </x:c>
      <x:c r="E294" s="11" t="str">
        <x:v>Start from the same eligible fixture and retain the submitted draft; record the last committed head and receipt. Introduce the boundary or failure stated below.</x:v>
      </x:c>
      <x:c r="F294" s="11" t="str">
        <x:v>1. Exercise each independent condition in the validation contract, as separate recorded variants: Ordinary uploads do not execute code in the product. Analysis access and export require separate capabilities, and later live corrections do not alter the extract. 2. Inspect the safe error/state and authorised recovery actions. 3. Correct the condition and retry under current authority and expected revision. 4. Compare durable effects and audit history with the original baseline.</x:v>
      </x:c>
      <x:c r="G294" s="11" t="str">
        <x:v>Ordinary uploads do not execute code in the product. Analysis access and export require separate capabilities, and later live corrections do not alter the extract. Ordinary failed saves have no partial effect. Explicit bulk partial modes account for committed and unprocessed items. A retry does not duplicate the intended business effect.</x:v>
      </x:c>
      <x:c r="H294" s="13" t="str">
        <x:v>Not run</x:v>
      </x:c>
      <x:c r="I294" s="13" t="str"/>
      <x:c r="J294" s="13" t="str">
        <x:v>Expand multi-condition variants in the run record. Required negative coverage, not a claim that one assertion covers every security attack.</x:v>
      </x:c>
    </x:row>
    <x:row r="295" ht="103" customHeight="1">
      <x:c r="A295" s="11" t="str">
        <x:v>TC-EVA-004-01</x:v>
      </x:c>
      <x:c r="B295" s="11" t="str">
        <x:v>FR-EVA-004 / BR-EVA-004</x:v>
      </x:c>
      <x:c r="C295" s="11" t="str">
        <x:v>P0 / R1</x:v>
      </x:c>
      <x:c r="D295" s="11" t="str">
        <x:v>Causal claims and uncertainty intended outcome</x:v>
      </x:c>
      <x:c r="E295" s="11" t="str">
        <x:v>Synthetic tenant A; tenant B hidden markers; eligible actor with explicit capability, scope, purpose and current assurance. Set up the source acceptance fixture: Ask why an outcome increased after launch; the response describes observed change and evidence limits unless a reviewed evaluation supports attribution.</x:v>
      </x:c>
      <x:c r="F295" s="11" t="str">
        <x:v>1. Record current object revisions, policy and safe audit cursor. 2. Perform the specified interaction: Every finding or report claim selects observed change, association, contribution or causal claim. A causal claim requires an approved method reference and an independent reviewer judgement. AI drafting reads this claim classification and carries uncertainty. 3. Inspect UI, canonical API read and audit/receipt for the resulting version. 4. Apply the acceptance example: Ask why an outcome increased after launch; the response describes observed change and evidence limits unless a reviewed evaluation supports attribution.</x:v>
      </x:c>
      <x:c r="G295" s="11" t="str">
        <x:v>Ask why an outcome increased after launch; the response describes observed change and evidence limits unless a reviewed evaluation supports attribution. Required behaviour is preserved: Every finding or report claim selects observed change, association, contribution or causal claim. A causal claim requires an approved method reference and an independent reviewer judgement. AI drafting reads this claim classification and carries uncertainty.</x:v>
      </x:c>
      <x:c r="H295" s="13" t="str">
        <x:v>Not run</x:v>
      </x:c>
      <x:c r="I295" s="13" t="str"/>
      <x:c r="J295" s="13" t="str">
        <x:v>Primary owning component C07. Execute relevant channels; record actual fixture IDs and observed evidence.</x:v>
      </x:c>
    </x:row>
    <x:row r="296" ht="77" customHeight="1">
      <x:c r="A296" s="11" t="str">
        <x:v>TC-EVA-004-02</x:v>
      </x:c>
      <x:c r="B296" s="11" t="str">
        <x:v>FR-EVA-004 / BR-EVA-004 / SC01–SC08</x:v>
      </x:c>
      <x:c r="C296" s="11" t="str">
        <x:v>P0 / R1</x:v>
      </x:c>
      <x:c r="D296" s="11" t="str">
        <x:v>Causal claims and uncertainty validation and recovery</x:v>
      </x:c>
      <x:c r="E296" s="11" t="str">
        <x:v>Start from the same eligible fixture and retain the submitted draft; record the last committed head and receipt. Introduce the boundary or failure stated below.</x:v>
      </x:c>
      <x:c r="F296" s="11" t="str">
        <x:v>1. Exercise each independent condition in the validation contract, as separate recorded variants: A trend or before-after difference alone cannot automatically populate a causal attribution statement. Unsupported language is flagged during report review. 2. Inspect the safe error/state and authorised recovery actions. 3. Correct the condition and retry under current authority and expected revision. 4. Compare durable effects and audit history with the original baseline.</x:v>
      </x:c>
      <x:c r="G296" s="11" t="str">
        <x:v>A trend or before-after difference alone cannot automatically populate a causal attribution statement. Unsupported language is flagged during report review. Ordinary failed saves have no partial effect. Explicit bulk partial modes account for committed and unprocessed items. A retry does not duplicate the intended business effect.</x:v>
      </x:c>
      <x:c r="H296" s="13" t="str">
        <x:v>Not run</x:v>
      </x:c>
      <x:c r="I296" s="13" t="str"/>
      <x:c r="J296" s="13" t="str">
        <x:v>Expand multi-condition variants in the run record. Required negative coverage, not a claim that one assertion covers every security attack.</x:v>
      </x:c>
    </x:row>
    <x:row r="297" ht="90" customHeight="1">
      <x:c r="A297" s="11" t="str">
        <x:v>TC-EVA-005-01</x:v>
      </x:c>
      <x:c r="B297" s="11" t="str">
        <x:v>FR-EVA-005 / BR-EVA-005</x:v>
      </x:c>
      <x:c r="C297" s="11" t="str">
        <x:v>P2 / R3</x:v>
      </x:c>
      <x:c r="D297" s="11" t="str">
        <x:v>Outcome harvesting and contribution intended outcome</x:v>
      </x:c>
      <x:c r="E297" s="11" t="str">
        <x:v>Synthetic tenant A; tenant B hidden markers; eligible actor with explicit capability, scope, purpose and current assurance. Set up the source acceptance fixture: Two organisations claim contribution to one policy change; the approved narrative identifies both and the limits of attribution.</x:v>
      </x:c>
      <x:c r="F297" s="11" t="str">
        <x:v>1. Record current object revisions, policy and safe audit cursor. 2. Perform the specified interaction: Outcome harvesting records observed change, significance, timing, actors, contribution hypothesis, independent substantiation and dissenting views. Review separates the observed outcome from each organisation's contribution claim. 3. Inspect UI, canonical API read and audit/receipt for the resulting version. 4. Apply the acceptance example: Two organisations claim contribution to one policy change; the approved narrative identifies both and the limits of attribution.</x:v>
      </x:c>
      <x:c r="G297" s="11" t="str">
        <x:v>Two organisations claim contribution to one policy change; the approved narrative identifies both and the limits of attribution. Required behaviour is preserved: Outcome harvesting records observed change, significance, timing, actors, contribution hypothesis, independent substantiation and dissenting views. Review separates the observed outcome from each organisation's contribution claim.</x:v>
      </x:c>
      <x:c r="H297" s="13" t="str">
        <x:v>Not run</x:v>
      </x:c>
      <x:c r="I297" s="13" t="str"/>
      <x:c r="J297" s="13" t="str">
        <x:v>Primary owning component C07. Execute relevant channels; record actual fixture IDs and observed evidence.</x:v>
      </x:c>
    </x:row>
    <x:row r="298" ht="77" customHeight="1">
      <x:c r="A298" s="11" t="str">
        <x:v>TC-EVA-005-02</x:v>
      </x:c>
      <x:c r="B298" s="11" t="str">
        <x:v>FR-EVA-005 / BR-EVA-005 / SC01–SC08</x:v>
      </x:c>
      <x:c r="C298" s="11" t="str">
        <x:v>P2 / R3</x:v>
      </x:c>
      <x:c r="D298" s="11" t="str">
        <x:v>Outcome harvesting and contribution validation and recovery</x:v>
      </x:c>
      <x:c r="E298" s="11" t="str">
        <x:v>Start from the same eligible fixture and retain the submitted draft; record the last committed head and receipt. Introduce the boundary or failure stated below.</x:v>
      </x:c>
      <x:c r="F298" s="11" t="str">
        <x:v>1. Exercise each independent condition in the validation contract, as separate recorded variants: Multiple contributors may be recorded without forcing shares that total 100 percent. Unsubstantiated claims remain proposed and cannot be published as established causation. 2. Inspect the safe error/state and authorised recovery actions. 3. Correct the condition and retry under current authority and expected revision. 4. Compare durable effects and audit history with the original baseline.</x:v>
      </x:c>
      <x:c r="G298" s="11" t="str">
        <x:v>Multiple contributors may be recorded without forcing shares that total 100 percent. Unsubstantiated claims remain proposed and cannot be published as established causation. Ordinary failed saves have no partial effect. Explicit bulk partial modes account for committed and unprocessed items. A retry does not duplicate the intended business effect.</x:v>
      </x:c>
      <x:c r="H298" s="13" t="str">
        <x:v>Not run</x:v>
      </x:c>
      <x:c r="I298" s="13" t="str"/>
      <x:c r="J298" s="13" t="str">
        <x:v>Expand multi-condition variants in the run record. Required negative coverage, not a claim that one assertion covers every security attack.</x:v>
      </x:c>
    </x:row>
    <x:row r="299" ht="90" customHeight="1">
      <x:c r="A299" s="11" t="str">
        <x:v>TC-EVA-006-01</x:v>
      </x:c>
      <x:c r="B299" s="11" t="str">
        <x:v>FR-EVA-006 / BR-EVA-006</x:v>
      </x:c>
      <x:c r="C299" s="11" t="str">
        <x:v>P1 / R2</x:v>
      </x:c>
      <x:c r="D299" s="11" t="str">
        <x:v>Learning agenda intended outcome</x:v>
      </x:c>
      <x:c r="E299" s="11" t="str">
        <x:v>Synthetic tenant A; tenant B hidden markers; eligible actor with explicit capability, scope, purpose and current assurance. Set up the source acceptance fixture: Link a programme redesign decision to a learning question, three sources and one unresolved assumption requiring a follow up study.</x:v>
      </x:c>
      <x:c r="F299" s="11" t="str">
        <x:v>1. Record current object revisions, policy and safe audit cursor. 2. Perform the specified interaction: A learning question links to strategic decisions, evidence gaps, planned inquiry, owner and review date. Evidence and conclusions are versioned. Closing records what was learned and remaining uncertainty; reopening preserves prior reasoning. 3. Inspect UI, canonical API read and audit/receipt for the resulting version. 4. Apply the acceptance example: Link a programme redesign decision to a learning question, three sources and one unresolved assumption requiring a follow up study.</x:v>
      </x:c>
      <x:c r="G299" s="11" t="str">
        <x:v>Link a programme redesign decision to a learning question, three sources and one unresolved assumption requiring a follow up study. Required behaviour is preserved: A learning question links to strategic decisions, evidence gaps, planned inquiry, owner and review date. Evidence and conclusions are versioned. Closing records what was learned and remaining uncertainty; reopening preserves prior reasoning.</x:v>
      </x:c>
      <x:c r="H299" s="13" t="str">
        <x:v>Not run</x:v>
      </x:c>
      <x:c r="I299" s="13" t="str"/>
      <x:c r="J299" s="13" t="str">
        <x:v>Primary owning component C07. Execute relevant channels; record actual fixture IDs and observed evidence.</x:v>
      </x:c>
    </x:row>
    <x:row r="300" ht="77" customHeight="1">
      <x:c r="A300" s="11" t="str">
        <x:v>TC-EVA-006-02</x:v>
      </x:c>
      <x:c r="B300" s="11" t="str">
        <x:v>FR-EVA-006 / BR-EVA-006 / SC01–SC08</x:v>
      </x:c>
      <x:c r="C300" s="11" t="str">
        <x:v>P1 / R2</x:v>
      </x:c>
      <x:c r="D300" s="11" t="str">
        <x:v>Learning agenda validation and recovery</x:v>
      </x:c>
      <x:c r="E300" s="11" t="str">
        <x:v>Start from the same eligible fixture and retain the submitted draft; record the last committed head and receipt. Introduce the boundary or failure stated below.</x:v>
      </x:c>
      <x:c r="F300" s="11" t="str">
        <x:v>1. Exercise each independent condition in the validation contract, as separate recorded variants: A question answered in one context is not automatically applicable elsewhere. Restricted evidence is not copied into a broad learning summary without disclosure review. 2. Inspect the safe error/state and authorised recovery actions. 3. Correct the condition and retry under current authority and expected revision. 4. Compare durable effects and audit history with the original baseline.</x:v>
      </x:c>
      <x:c r="G300" s="11" t="str">
        <x:v>A question answered in one context is not automatically applicable elsewhere. Restricted evidence is not copied into a broad learning summary without disclosure review. Ordinary failed saves have no partial effect. Explicit bulk partial modes account for committed and unprocessed items. A retry does not duplicate the intended business effect.</x:v>
      </x:c>
      <x:c r="H300" s="13" t="str">
        <x:v>Not run</x:v>
      </x:c>
      <x:c r="I300" s="13" t="str"/>
      <x:c r="J300" s="13" t="str">
        <x:v>Expand multi-condition variants in the run record. Required negative coverage, not a claim that one assertion covers every security attack.</x:v>
      </x:c>
    </x:row>
    <x:row r="301" ht="90" customHeight="1">
      <x:c r="A301" s="11" t="str">
        <x:v>TC-EVA-007-01</x:v>
      </x:c>
      <x:c r="B301" s="11" t="str">
        <x:v>FR-EVA-007 / BR-EVA-007</x:v>
      </x:c>
      <x:c r="C301" s="11" t="str">
        <x:v>P1 / R2</x:v>
      </x:c>
      <x:c r="D301" s="11" t="str">
        <x:v>Management responses and actions intended outcome</x:v>
      </x:c>
      <x:c r="E301" s="11" t="str">
        <x:v>Synthetic tenant A; tenant B hidden markers; eligible actor with explicit capability, scope, purpose and current assurance. Set up the source acceptance fixture: Accept a training recommendation, complete training evidence and leave outcome improvement pending until follow up measurements support it.</x:v>
      </x:c>
      <x:c r="F301" s="11" t="str">
        <x:v>1. Record current object revisions, policy and safe audit cursor. 2. Perform the specified interaction: Each recommendation receives accept, partially accept or reject with reason. Accepted elements create actions with owners, due dates and required completion evidence. Review separates action completion from evidence of changed outcomes. 3. Inspect UI, canonical API read and audit/receipt for the resulting version. 4. Apply the acceptance example: Accept a training recommendation, complete training evidence and leave outcome improvement pending until follow up measurements support it.</x:v>
      </x:c>
      <x:c r="G301" s="11" t="str">
        <x:v>Accept a training recommendation, complete training evidence and leave outcome improvement pending until follow up measurements support it. Required behaviour is preserved: Each recommendation receives accept, partially accept or reject with reason. Accepted elements create actions with owners, due dates and required completion evidence. Review separates action completion from evidence of changed outcomes.</x:v>
      </x:c>
      <x:c r="H301" s="13" t="str">
        <x:v>Not run</x:v>
      </x:c>
      <x:c r="I301" s="13" t="str"/>
      <x:c r="J301" s="13" t="str">
        <x:v>Primary owning component C07. Execute relevant channels; record actual fixture IDs and observed evidence.</x:v>
      </x:c>
    </x:row>
    <x:row r="302" ht="77" customHeight="1">
      <x:c r="A302" s="11" t="str">
        <x:v>TC-EVA-007-02</x:v>
      </x:c>
      <x:c r="B302" s="11" t="str">
        <x:v>FR-EVA-007 / BR-EVA-007 / SC01–SC08</x:v>
      </x:c>
      <x:c r="C302" s="11" t="str">
        <x:v>P1 / R2</x:v>
      </x:c>
      <x:c r="D302" s="11" t="str">
        <x:v>Management responses and actions validation and recovery</x:v>
      </x:c>
      <x:c r="E302" s="11" t="str">
        <x:v>Start from the same eligible fixture and retain the submitted draft; record the last committed head and receipt. Introduce the boundary or failure stated below.</x:v>
      </x:c>
      <x:c r="F302" s="11" t="str">
        <x:v>1. Exercise each independent condition in the validation contract, as separate recorded variants: Overdue actions escalate without automatic closure. A rejected recommendation remains visible with its accountable response. 2. Inspect the safe error/state and authorised recovery actions. 3. Correct the condition and retry under current authority and expected revision. 4. Compare durable effects and audit history with the original baseline.</x:v>
      </x:c>
      <x:c r="G302" s="11" t="str">
        <x:v>Overdue actions escalate without automatic closure. A rejected recommendation remains visible with its accountable response. Ordinary failed saves have no partial effect. Explicit bulk partial modes account for committed and unprocessed items. A retry does not duplicate the intended business effect.</x:v>
      </x:c>
      <x:c r="H302" s="13" t="str">
        <x:v>Not run</x:v>
      </x:c>
      <x:c r="I302" s="13" t="str"/>
      <x:c r="J302" s="13" t="str">
        <x:v>Expand multi-condition variants in the run record. Required negative coverage, not a claim that one assertion covers every security attack.</x:v>
      </x:c>
    </x:row>
    <x:row r="303" ht="90" customHeight="1">
      <x:c r="A303" s="11" t="str">
        <x:v>TC-EVA-008-01</x:v>
      </x:c>
      <x:c r="B303" s="11" t="str">
        <x:v>FR-EVA-008 / BR-EVA-008</x:v>
      </x:c>
      <x:c r="C303" s="11" t="str">
        <x:v>P2 / R3</x:v>
      </x:c>
      <x:c r="D303" s="11" t="str">
        <x:v>Institutional learning library intended outcome</x:v>
      </x:c>
      <x:c r="E303" s="11" t="str">
        <x:v>Synthetic tenant A; tenant B hidden markers; eligible actor with explicit capability, scope, purpose and current assurance. Set up the source acceptance fixture: Apply a rural implementation lesson in an urban programme and record the contextual differences while the underlying confidential transcripts remain inaccessible.</x:v>
      </x:c>
      <x:c r="F303" s="11" t="str">
        <x:v>1. Record current object revisions, policy and safe audit cursor. 2. Perform the specified interaction: A curator publishes a lesson with source context, method, applicability, limitations, owner, review date and allowed reuse. New programmes reference the lesson and record adaptation assumptions. 3. Inspect UI, canonical API read and audit/receipt for the resulting version. 4. Apply the acceptance example: Apply a rural implementation lesson in an urban programme and record the contextual differences while the underlying confidential transcripts remain inaccessible.</x:v>
      </x:c>
      <x:c r="G303" s="11" t="str">
        <x:v>Apply a rural implementation lesson in an urban programme and record the contextual differences while the underlying confidential transcripts remain inaccessible. Required behaviour is preserved: A curator publishes a lesson with source context, method, applicability, limitations, owner, review date and allowed reuse. New programmes reference the lesson and record adaptation assumptions.</x:v>
      </x:c>
      <x:c r="H303" s="13" t="str">
        <x:v>Not run</x:v>
      </x:c>
      <x:c r="I303" s="13" t="str"/>
      <x:c r="J303" s="13" t="str">
        <x:v>Primary owning component C07. Execute relevant channels; record actual fixture IDs and observed evidence.</x:v>
      </x:c>
    </x:row>
    <x:row r="304" ht="77" customHeight="1">
      <x:c r="A304" s="11" t="str">
        <x:v>TC-EVA-008-02</x:v>
      </x:c>
      <x:c r="B304" s="11" t="str">
        <x:v>FR-EVA-008 / BR-EVA-008 / SC01–SC08</x:v>
      </x:c>
      <x:c r="C304" s="11" t="str">
        <x:v>P2 / R3</x:v>
      </x:c>
      <x:c r="D304" s="11" t="str">
        <x:v>Institutional learning library validation and recovery</x:v>
      </x:c>
      <x:c r="E304" s="11" t="str">
        <x:v>Start from the same eligible fixture and retain the submitted draft; record the last committed head and receipt. Introduce the boundary or failure stated below.</x:v>
      </x:c>
      <x:c r="F304" s="11" t="str">
        <x:v>1. Exercise each independent condition in the validation contract, as separate recorded variants: Cross tenant sharing requires approved licensing and disclosure. Reusing a lesson does not copy restricted interviews or imply identical effectiveness. 2. Inspect the safe error/state and authorised recovery actions. 3. Correct the condition and retry under current authority and expected revision. 4. Compare durable effects and audit history with the original baseline.</x:v>
      </x:c>
      <x:c r="G304" s="11" t="str">
        <x:v>Cross tenant sharing requires approved licensing and disclosure. Reusing a lesson does not copy restricted interviews or imply identical effectiveness. Ordinary failed saves have no partial effect. Explicit bulk partial modes account for committed and unprocessed items. A retry does not duplicate the intended business effect.</x:v>
      </x:c>
      <x:c r="H304" s="13" t="str">
        <x:v>Not run</x:v>
      </x:c>
      <x:c r="I304" s="13" t="str"/>
      <x:c r="J304" s="13" t="str">
        <x:v>Expand multi-condition variants in the run record. Required negative coverage, not a claim that one assertion covers every security attack.</x:v>
      </x:c>
    </x:row>
    <x:row r="305" ht="103" customHeight="1">
      <x:c r="A305" s="11" t="str">
        <x:v>TC-WFL-001-01</x:v>
      </x:c>
      <x:c r="B305" s="11" t="str">
        <x:v>FR-WFL-001 / BR-WFL-001</x:v>
      </x:c>
      <x:c r="C305" s="11" t="str">
        <x:v>P0 / R1</x:v>
      </x:c>
      <x:c r="D305" s="11" t="str">
        <x:v>Configurable approvals intended outcome</x:v>
      </x:c>
      <x:c r="E305" s="11" t="str">
        <x:v>Synthetic tenant A; tenant B hidden markers; eligible actor with explicit capability, scope, purpose and current assurance. Set up the source acceptance fixture: Change a two-stage review while one candidate is underway; it retains its original route unless an authorised migration restarts the affected stages.</x:v>
      </x:c>
      <x:c r="F305" s="11" t="str">
        <x:v>1. Record current object revisions, policy and safe audit cursor. 2. Perform the specified interaction: The workflow designer defines object type, sequential or parallel stages, reviewer eligibility, mandatory reviewers, quorum, thresholds and deadlines. Publishing pins a workflow version. New instances use it; running instances complete on their original version unless explicitly migrated. 3. Inspect UI, canonical API read and audit/receipt for the resulting version. 4. Apply the acceptance example: Change a two-stage review while one candidate is underway; it retains its original route unless an authorised migration restarts the affected stages.</x:v>
      </x:c>
      <x:c r="G305" s="11" t="str">
        <x:v>Change a two-stage review while one candidate is underway; it retains its original route unless an authorised migration restarts the affected stages. Required behaviour is preserved: The workflow designer defines object type, sequential or parallel stages, reviewer eligibility, mandatory reviewers, quorum, thresholds and deadlines. Publishing pins a workflow version. New instances use it; running instances complete on their original version unless explicitly migrated.</x:v>
      </x:c>
      <x:c r="H305" s="13" t="str">
        <x:v>Not run</x:v>
      </x:c>
      <x:c r="I305" s="13" t="str"/>
      <x:c r="J305" s="13" t="str">
        <x:v>Primary owning component C08. Execute relevant channels; record actual fixture IDs and observed evidence.</x:v>
      </x:c>
    </x:row>
    <x:row r="306" ht="77" customHeight="1">
      <x:c r="A306" s="11" t="str">
        <x:v>TC-WFL-001-02</x:v>
      </x:c>
      <x:c r="B306" s="11" t="str">
        <x:v>FR-WFL-001 / BR-WFL-001 / SC01–SC08</x:v>
      </x:c>
      <x:c r="C306" s="11" t="str">
        <x:v>P0 / R1</x:v>
      </x:c>
      <x:c r="D306" s="11" t="str">
        <x:v>Configurable approvals validation and recovery</x:v>
      </x:c>
      <x:c r="E306" s="11" t="str">
        <x:v>Start from the same eligible fixture and retain the submitted draft; record the last committed head and receipt. Introduce the boundary or failure stated below.</x:v>
      </x:c>
      <x:c r="F306" s="11" t="str">
        <x:v>1. Exercise each independent condition in the validation contract, as separate recorded variants: At least one independent reviewer remains required. Migration invalidates affected decisions and shows impact; a quorum cannot bypass a mandatory privacy or security review. 2. Inspect the safe error/state and authorised recovery actions. 3. Correct the condition and retry under current authority and expected revision. 4. Compare durable effects and audit history with the original baseline.</x:v>
      </x:c>
      <x:c r="G306" s="11" t="str">
        <x:v>At least one independent reviewer remains required. Migration invalidates affected decisions and shows impact; a quorum cannot bypass a mandatory privacy or security review. Ordinary failed saves have no partial effect. Explicit bulk partial modes account for committed and unprocessed items. A retry does not duplicate the intended business effect.</x:v>
      </x:c>
      <x:c r="H306" s="13" t="str">
        <x:v>Not run</x:v>
      </x:c>
      <x:c r="I306" s="13" t="str"/>
      <x:c r="J306" s="13" t="str">
        <x:v>Expand multi-condition variants in the run record. Required negative coverage, not a claim that one assertion covers every security attack.</x:v>
      </x:c>
    </x:row>
    <x:row r="307" ht="90" customHeight="1">
      <x:c r="A307" s="11" t="str">
        <x:v>TC-WFL-002-01</x:v>
      </x:c>
      <x:c r="B307" s="11" t="str">
        <x:v>FR-WFL-002 / BR-WFL-002</x:v>
      </x:c>
      <x:c r="C307" s="11" t="str">
        <x:v>P0 / R1</x:v>
      </x:c>
      <x:c r="D307" s="11" t="str">
        <x:v>Reviewer independence and authority intended outcome</x:v>
      </x:c>
      <x:c r="E307" s="11" t="str">
        <x:v>Synthetic tenant A; tenant B hidden markers; eligible actor with explicit capability, scope, purpose and current assurance. Set up the source acceptance fixture: Change a submission after the reviewer opens it; their old approve command fails and requires fresh review.</x:v>
      </x:c>
      <x:c r="F307" s="11" t="str">
        <x:v>1. Record current object revisions, policy and safe audit cursor. 2. Perform the specified interaction: The review screen loads the immutable candidate, change summary and evidence. Approve submits candidate revision and current reviewer identity. Commit rechecks membership, scope, independence, assurance and workflow stage. 3. Inspect UI, canonical API read and audit/receipt for the resulting version. 4. Apply the acceptance example: Change a submission after the reviewer opens it; their old approve command fails and requires fresh review.</x:v>
      </x:c>
      <x:c r="G307" s="11" t="str">
        <x:v>Change a submission after the reviewer opens it; their old approve command fails and requires fresh review. Required behaviour is preserved: The review screen loads the immutable candidate, change summary and evidence. Approve submits candidate revision and current reviewer identity. Commit rechecks membership, scope, independence, assurance and workflow stage.</x:v>
      </x:c>
      <x:c r="H307" s="13" t="str">
        <x:v>Not run</x:v>
      </x:c>
      <x:c r="I307" s="13" t="str"/>
      <x:c r="J307" s="13" t="str">
        <x:v>Primary owning component C08. Execute relevant channels; record actual fixture IDs and observed evidence.</x:v>
      </x:c>
    </x:row>
    <x:row r="308" ht="90" customHeight="1">
      <x:c r="A308" s="11" t="str">
        <x:v>TC-WFL-002-02</x:v>
      </x:c>
      <x:c r="B308" s="11" t="str">
        <x:v>FR-WFL-002 / BR-WFL-002 / SC01–SC08</x:v>
      </x:c>
      <x:c r="C308" s="11" t="str">
        <x:v>P0 / R1</x:v>
      </x:c>
      <x:c r="D308" s="11" t="str">
        <x:v>Reviewer independence and authority validation and recovery</x:v>
      </x:c>
      <x:c r="E308" s="11" t="str">
        <x:v>Start from the same eligible fixture and retain the submitted draft; record the last committed head and receipt. Introduce the boundary or failure stated below.</x:v>
      </x:c>
      <x:c r="F308" s="11" t="str">
        <x:v>1. Exercise each independent condition in the validation contract, as separate recorded variants: Stale candidate or changed evidence invalidates the decision attempt. Editing content as reviewer creates a new authored revision and removes eligibility for independent approval of that revision. 2. Inspect the safe error/state and authorised recovery actions. 3. Correct the condition and retry under current authority and expected revision. 4. Compare durable effects and audit history with the original baseline.</x:v>
      </x:c>
      <x:c r="G308" s="11" t="str">
        <x:v>Stale candidate or changed evidence invalidates the decision attempt. Editing content as reviewer creates a new authored revision and removes eligibility for independent approval of that revision. Ordinary failed saves have no partial effect. Explicit bulk partial modes account for committed and unprocessed items. A retry does not duplicate the intended business effect.</x:v>
      </x:c>
      <x:c r="H308" s="13" t="str">
        <x:v>Not run</x:v>
      </x:c>
      <x:c r="I308" s="13" t="str"/>
      <x:c r="J308" s="13" t="str">
        <x:v>Expand multi-condition variants in the run record. Required negative coverage, not a claim that one assertion covers every security attack.</x:v>
      </x:c>
    </x:row>
    <x:row r="309" ht="90" customHeight="1">
      <x:c r="A309" s="11" t="str">
        <x:v>TC-WFL-003-01</x:v>
      </x:c>
      <x:c r="B309" s="11" t="str">
        <x:v>FR-WFL-003 / BR-WFL-003</x:v>
      </x:c>
      <x:c r="C309" s="11" t="str">
        <x:v>P0 / R1</x:v>
      </x:c>
      <x:c r="D309" s="11" t="str">
        <x:v>Return reject and resubmit intended outcome</x:v>
      </x:c>
      <x:c r="E309" s="11" t="str">
        <x:v>Synthetic tenant A; tenant B hidden markers; eligible actor with explicit capability, scope, purpose and current assurance. Set up the source acceptance fixture: Complete two correction cycles and inspect distinct reasons, revisions, authors and decision times for each.</x:v>
      </x:c>
      <x:c r="F309" s="11" t="str">
        <x:v>1. Record current object revisions, policy and safe audit cursor. 2. Perform the specified interaction: Return requires actionable comments tied to fields or issues. Reject requires policy permitted final disposition and reason. Resubmission creates a new candidate version with a comparison to the returned one and a fresh decision sequence. 3. Inspect UI, canonical API read and audit/receipt for the resulting version. 4. Apply the acceptance example: Complete two correction cycles and inspect distinct reasons, revisions, authors and decision times for each.</x:v>
      </x:c>
      <x:c r="G309" s="11" t="str">
        <x:v>Complete two correction cycles and inspect distinct reasons, revisions, authors and decision times for each. Required behaviour is preserved: Return requires actionable comments tied to fields or issues. Reject requires policy permitted final disposition and reason. Resubmission creates a new candidate version with a comparison to the returned one and a fresh decision sequence.</x:v>
      </x:c>
      <x:c r="H309" s="13" t="str">
        <x:v>Not run</x:v>
      </x:c>
      <x:c r="I309" s="13" t="str"/>
      <x:c r="J309" s="13" t="str">
        <x:v>Primary owning component C08. Execute relevant channels; record actual fixture IDs and observed evidence.</x:v>
      </x:c>
    </x:row>
    <x:row r="310" ht="77" customHeight="1">
      <x:c r="A310" s="11" t="str">
        <x:v>TC-WFL-003-02</x:v>
      </x:c>
      <x:c r="B310" s="11" t="str">
        <x:v>FR-WFL-003 / BR-WFL-003 / SC01–SC08</x:v>
      </x:c>
      <x:c r="C310" s="11" t="str">
        <x:v>P0 / R1</x:v>
      </x:c>
      <x:c r="D310" s="11" t="str">
        <x:v>Return reject and resubmit validation and recovery</x:v>
      </x:c>
      <x:c r="E310" s="11" t="str">
        <x:v>Start from the same eligible fixture and retain the submitted draft; record the last committed head and receipt. Introduce the boundary or failure stated below.</x:v>
      </x:c>
      <x:c r="F310" s="11" t="str">
        <x:v>1. Exercise each independent condition in the validation contract, as separate recorded variants: Previous approvals remain historical but do not satisfy the new candidate unless the workflow explicitly revalidates unchanged independent stages under a qualified rule. 2. Inspect the safe error/state and authorised recovery actions. 3. Correct the condition and retry under current authority and expected revision. 4. Compare durable effects and audit history with the original baseline.</x:v>
      </x:c>
      <x:c r="G310" s="11" t="str">
        <x:v>Previous approvals remain historical but do not satisfy the new candidate unless the workflow explicitly revalidates unchanged independent stages under a qualified rule. Ordinary failed saves have no partial effect. Explicit bulk partial modes account for committed and unprocessed items. A retry does not duplicate the intended business effect.</x:v>
      </x:c>
      <x:c r="H310" s="13" t="str">
        <x:v>Not run</x:v>
      </x:c>
      <x:c r="I310" s="13" t="str"/>
      <x:c r="J310" s="13" t="str">
        <x:v>Expand multi-condition variants in the run record. Required negative coverage, not a claim that one assertion covers every security attack.</x:v>
      </x:c>
    </x:row>
    <x:row r="311" ht="90" customHeight="1">
      <x:c r="A311" s="11" t="str">
        <x:v>TC-WFL-004-01</x:v>
      </x:c>
      <x:c r="B311" s="11" t="str">
        <x:v>FR-WFL-004 / BR-WFL-004</x:v>
      </x:c>
      <x:c r="C311" s="11" t="str">
        <x:v>P1 / R1</x:v>
      </x:c>
      <x:c r="D311" s="11" t="str">
        <x:v>Delegation escalation and absence intended outcome</x:v>
      </x:c>
      <x:c r="E311" s="11" t="str">
        <x:v>Synthetic tenant A; tenant B hidden markers; eligible actor with explicit capability, scope, purpose and current assurance. Set up the source acceptance fixture: Remove the only assigned reviewer during close; an eligible backup is selected with attribution and the original reviewer receives no new protected task.</x:v>
      </x:c>
      <x:c r="F311" s="11" t="str">
        <x:v>1. Record current object revisions, policy and safe audit cursor. 2. Perform the specified interaction: Delegation specifies scope, start, end, delegate and reason. The system verifies eligibility and independence before routing work. Escalation goes to a named backup or manager when a deadline passes or reviewer departs. 3. Inspect UI, canonical API read and audit/receipt for the resulting version. 4. Apply the acceptance example: Remove the only assigned reviewer during close; an eligible backup is selected with attribution and the original reviewer receives no new protected task.</x:v>
      </x:c>
      <x:c r="G311" s="11" t="str">
        <x:v>Remove the only assigned reviewer during close; an eligible backup is selected with attribution and the original reviewer receives no new protected task. Required behaviour is preserved: Delegation specifies scope, start, end, delegate and reason. The system verifies eligibility and independence before routing work. Escalation goes to a named backup or manager when a deadline passes or reviewer departs.</x:v>
      </x:c>
      <x:c r="H311" s="13" t="str">
        <x:v>Not run</x:v>
      </x:c>
      <x:c r="I311" s="13" t="str"/>
      <x:c r="J311" s="13" t="str">
        <x:v>Primary owning component C08. Execute relevant channels; record actual fixture IDs and observed evidence.</x:v>
      </x:c>
    </x:row>
    <x:row r="312" ht="77" customHeight="1">
      <x:c r="A312" s="11" t="str">
        <x:v>TC-WFL-004-02</x:v>
      </x:c>
      <x:c r="B312" s="11" t="str">
        <x:v>FR-WFL-004 / BR-WFL-004 / SC01–SC08</x:v>
      </x:c>
      <x:c r="C312" s="11" t="str">
        <x:v>P1 / R1</x:v>
      </x:c>
      <x:c r="D312" s="11" t="str">
        <x:v>Delegation escalation and absence validation and recovery</x:v>
      </x:c>
      <x:c r="E312" s="11" t="str">
        <x:v>Start from the same eligible fixture and retain the submitted draft; record the last committed head and receipt. Introduce the boundary or failure stated below.</x:v>
      </x:c>
      <x:c r="F312" s="11" t="str">
        <x:v>1. Exercise each independent condition in the validation contract, as separate recorded variants: A delegate cannot approve the delegator's own authored change if independence is lost. No eligible replacement produces Blocked and a management task, never automatic approval. 2. Inspect the safe error/state and authorised recovery actions. 3. Correct the condition and retry under current authority and expected revision. 4. Compare durable effects and audit history with the original baseline.</x:v>
      </x:c>
      <x:c r="G312" s="11" t="str">
        <x:v>A delegate cannot approve the delegator's own authored change if independence is lost. No eligible replacement produces Blocked and a management task, never automatic approval. Ordinary failed saves have no partial effect. Explicit bulk partial modes account for committed and unprocessed items. A retry does not duplicate the intended business effect.</x:v>
      </x:c>
      <x:c r="H312" s="13" t="str">
        <x:v>Not run</x:v>
      </x:c>
      <x:c r="I312" s="13" t="str"/>
      <x:c r="J312" s="13" t="str">
        <x:v>Expand multi-condition variants in the run record. Required negative coverage, not a claim that one assertion covers every security attack.</x:v>
      </x:c>
    </x:row>
    <x:row r="313" ht="103" customHeight="1">
      <x:c r="A313" s="11" t="str">
        <x:v>TC-WFL-005-01</x:v>
      </x:c>
      <x:c r="B313" s="11" t="str">
        <x:v>FR-WFL-005 / BR-WFL-005</x:v>
      </x:c>
      <x:c r="C313" s="11" t="str">
        <x:v>P1 / R1</x:v>
      </x:c>
      <x:c r="D313" s="11" t="str">
        <x:v>Comments mentions and discussions intended outcome</x:v>
      </x:c>
      <x:c r="E313" s="11" t="str">
        <x:v>Synthetic tenant A; tenant B hidden markers; eligible actor with explicit capability, scope, purpose and current assurance. Set up the source acceptance fixture: Mention an external viewer in a restricted evidence discussion; the system prevents disclosure through both the mention list and outgoing notification.</x:v>
      </x:c>
      <x:c r="F313" s="11" t="str">
        <x:v>1. Record current object revisions, policy and safe audit cursor. 2. Perform the specified interaction: Threads attach to an object version or field reference. Mention suggestions contain only eligible collaborators. A notification links to the object and uses minimal permitted text; opening rechecks access. Edits and removal retain permitted moderation history. 3. Inspect UI, canonical API read and audit/receipt for the resulting version. 4. Apply the acceptance example: Mention an external viewer in a restricted evidence discussion; the system prevents disclosure through both the mention list and outgoing notification.</x:v>
      </x:c>
      <x:c r="G313" s="11" t="str">
        <x:v>Mention an external viewer in a restricted evidence discussion; the system prevents disclosure through both the mention list and outgoing notification. Required behaviour is preserved: Threads attach to an object version or field reference. Mention suggestions contain only eligible collaborators. A notification links to the object and uses minimal permitted text; opening rechecks access. Edits and removal retain permitted moderation history.</x:v>
      </x:c>
      <x:c r="H313" s="13" t="str">
        <x:v>Not run</x:v>
      </x:c>
      <x:c r="I313" s="13" t="str"/>
      <x:c r="J313" s="13" t="str">
        <x:v>Primary owning component C08. Execute relevant channels; record actual fixture IDs and observed evidence.</x:v>
      </x:c>
    </x:row>
    <x:row r="314" ht="77" customHeight="1">
      <x:c r="A314" s="11" t="str">
        <x:v>TC-WFL-005-02</x:v>
      </x:c>
      <x:c r="B314" s="11" t="str">
        <x:v>FR-WFL-005 / BR-WFL-005 / SC01–SC08</x:v>
      </x:c>
      <x:c r="C314" s="11" t="str">
        <x:v>P1 / R1</x:v>
      </x:c>
      <x:c r="D314" s="11" t="str">
        <x:v>Comments mentions and discussions validation and recovery</x:v>
      </x:c>
      <x:c r="E314" s="11" t="str">
        <x:v>Start from the same eligible fixture and retain the submitted draft; record the last committed head and receipt. Introduce the boundary or failure stated below.</x:v>
      </x:c>
      <x:c r="F314" s="11" t="str">
        <x:v>1. Exercise each independent condition in the validation contract, as separate recorded variants: Do not quote restricted fields into a broader thread. Resolving a thread does not resolve a quality issue or approve a record. 2. Inspect the safe error/state and authorised recovery actions. 3. Correct the condition and retry under current authority and expected revision. 4. Compare durable effects and audit history with the original baseline.</x:v>
      </x:c>
      <x:c r="G314" s="11" t="str">
        <x:v>Do not quote restricted fields into a broader thread. Resolving a thread does not resolve a quality issue or approve a record. Ordinary failed saves have no partial effect. Explicit bulk partial modes account for committed and unprocessed items. A retry does not duplicate the intended business effect.</x:v>
      </x:c>
      <x:c r="H314" s="13" t="str">
        <x:v>Not run</x:v>
      </x:c>
      <x:c r="I314" s="13" t="str"/>
      <x:c r="J314" s="13" t="str">
        <x:v>Expand multi-condition variants in the run record. Required negative coverage, not a claim that one assertion covers every security attack.</x:v>
      </x:c>
    </x:row>
    <x:row r="315" ht="103" customHeight="1">
      <x:c r="A315" s="11" t="str">
        <x:v>TC-WFL-006-01</x:v>
      </x:c>
      <x:c r="B315" s="11" t="str">
        <x:v>FR-WFL-006 / BR-WFL-006</x:v>
      </x:c>
      <x:c r="C315" s="11" t="str">
        <x:v>P1 / R1</x:v>
      </x:c>
      <x:c r="D315" s="11" t="str">
        <x:v>Task and notification centre intended outcome</x:v>
      </x:c>
      <x:c r="E315" s="11" t="str">
        <x:v>Synthetic tenant A; tenant B hidden markers; eligible actor with explicit capability, scope, purpose and current assurance. Set up the source acceptance fixture: Retry one overdue reminder after provider timeout; one logical notice and traceable attempts remain, with no duplicate task creation.</x:v>
      </x:c>
      <x:c r="F315" s="11" t="str">
        <x:v>1. Record current object revisions, policy and safe audit cursor. 2. Perform the specified interaction: The work centre consolidates assignments, returned work, due obligations and security notices. Users may choose permitted channels and digests; deadlines and escalations follow FD12. Every notification has an event identity and per recipient delivery status. 3. Inspect UI, canonical API read and audit/receipt for the resulting version. 4. Apply the acceptance example: Retry one overdue reminder after provider timeout; one logical notice and traceable attempts remain, with no duplicate task creation.</x:v>
      </x:c>
      <x:c r="G315" s="11" t="str">
        <x:v>Retry one overdue reminder after provider timeout; one logical notice and traceable attempts remain, with no duplicate task creation. Required behaviour is preserved: The work centre consolidates assignments, returned work, due obligations and security notices. Users may choose permitted channels and digests; deadlines and escalations follow FD12. Every notification has an event identity and per recipient delivery status.</x:v>
      </x:c>
      <x:c r="H315" s="13" t="str">
        <x:v>Not run</x:v>
      </x:c>
      <x:c r="I315" s="13" t="str"/>
      <x:c r="J315" s="13" t="str">
        <x:v>Primary owning component C08. Execute relevant channels; record actual fixture IDs and observed evidence.</x:v>
      </x:c>
    </x:row>
    <x:row r="316" ht="90" customHeight="1">
      <x:c r="A316" s="11" t="str">
        <x:v>TC-WFL-006-02</x:v>
      </x:c>
      <x:c r="B316" s="11" t="str">
        <x:v>FR-WFL-006 / BR-WFL-006 / SC01–SC08</x:v>
      </x:c>
      <x:c r="C316" s="11" t="str">
        <x:v>P1 / R1</x:v>
      </x:c>
      <x:c r="D316" s="11" t="str">
        <x:v>Task and notification centre validation and recovery</x:v>
      </x:c>
      <x:c r="E316" s="11" t="str">
        <x:v>Start from the same eligible fixture and retain the submitted draft; record the last committed head and receipt. Introduce the boundary or failure stated below.</x:v>
      </x:c>
      <x:c r="F316" s="11" t="str">
        <x:v>1. Exercise each independent condition in the validation contract, as separate recorded variants: Retries do not generate duplicate logical reminders. Mandatory security notices cannot be muted. Failed delivery flags contact remediation without revealing content to unverified alternatives. 2. Inspect the safe error/state and authorised recovery actions. 3. Correct the condition and retry under current authority and expected revision. 4. Compare durable effects and audit history with the original baseline.</x:v>
      </x:c>
      <x:c r="G316" s="11" t="str">
        <x:v>Retries do not generate duplicate logical reminders. Mandatory security notices cannot be muted. Failed delivery flags contact remediation without revealing content to unverified alternatives. Ordinary failed saves have no partial effect. Explicit bulk partial modes account for committed and unprocessed items. A retry does not duplicate the intended business effect.</x:v>
      </x:c>
      <x:c r="H316" s="13" t="str">
        <x:v>Not run</x:v>
      </x:c>
      <x:c r="I316" s="13" t="str"/>
      <x:c r="J316" s="13" t="str">
        <x:v>Expand multi-condition variants in the run record. Required negative coverage, not a claim that one assertion covers every security attack.</x:v>
      </x:c>
    </x:row>
    <x:row r="317" ht="103" customHeight="1">
      <x:c r="A317" s="11" t="str">
        <x:v>TC-WFL-007-01</x:v>
      </x:c>
      <x:c r="B317" s="11" t="str">
        <x:v>FR-WFL-007 / BR-WFL-007</x:v>
      </x:c>
      <x:c r="C317" s="11" t="str">
        <x:v>P0 / R1</x:v>
      </x:c>
      <x:c r="D317" s="11" t="str">
        <x:v>Period close and lock intended outcome</x:v>
      </x:c>
      <x:c r="E317" s="11" t="str">
        <x:v>Synthetic tenant A; tenant B hidden markers; eligible actor with explicit capability, scope, purpose and current assurance. Set up the source acceptance fixture: Lock a quarter with three approved mandatory obligations, then receive a late optional record; the snapshot stays fixed and current views label the new data separately.</x:v>
      </x:c>
      <x:c r="F317" s="11" t="str">
        <x:v>1. Record current object revisions, policy and safe audit cursor. 2. Perform the specified interaction: Close preview freezes the expected obligation set and lists approved values, missing work, quality blockers and proposed exclusions. An independent decision locks a snapshot only after all required checks pass and source revisions remain unchanged. 3. Inspect UI, canonical API read and audit/receipt for the resulting version. 4. Apply the acceptance example: Lock a quarter with three approved mandatory obligations, then receive a late optional record; the snapshot stays fixed and current views label the new data separately.</x:v>
      </x:c>
      <x:c r="G317" s="11" t="str">
        <x:v>Lock a quarter with three approved mandatory obligations, then receive a late optional record; the snapshot stays fixed and current views label the new data separately. Required behaviour is preserved: Close preview freezes the expected obligation set and lists approved values, missing work, quality blockers and proposed exclusions. An independent decision locks a snapshot only after all required checks pass and source revisions remain unchanged.</x:v>
      </x:c>
      <x:c r="H317" s="13" t="str">
        <x:v>Not run</x:v>
      </x:c>
      <x:c r="I317" s="13" t="str"/>
      <x:c r="J317" s="13" t="str">
        <x:v>Primary owning component C08. Execute relevant channels; record actual fixture IDs and observed evidence.</x:v>
      </x:c>
    </x:row>
    <x:row r="318" ht="77" customHeight="1">
      <x:c r="A318" s="11" t="str">
        <x:v>TC-WFL-007-02</x:v>
      </x:c>
      <x:c r="B318" s="11" t="str">
        <x:v>FR-WFL-007 / BR-WFL-007 / SC01–SC08</x:v>
      </x:c>
      <x:c r="C318" s="11" t="str">
        <x:v>P0 / R1</x:v>
      </x:c>
      <x:c r="D318" s="11" t="str">
        <x:v>Period close and lock validation and recovery</x:v>
      </x:c>
      <x:c r="E318" s="11" t="str">
        <x:v>Start from the same eligible fixture and retain the submitted draft; record the last committed head and receipt. Introduce the boundary or failure stated below.</x:v>
      </x:c>
      <x:c r="F318" s="11" t="str">
        <x:v>1. Exercise each independent condition in the validation contract, as separate recorded variants: If inputs change between preview and lock, require a new preview. Late data remains outside the snapshot; ordinary editing cannot alter locked results. 2. Inspect the safe error/state and authorised recovery actions. 3. Correct the condition and retry under current authority and expected revision. 4. Compare durable effects and audit history with the original baseline.</x:v>
      </x:c>
      <x:c r="G318" s="11" t="str">
        <x:v>If inputs change between preview and lock, require a new preview. Late data remains outside the snapshot; ordinary editing cannot alter locked results. Ordinary failed saves have no partial effect. Explicit bulk partial modes account for committed and unprocessed items. A retry does not duplicate the intended business effect.</x:v>
      </x:c>
      <x:c r="H318" s="13" t="str">
        <x:v>Not run</x:v>
      </x:c>
      <x:c r="I318" s="13" t="str"/>
      <x:c r="J318" s="13" t="str">
        <x:v>Expand multi-condition variants in the run record. Required negative coverage, not a claim that one assertion covers every security attack.</x:v>
      </x:c>
    </x:row>
    <x:row r="319" ht="103" customHeight="1">
      <x:c r="A319" s="11" t="str">
        <x:v>TC-WFL-008-01</x:v>
      </x:c>
      <x:c r="B319" s="11" t="str">
        <x:v>FR-WFL-008 / BR-WFL-008</x:v>
      </x:c>
      <x:c r="C319" s="11" t="str">
        <x:v>P0 / R1</x:v>
      </x:c>
      <x:c r="D319" s="11" t="str">
        <x:v>Reopen and restate intended outcome</x:v>
      </x:c>
      <x:c r="E319" s="11" t="str">
        <x:v>Synthetic tenant A; tenant B hidden markers; eligible actor with explicit capability, scope, purpose and current assurance. Set up the source acceptance fixture: Restate Q1 and regenerate year-to-date; old Q1 remains available as superseded and the annual package points to the new approved version.</x:v>
      </x:c>
      <x:c r="F319" s="11" t="str">
        <x:v>1. Record current object revisions, policy and safe audit cursor. 2. Perform the specified interaction: Restatement starts from a locked snapshot and specifies correction reason, changed sources, affected totals and previously distributed artifacts. Review compares old and proposed new snapshots. Approval creates a new locked version and correction notices for eligible recipients. 3. Inspect UI, canonical API read and audit/receipt for the resulting version. 4. Apply the acceptance example: Restate Q1 and regenerate year-to-date; old Q1 remains available as superseded and the annual package points to the new approved version.</x:v>
      </x:c>
      <x:c r="G319" s="11" t="str">
        <x:v>Restate Q1 and regenerate year-to-date; old Q1 remains available as superseded and the annual package points to the new approved version. Required behaviour is preserved: Restatement starts from a locked snapshot and specifies correction reason, changed sources, affected totals and previously distributed artifacts. Review compares old and proposed new snapshots. Approval creates a new locked version and correction notices for eligible recipients.</x:v>
      </x:c>
      <x:c r="H319" s="13" t="str">
        <x:v>Not run</x:v>
      </x:c>
      <x:c r="I319" s="13" t="str"/>
      <x:c r="J319" s="13" t="str">
        <x:v>Primary owning component C08. Execute relevant channels; record actual fixture IDs and observed evidence.</x:v>
      </x:c>
    </x:row>
    <x:row r="320" ht="77" customHeight="1">
      <x:c r="A320" s="11" t="str">
        <x:v>TC-WFL-008-02</x:v>
      </x:c>
      <x:c r="B320" s="11" t="str">
        <x:v>FR-WFL-008 / BR-WFL-008 / SC01–SC08</x:v>
      </x:c>
      <x:c r="C320" s="11" t="str">
        <x:v>P0 / R1</x:v>
      </x:c>
      <x:c r="D320" s="11" t="str">
        <x:v>Reopen and restate validation and recovery</x:v>
      </x:c>
      <x:c r="E320" s="11" t="str">
        <x:v>Start from the same eligible fixture and retain the submitted draft; record the last committed head and receipt. Introduce the boundary or failure stated below.</x:v>
      </x:c>
      <x:c r="F320" s="11" t="str">
        <x:v>1. Exercise each independent condition in the validation contract, as separate recorded variants: Original snapshot and report are not overwritten. Reopening for correction is scoped and time bounded; subsequent annual totals must identify which quarter version they use. 2. Inspect the safe error/state and authorised recovery actions. 3. Correct the condition and retry under current authority and expected revision. 4. Compare durable effects and audit history with the original baseline.</x:v>
      </x:c>
      <x:c r="G320" s="11" t="str">
        <x:v>Original snapshot and report are not overwritten. Reopening for correction is scoped and time bounded; subsequent annual totals must identify which quarter version they use. Ordinary failed saves have no partial effect. Explicit bulk partial modes account for committed and unprocessed items. A retry does not duplicate the intended business effect.</x:v>
      </x:c>
      <x:c r="H320" s="13" t="str">
        <x:v>Not run</x:v>
      </x:c>
      <x:c r="I320" s="13" t="str"/>
      <x:c r="J320" s="13" t="str">
        <x:v>Expand multi-condition variants in the run record. Required negative coverage, not a claim that one assertion covers every security attack.</x:v>
      </x:c>
    </x:row>
    <x:row r="321" ht="103" customHeight="1">
      <x:c r="A321" s="11" t="str">
        <x:v>TC-WFL-009-01</x:v>
      </x:c>
      <x:c r="B321" s="11" t="str">
        <x:v>FR-WFL-009 / BR-WFL-009</x:v>
      </x:c>
      <x:c r="C321" s="11" t="str">
        <x:v>P1 / R2</x:v>
      </x:c>
      <x:c r="D321" s="11" t="str">
        <x:v>Automation rules intended outcome</x:v>
      </x:c>
      <x:c r="E321" s="11" t="str">
        <x:v>Synthetic tenant A; tenant B hidden markers; eligible actor with explicit capability, scope, purpose and current assurance. Set up the source acceptance fixture: Create an overdue reminder rule that triggers a task update; repeated events produce one task and cannot recursively create unlimited reminders.</x:v>
      </x:c>
      <x:c r="F321" s="11" t="str">
        <x:v>1. Record current object revisions, policy and safe audit cursor. 2. Perform the specified interaction: An automation rule declares event trigger, conditions, bounded action, owner, scope and retry policy. Preview runs against synthetic or permitted sample events. Executions record input event and action receipts, with loop depth and frequency limits. 3. Inspect UI, canonical API read and audit/receipt for the resulting version. 4. Apply the acceptance example: Create an overdue reminder rule that triggers a task update; repeated events produce one task and cannot recursively create unlimited reminders.</x:v>
      </x:c>
      <x:c r="G321" s="11" t="str">
        <x:v>Create an overdue reminder rule that triggers a task update; repeated events produce one task and cannot recursively create unlimited reminders. Required behaviour is preserved: An automation rule declares event trigger, conditions, bounded action, owner, scope and retry policy. Preview runs against synthetic or permitted sample events. Executions record input event and action receipts, with loop depth and frequency limits.</x:v>
      </x:c>
      <x:c r="H321" s="13" t="str">
        <x:v>Not run</x:v>
      </x:c>
      <x:c r="I321" s="13" t="str"/>
      <x:c r="J321" s="13" t="str">
        <x:v>Primary owning component C08. Execute relevant channels; record actual fixture IDs and observed evidence.</x:v>
      </x:c>
    </x:row>
    <x:row r="322" ht="77" customHeight="1">
      <x:c r="A322" s="11" t="str">
        <x:v>TC-WFL-009-02</x:v>
      </x:c>
      <x:c r="B322" s="11" t="str">
        <x:v>FR-WFL-009 / BR-WFL-009 / SC01–SC08</x:v>
      </x:c>
      <x:c r="C322" s="11" t="str">
        <x:v>P1 / R2</x:v>
      </x:c>
      <x:c r="D322" s="11" t="str">
        <x:v>Automation rules validation and recovery</x:v>
      </x:c>
      <x:c r="E322" s="11" t="str">
        <x:v>Start from the same eligible fixture and retain the submitted draft; record the last committed head and receipt. Introduce the boundary or failure stated below.</x:v>
      </x:c>
      <x:c r="F322" s="11" t="str">
        <x:v>1. Exercise each independent condition in the validation contract, as separate recorded variants: Automation cannot approve its own generated objects, publish without approval or expand permissions. Disable stops future actions and identifies already committed ones. 2. Inspect the safe error/state and authorised recovery actions. 3. Correct the condition and retry under current authority and expected revision. 4. Compare durable effects and audit history with the original baseline.</x:v>
      </x:c>
      <x:c r="G322" s="11" t="str">
        <x:v>Automation cannot approve its own generated objects, publish without approval or expand permissions. Disable stops future actions and identifies already committed ones. Ordinary failed saves have no partial effect. Explicit bulk partial modes account for committed and unprocessed items. A retry does not duplicate the intended business effect.</x:v>
      </x:c>
      <x:c r="H322" s="13" t="str">
        <x:v>Not run</x:v>
      </x:c>
      <x:c r="I322" s="13" t="str"/>
      <x:c r="J322" s="13" t="str">
        <x:v>Expand multi-condition variants in the run record. Required negative coverage, not a claim that one assertion covers every security attack.</x:v>
      </x:c>
    </x:row>
    <x:row r="323" ht="90" customHeight="1">
      <x:c r="A323" s="11" t="str">
        <x:v>TC-WFL-010-01</x:v>
      </x:c>
      <x:c r="B323" s="11" t="str">
        <x:v>FR-WFL-010 / BR-WFL-010</x:v>
      </x:c>
      <x:c r="C323" s="11" t="str">
        <x:v>P0 / R1</x:v>
      </x:c>
      <x:c r="D323" s="11" t="str">
        <x:v>Decisions and signoff intended outcome</x:v>
      </x:c>
      <x:c r="E323" s="11" t="str">
        <x:v>Synthetic tenant A; tenant B hidden markers; eligible actor with explicit capability, scope, purpose and current assurance. Set up the source acceptance fixture: Export the decisions for one report and identify the exact candidate approved by each reviewer without attributing a signature standard the product has not qualified.</x:v>
      </x:c>
      <x:c r="F323" s="11" t="str">
        <x:v>1. Record current object revisions, policy and safe audit cursor. 2. Perform the specified interaction: Signoff records real identity, acting capacity, current authority, candidate version, decision, time and evidence. The approval history is exportable within scope. Delegation and emergency context are included explicitly. 3. Inspect UI, canonical API read and audit/receipt for the resulting version. 4. Apply the acceptance example: Export the decisions for one report and identify the exact candidate approved by each reviewer without attributing a signature standard the product has not qualified.</x:v>
      </x:c>
      <x:c r="G323" s="11" t="str">
        <x:v>Export the decisions for one report and identify the exact candidate approved by each reviewer without attributing a signature standard the product has not qualified. Required behaviour is preserved: Signoff records real identity, acting capacity, current authority, candidate version, decision, time and evidence. The approval history is exportable within scope. Delegation and emergency context are included explicitly.</x:v>
      </x:c>
      <x:c r="H323" s="13" t="str">
        <x:v>Not run</x:v>
      </x:c>
      <x:c r="I323" s="13" t="str"/>
      <x:c r="J323" s="13" t="str">
        <x:v>Primary owning component C08. Execute relevant channels; record actual fixture IDs and observed evidence.</x:v>
      </x:c>
    </x:row>
    <x:row r="324" ht="77" customHeight="1">
      <x:c r="A324" s="11" t="str">
        <x:v>TC-WFL-010-02</x:v>
      </x:c>
      <x:c r="B324" s="11" t="str">
        <x:v>FR-WFL-010 / BR-WFL-010 / SC01–SC08</x:v>
      </x:c>
      <x:c r="C324" s="11" t="str">
        <x:v>P0 / R1</x:v>
      </x:c>
      <x:c r="D324" s="11" t="str">
        <x:v>Decisions and signoff validation and recovery</x:v>
      </x:c>
      <x:c r="E324" s="11" t="str">
        <x:v>Start from the same eligible fixture and retain the submitted draft; record the last committed head and receipt. Introduce the boundary or failure stated below.</x:v>
      </x:c>
      <x:c r="F324" s="11" t="str">
        <x:v>1. Exercise each independent condition in the validation contract, as separate recorded variants: The UI labels ordinary approval as an accountable product decision. Legally recognised electronic signature claims require a separately qualified integration and approved contract. 2. Inspect the safe error/state and authorised recovery actions. 3. Correct the condition and retry under current authority and expected revision. 4. Compare durable effects and audit history with the original baseline.</x:v>
      </x:c>
      <x:c r="G324" s="11" t="str">
        <x:v>The UI labels ordinary approval as an accountable product decision. Legally recognised electronic signature claims require a separately qualified integration and approved contract. Ordinary failed saves have no partial effect. Explicit bulk partial modes account for committed and unprocessed items. A retry does not duplicate the intended business effect.</x:v>
      </x:c>
      <x:c r="H324" s="13" t="str">
        <x:v>Not run</x:v>
      </x:c>
      <x:c r="I324" s="13" t="str"/>
      <x:c r="J324" s="13" t="str">
        <x:v>Expand multi-condition variants in the run record. Required negative coverage, not a claim that one assertion covers every security attack.</x:v>
      </x:c>
    </x:row>
    <x:row r="325" ht="103" customHeight="1">
      <x:c r="A325" s="11" t="str">
        <x:v>TC-ANA-001-01</x:v>
      </x:c>
      <x:c r="B325" s="11" t="str">
        <x:v>FR-ANA-001 / BR-ANA-001</x:v>
      </x:c>
      <x:c r="C325" s="11" t="str">
        <x:v>P1 / R1</x:v>
      </x:c>
      <x:c r="D325" s="11" t="str">
        <x:v>Dashboard authoring intended outcome</x:v>
      </x:c>
      <x:c r="E325" s="11" t="str">
        <x:v>Synthetic tenant A; tenant B hidden markers; eligible actor with explicit capability, scope, purpose and current assurance. Set up the source acceptance fixture: Build a ten-widget dashboard, open it at mobile width and verify each chart has a readable labelled equivalent with identical values.</x:v>
      </x:c>
      <x:c r="F325" s="11" t="str">
        <x:v>1. Record current object revisions, policy and safe audit cursor. 2. Perform the specified interaction: Dashboard authoring selects permitted metric, table, trend, target, narrative and evidence widgets. Each widget declares binding, view mode, period, dimensions and disclosure context. Preview renders desktop, mobile and an accessible tabular alternative before publication. 3. Inspect UI, canonical API read and audit/receipt for the resulting version. 4. Apply the acceptance example: Build a ten-widget dashboard, open it at mobile width and verify each chart has a readable labelled equivalent with identical values.</x:v>
      </x:c>
      <x:c r="G325" s="11" t="str">
        <x:v>Build a ten-widget dashboard, open it at mobile width and verify each chart has a readable labelled equivalent with identical values. Required behaviour is preserved: Dashboard authoring selects permitted metric, table, trend, target, narrative and evidence widgets. Each widget declares binding, view mode, period, dimensions and disclosure context. Preview renders desktop, mobile and an accessible tabular alternative before publication.</x:v>
      </x:c>
      <x:c r="H325" s="13" t="str">
        <x:v>Not run</x:v>
      </x:c>
      <x:c r="I325" s="13" t="str"/>
      <x:c r="J325" s="13" t="str">
        <x:v>Primary owning component C09. Execute relevant channels; record actual fixture IDs and observed evidence.</x:v>
      </x:c>
    </x:row>
    <x:row r="326" ht="77" customHeight="1">
      <x:c r="A326" s="11" t="str">
        <x:v>TC-ANA-001-02</x:v>
      </x:c>
      <x:c r="B326" s="11" t="str">
        <x:v>FR-ANA-001 / BR-ANA-001 / SC01–SC08</x:v>
      </x:c>
      <x:c r="C326" s="11" t="str">
        <x:v>P1 / R1</x:v>
      </x:c>
      <x:c r="D326" s="11" t="str">
        <x:v>Dashboard authoring validation and recovery</x:v>
      </x:c>
      <x:c r="E326" s="11" t="str">
        <x:v>Start from the same eligible fixture and retain the submitted draft; record the last committed head and receipt. Introduce the boundary or failure stated below.</x:v>
      </x:c>
      <x:c r="F326" s="11" t="str">
        <x:v>1. Exercise each independent condition in the validation contract, as separate recorded variants: Changing layout cannot hide required quality context. Unsupported or revoked bindings show unavailable rather than a stale private value. A dashboard copy begins as a private draft. 2. Inspect the safe error/state and authorised recovery actions. 3. Correct the condition and retry under current authority and expected revision. 4. Compare durable effects and audit history with the original baseline.</x:v>
      </x:c>
      <x:c r="G326" s="11" t="str">
        <x:v>Changing layout cannot hide required quality context. Unsupported or revoked bindings show unavailable rather than a stale private value. A dashboard copy begins as a private draft. Ordinary failed saves have no partial effect. Explicit bulk partial modes account for committed and unprocessed items. A retry does not duplicate the intended business effect.</x:v>
      </x:c>
      <x:c r="H326" s="13" t="str">
        <x:v>Not run</x:v>
      </x:c>
      <x:c r="I326" s="13" t="str"/>
      <x:c r="J326" s="13" t="str">
        <x:v>Expand multi-condition variants in the run record. Required negative coverage, not a claim that one assertion covers every security attack.</x:v>
      </x:c>
    </x:row>
    <x:row r="327" ht="103" customHeight="1">
      <x:c r="A327" s="11" t="str">
        <x:v>TC-ANA-002-01</x:v>
      </x:c>
      <x:c r="B327" s="11" t="str">
        <x:v>FR-ANA-002 / BR-ANA-002</x:v>
      </x:c>
      <x:c r="C327" s="11" t="str">
        <x:v>P0 / R1</x:v>
      </x:c>
      <x:c r="D327" s="11" t="str">
        <x:v>Filters and drill down intended outcome</x:v>
      </x:c>
      <x:c r="E327" s="11" t="str">
        <x:v>Synthetic tenant A; tenant B hidden markers; eligible actor with explicit capability, scope, purpose and current assurance. Set up the source acceptance fixture: Select partner A and drill to programme data; a restricted participant level remains unavailable and the summary does not leak partner B through totals.</x:v>
      </x:c>
      <x:c r="F327" s="11" t="str">
        <x:v>1. Record current object revisions, policy and safe audit cursor. 2. Perform the specified interaction: Filters show their current values and affect only declared compatible widgets. Drill down follows permitted hierarchy levels and approved disclosure slices. Saved views pin definitions or display a reviewed migration notice when a binding changes. 3. Inspect UI, canonical API read and audit/receipt for the resulting version. 4. Apply the acceptance example: Select partner A and drill to programme data; a restricted participant level remains unavailable and the summary does not leak partner B through totals.</x:v>
      </x:c>
      <x:c r="G327" s="11" t="str">
        <x:v>Select partner A and drill to programme data; a restricted participant level remains unavailable and the summary does not leak partner B through totals. Required behaviour is preserved: Filters show their current values and affect only declared compatible widgets. Drill down follows permitted hierarchy levels and approved disclosure slices. Saved views pin definitions or display a reviewed migration notice when a binding changes.</x:v>
      </x:c>
      <x:c r="H327" s="13" t="str">
        <x:v>Not run</x:v>
      </x:c>
      <x:c r="I327" s="13" t="str"/>
      <x:c r="J327" s="13" t="str">
        <x:v>Primary owning component C09. Execute relevant channels; record actual fixture IDs and observed evidence.</x:v>
      </x:c>
    </x:row>
    <x:row r="328" ht="77" customHeight="1">
      <x:c r="A328" s="11" t="str">
        <x:v>TC-ANA-002-02</x:v>
      </x:c>
      <x:c r="B328" s="11" t="str">
        <x:v>FR-ANA-002 / BR-ANA-002 / SC01–SC08</x:v>
      </x:c>
      <x:c r="C328" s="11" t="str">
        <x:v>P0 / R1</x:v>
      </x:c>
      <x:c r="D328" s="11" t="str">
        <x:v>Filters and drill down validation and recovery</x:v>
      </x:c>
      <x:c r="E328" s="11" t="str">
        <x:v>Start from the same eligible fixture and retain the submitted draft; record the last committed head and receipt. Introduce the boundary or failure stated below.</x:v>
      </x:c>
      <x:c r="F328" s="11" t="str">
        <x:v>1. Exercise each independent condition in the validation contract, as separate recorded variants: Filtering cannot reveal suppressed cells or hidden source counts. A filter that is not applicable to a widget is visibly identified rather than silently ignored. 2. Inspect the safe error/state and authorised recovery actions. 3. Correct the condition and retry under current authority and expected revision. 4. Compare durable effects and audit history with the original baseline.</x:v>
      </x:c>
      <x:c r="G328" s="11" t="str">
        <x:v>Filtering cannot reveal suppressed cells or hidden source counts. A filter that is not applicable to a widget is visibly identified rather than silently ignored. Ordinary failed saves have no partial effect. Explicit bulk partial modes account for committed and unprocessed items. A retry does not duplicate the intended business effect.</x:v>
      </x:c>
      <x:c r="H328" s="13" t="str">
        <x:v>Not run</x:v>
      </x:c>
      <x:c r="I328" s="13" t="str"/>
      <x:c r="J328" s="13" t="str">
        <x:v>Expand multi-condition variants in the run record. Required negative coverage, not a claim that one assertion covers every security attack.</x:v>
      </x:c>
    </x:row>
    <x:row r="329" ht="103" customHeight="1">
      <x:c r="A329" s="11" t="str">
        <x:v>TC-ANA-003-01</x:v>
      </x:c>
      <x:c r="B329" s="11" t="str">
        <x:v>FR-ANA-003 / BR-ANA-003</x:v>
      </x:c>
      <x:c r="C329" s="11" t="str">
        <x:v>P0 / R1</x:v>
      </x:c>
      <x:c r="D329" s="11" t="str">
        <x:v>Actual target and baseline views intended outcome</x:v>
      </x:c>
      <x:c r="E329" s="11" t="str">
        <x:v>Synthetic tenant A; tenant B hidden markers; eligible actor with explicit capability, scope, purpose and current assurance. Set up the source acceptance fixture: Display lower-is-better target ten with actual eight and show the correct status and declared deviation without an inverted success interpretation.</x:v>
      </x:c>
      <x:c r="F329" s="11" t="str">
        <x:v>1. Record current object revisions, policy and safe audit cursor. 2. Perform the specified interaction: Comparison widgets bind actual, baseline and selected target version with direction and time semantic. Labels identify original or revised target and applicable period. Axis scales and percentage calculations are explicit; overachievement remains visible. 3. Inspect UI, canonical API read and audit/receipt for the resulting version. 4. Apply the acceptance example: Display lower-is-better target ten with actual eight and show the correct status and declared deviation without an inverted success interpretation.</x:v>
      </x:c>
      <x:c r="G329" s="11" t="str">
        <x:v>Display lower-is-better target ten with actual eight and show the correct status and declared deviation without an inverted success interpretation. Required behaviour is preserved: Comparison widgets bind actual, baseline and selected target version with direction and time semantic. Labels identify original or revised target and applicable period. Axis scales and percentage calculations are explicit; overachievement remains visible.</x:v>
      </x:c>
      <x:c r="H329" s="13" t="str">
        <x:v>Not run</x:v>
      </x:c>
      <x:c r="I329" s="13" t="str"/>
      <x:c r="J329" s="13" t="str">
        <x:v>Primary owning component C09. Execute relevant channels; record actual fixture IDs and observed evidence.</x:v>
      </x:c>
    </x:row>
    <x:row r="330" ht="77" customHeight="1">
      <x:c r="A330" s="11" t="str">
        <x:v>TC-ANA-003-02</x:v>
      </x:c>
      <x:c r="B330" s="11" t="str">
        <x:v>FR-ANA-003 / BR-ANA-003 / SC01–SC08</x:v>
      </x:c>
      <x:c r="C330" s="11" t="str">
        <x:v>P0 / R1</x:v>
      </x:c>
      <x:c r="D330" s="11" t="str">
        <x:v>Actual target and baseline views validation and recovery</x:v>
      </x:c>
      <x:c r="E330" s="11" t="str">
        <x:v>Start from the same eligible fixture and retain the submitted draft; record the last committed head and receipt. Introduce the boundary or failure stated below.</x:v>
      </x:c>
      <x:c r="F330" s="11" t="str">
        <x:v>1. Exercise each independent condition in the validation contract, as separate recorded variants: A cumulative curve cannot be compared to a monthly flow target without an approved conversion. Zero baseline percentage change produces undefined, not an infinite trend. 2. Inspect the safe error/state and authorised recovery actions. 3. Correct the condition and retry under current authority and expected revision. 4. Compare durable effects and audit history with the original baseline.</x:v>
      </x:c>
      <x:c r="G330" s="11" t="str">
        <x:v>A cumulative curve cannot be compared to a monthly flow target without an approved conversion. Zero baseline percentage change produces undefined, not an infinite trend. Ordinary failed saves have no partial effect. Explicit bulk partial modes account for committed and unprocessed items. A retry does not duplicate the intended business effect.</x:v>
      </x:c>
      <x:c r="H330" s="13" t="str">
        <x:v>Not run</x:v>
      </x:c>
      <x:c r="I330" s="13" t="str"/>
      <x:c r="J330" s="13" t="str">
        <x:v>Expand multi-condition variants in the run record. Required negative coverage, not a claim that one assertion covers every security attack.</x:v>
      </x:c>
    </x:row>
    <x:row r="331" ht="90" customHeight="1">
      <x:c r="A331" s="11" t="str">
        <x:v>TC-ANA-004-01</x:v>
      </x:c>
      <x:c r="B331" s="11" t="str">
        <x:v>FR-ANA-004 / BR-ANA-004</x:v>
      </x:c>
      <x:c r="C331" s="11" t="str">
        <x:v>P0 / R1</x:v>
      </x:c>
      <x:c r="D331" s="11" t="str">
        <x:v>Freshness and approval context intended outcome</x:v>
      </x:c>
      <x:c r="E331" s="11" t="str">
        <x:v>Synthetic tenant A; tenant B hidden markers; eligible actor with explicit capability, scope, purpose and current assurance. Set up the source acceptance fixture: Fail a source refresh and export the dashboard; the exported result remains marked stale with the last valid data time.</x:v>
      </x:c>
      <x:c r="F331" s="11" t="str">
        <x:v>1. Record current object revisions, policy and safe audit cursor. 2. Perform the specified interaction: Every result widget distinguishes live approved, provisional or snapshot. Its context exposes last source success, approval cutoff, calculation time and coverage. A report or image export embeds a concise version of material context. 3. Inspect UI, canonical API read and audit/receipt for the resulting version. 4. Apply the acceptance example: Fail a source refresh and export the dashboard; the exported result remains marked stale with the last valid data time.</x:v>
      </x:c>
      <x:c r="G331" s="11" t="str">
        <x:v>Fail a source refresh and export the dashboard; the exported result remains marked stale with the last valid data time. Required behaviour is preserved: Every result widget distinguishes live approved, provisional or snapshot. Its context exposes last source success, approval cutoff, calculation time and coverage. A report or image export embeds a concise version of material context.</x:v>
      </x:c>
      <x:c r="H331" s="13" t="str">
        <x:v>Not run</x:v>
      </x:c>
      <x:c r="I331" s="13" t="str"/>
      <x:c r="J331" s="13" t="str">
        <x:v>Primary owning component C09. Execute relevant channels; record actual fixture IDs and observed evidence.</x:v>
      </x:c>
    </x:row>
    <x:row r="332" ht="77" customHeight="1">
      <x:c r="A332" s="11" t="str">
        <x:v>TC-ANA-004-02</x:v>
      </x:c>
      <x:c r="B332" s="11" t="str">
        <x:v>FR-ANA-004 / BR-ANA-004 / SC01–SC08</x:v>
      </x:c>
      <x:c r="C332" s="11" t="str">
        <x:v>P0 / R1</x:v>
      </x:c>
      <x:c r="D332" s="11" t="str">
        <x:v>Freshness and approval context validation and recovery</x:v>
      </x:c>
      <x:c r="E332" s="11" t="str">
        <x:v>Start from the same eligible fixture and retain the submitted draft; record the last committed head and receipt. Introduce the boundary or failure stated below.</x:v>
      </x:c>
      <x:c r="F332" s="11" t="str">
        <x:v>1. Exercise each independent condition in the validation contract, as separate recorded variants: A successful dashboard fetch does not make the source fresh. Provisional content remains labelled even if other widgets are approved. 2. Inspect the safe error/state and authorised recovery actions. 3. Correct the condition and retry under current authority and expected revision. 4. Compare durable effects and audit history with the original baseline.</x:v>
      </x:c>
      <x:c r="G332" s="11" t="str">
        <x:v>A successful dashboard fetch does not make the source fresh. Provisional content remains labelled even if other widgets are approved. Ordinary failed saves have no partial effect. Explicit bulk partial modes account for committed and unprocessed items. A retry does not duplicate the intended business effect.</x:v>
      </x:c>
      <x:c r="H332" s="13" t="str">
        <x:v>Not run</x:v>
      </x:c>
      <x:c r="I332" s="13" t="str"/>
      <x:c r="J332" s="13" t="str">
        <x:v>Expand multi-condition variants in the run record. Required negative coverage, not a claim that one assertion covers every security attack.</x:v>
      </x:c>
    </x:row>
    <x:row r="333" ht="103" customHeight="1">
      <x:c r="A333" s="11" t="str">
        <x:v>TC-ANA-005-01</x:v>
      </x:c>
      <x:c r="B333" s="11" t="str">
        <x:v>FR-ANA-005 / BR-ANA-005</x:v>
      </x:c>
      <x:c r="C333" s="11" t="str">
        <x:v>P1 / R2</x:v>
      </x:c>
      <x:c r="D333" s="11" t="str">
        <x:v>Table analysis and pivots intended outcome</x:v>
      </x:c>
      <x:c r="E333" s="11" t="str">
        <x:v>Synthetic tenant A; tenant B hidden markers; eligible actor with explicit capability, scope, purpose and current assurance. Set up the source acceptance fixture: Pivot participants by a multiselect service type; category totals may exceed the distinct grand total, and that difference is explained.</x:v>
      </x:c>
      <x:c r="F333" s="11" t="str">
        <x:v>1. Record current object revisions, policy and safe audit cursor. 2. Perform the specified interaction: Pivot authoring selects dimensions, measures and compatible aggregation functions. Preview estimates cardinality and routes large requests to cancellable jobs. Grand totals are recalculated from eligible source semantics rather than summed from displayed rounded or overlapping cells. 3. Inspect UI, canonical API read and audit/receipt for the resulting version. 4. Apply the acceptance example: Pivot participants by a multiselect service type; category totals may exceed the distinct grand total, and that difference is explained.</x:v>
      </x:c>
      <x:c r="G333" s="11" t="str">
        <x:v>Pivot participants by a multiselect service type; category totals may exceed the distinct grand total, and that difference is explained. Required behaviour is preserved: Pivot authoring selects dimensions, measures and compatible aggregation functions. Preview estimates cardinality and routes large requests to cancellable jobs. Grand totals are recalculated from eligible source semantics rather than summed from displayed rounded or overlapping cells.</x:v>
      </x:c>
      <x:c r="H333" s="13" t="str">
        <x:v>Not run</x:v>
      </x:c>
      <x:c r="I333" s="13" t="str"/>
      <x:c r="J333" s="13" t="str">
        <x:v>Primary owning component C09. Execute relevant channels; record actual fixture IDs and observed evidence.</x:v>
      </x:c>
    </x:row>
    <x:row r="334" ht="77" customHeight="1">
      <x:c r="A334" s="11" t="str">
        <x:v>TC-ANA-005-02</x:v>
      </x:c>
      <x:c r="B334" s="11" t="str">
        <x:v>FR-ANA-005 / BR-ANA-005 / SC01–SC08</x:v>
      </x:c>
      <x:c r="C334" s="11" t="str">
        <x:v>P1 / R2</x:v>
      </x:c>
      <x:c r="D334" s="11" t="str">
        <x:v>Table analysis and pivots validation and recovery</x:v>
      </x:c>
      <x:c r="E334" s="11" t="str">
        <x:v>Start from the same eligible fixture and retain the submitted draft; record the last committed head and receipt. Introduce the boundary or failure stated below.</x:v>
      </x:c>
      <x:c r="F334" s="11" t="str">
        <x:v>1. Exercise each independent condition in the validation contract, as separate recorded variants: Suppressed cells and nonadditive dimensions retain their disclosure policy. An unsupported statistic blocks the pivot or requires a distinctly labelled alternative. 2. Inspect the safe error/state and authorised recovery actions. 3. Correct the condition and retry under current authority and expected revision. 4. Compare durable effects and audit history with the original baseline.</x:v>
      </x:c>
      <x:c r="G334" s="11" t="str">
        <x:v>Suppressed cells and nonadditive dimensions retain their disclosure policy. An unsupported statistic blocks the pivot or requires a distinctly labelled alternative. Ordinary failed saves have no partial effect. Explicit bulk partial modes account for committed and unprocessed items. A retry does not duplicate the intended business effect.</x:v>
      </x:c>
      <x:c r="H334" s="13" t="str">
        <x:v>Not run</x:v>
      </x:c>
      <x:c r="I334" s="13" t="str"/>
      <x:c r="J334" s="13" t="str">
        <x:v>Expand multi-condition variants in the run record. Required negative coverage, not a claim that one assertion covers every security attack.</x:v>
      </x:c>
    </x:row>
    <x:row r="335" ht="90" customHeight="1">
      <x:c r="A335" s="11" t="str">
        <x:v>TC-ANA-006-01</x:v>
      </x:c>
      <x:c r="B335" s="11" t="str">
        <x:v>FR-ANA-006 / BR-ANA-006</x:v>
      </x:c>
      <x:c r="C335" s="11" t="str">
        <x:v>P1 / R2</x:v>
      </x:c>
      <x:c r="D335" s="11" t="str">
        <x:v>Geographic analysis intended outcome</x:v>
      </x:c>
      <x:c r="E335" s="11" t="str">
        <x:v>Synthetic tenant A; tenant B hidden markers; eligible actor with explicit capability, scope, purpose and current assurance. Set up the source acceptance fixture: Publish a district view of vulnerable participants and inspect the permitted payload: no household coordinate is disclosed.</x:v>
      </x:c>
      <x:c r="F335" s="11" t="str">
        <x:v>1. Record current object revisions, policy and safe audit cursor. 2. Perform the specified interaction: Map configuration selects boundary version, authorised point or aggregate layer, period, legend and missingness treatment. External maps use approved geographic granularity. Every map offers an equivalent sortable table. 3. Inspect UI, canonical API read and audit/receipt for the resulting version. 4. Apply the acceptance example: Publish a district view of vulnerable participants and inspect the permitted payload: no household coordinate is disclosed.</x:v>
      </x:c>
      <x:c r="G335" s="11" t="str">
        <x:v>Publish a district view of vulnerable participants and inspect the permitted payload: no household coordinate is disclosed. Required behaviour is preserved: Map configuration selects boundary version, authorised point or aggregate layer, period, legend and missingness treatment. External maps use approved geographic granularity. Every map offers an equivalent sortable table.</x:v>
      </x:c>
      <x:c r="H335" s="13" t="str">
        <x:v>Not run</x:v>
      </x:c>
      <x:c r="I335" s="13" t="str"/>
      <x:c r="J335" s="13" t="str">
        <x:v>Primary owning component C09. Execute relevant channels; record actual fixture IDs and observed evidence.</x:v>
      </x:c>
    </x:row>
    <x:row r="336" ht="77" customHeight="1">
      <x:c r="A336" s="11" t="str">
        <x:v>TC-ANA-006-02</x:v>
      </x:c>
      <x:c r="B336" s="11" t="str">
        <x:v>FR-ANA-006 / BR-ANA-006 / SC01–SC08</x:v>
      </x:c>
      <x:c r="C336" s="11" t="str">
        <x:v>P1 / R2</x:v>
      </x:c>
      <x:c r="D336" s="11" t="str">
        <x:v>Geographic analysis validation and recovery</x:v>
      </x:c>
      <x:c r="E336" s="11" t="str">
        <x:v>Start from the same eligible fixture and retain the submitted draft; record the last committed head and receipt. Introduce the boundary or failure stated below.</x:v>
      </x:c>
      <x:c r="F336" s="11" t="str">
        <x:v>1. Exercise each independent condition in the validation contract, as separate recorded variants: Precise coordinates cannot hide in tooltips, downloads or map request payloads when only district aggregates are allowed. Boundary mismatch is visible. 2. Inspect the safe error/state and authorised recovery actions. 3. Correct the condition and retry under current authority and expected revision. 4. Compare durable effects and audit history with the original baseline.</x:v>
      </x:c>
      <x:c r="G336" s="11" t="str">
        <x:v>Precise coordinates cannot hide in tooltips, downloads or map request payloads when only district aggregates are allowed. Boundary mismatch is visible. Ordinary failed saves have no partial effect. Explicit bulk partial modes account for committed and unprocessed items. A retry does not duplicate the intended business effect.</x:v>
      </x:c>
      <x:c r="H336" s="13" t="str">
        <x:v>Not run</x:v>
      </x:c>
      <x:c r="I336" s="13" t="str"/>
      <x:c r="J336" s="13" t="str">
        <x:v>Expand multi-condition variants in the run record. Required negative coverage, not a claim that one assertion covers every security attack.</x:v>
      </x:c>
    </x:row>
    <x:row r="337" ht="103" customHeight="1">
      <x:c r="A337" s="11" t="str">
        <x:v>TC-ANA-007-01</x:v>
      </x:c>
      <x:c r="B337" s="11" t="str">
        <x:v>FR-ANA-007 / BR-ANA-007</x:v>
      </x:c>
      <x:c r="C337" s="11" t="str">
        <x:v>P1 / R1</x:v>
      </x:c>
      <x:c r="D337" s="11" t="str">
        <x:v>Portfolio comparison intended outcome</x:v>
      </x:c>
      <x:c r="E337" s="11" t="str">
        <x:v>Synthetic tenant A; tenant B hidden markers; eligible actor with explicit capability, scope, purpose and current assurance. Set up the source acceptance fixture: Compare two completion rates with different eligible populations; require reviewed comparability before presenting an unqualified league table.</x:v>
      </x:c>
      <x:c r="F337" s="11" t="str">
        <x:v>1. Record current object revisions, policy and safe audit cursor. 2. Perform the specified interaction: Portfolio comparison chooses compatible indicator definitions, periods and coverage thresholds. The view groups compatible measures and flags mismatches. Ranking is enabled only for an approved comparable set or carries a clear qualified comparison method. 3. Inspect UI, canonical API read and audit/receipt for the resulting version. 4. Apply the acceptance example: Compare two completion rates with different eligible populations; require reviewed comparability before presenting an unqualified league table.</x:v>
      </x:c>
      <x:c r="G337" s="11" t="str">
        <x:v>Compare two completion rates with different eligible populations; require reviewed comparability before presenting an unqualified league table. Required behaviour is preserved: Portfolio comparison chooses compatible indicator definitions, periods and coverage thresholds. The view groups compatible measures and flags mismatches. Ranking is enabled only for an approved comparable set or carries a clear qualified comparison method.</x:v>
      </x:c>
      <x:c r="H337" s="13" t="str">
        <x:v>Not run</x:v>
      </x:c>
      <x:c r="I337" s="13" t="str"/>
      <x:c r="J337" s="13" t="str">
        <x:v>Primary owning component C09. Execute relevant channels; record actual fixture IDs and observed evidence.</x:v>
      </x:c>
    </x:row>
    <x:row r="338" ht="77" customHeight="1">
      <x:c r="A338" s="11" t="str">
        <x:v>TC-ANA-007-02</x:v>
      </x:c>
      <x:c r="B338" s="11" t="str">
        <x:v>FR-ANA-007 / BR-ANA-007 / SC01–SC08</x:v>
      </x:c>
      <x:c r="C338" s="11" t="str">
        <x:v>P1 / R1</x:v>
      </x:c>
      <x:c r="D338" s="11" t="str">
        <x:v>Portfolio comparison validation and recovery</x:v>
      </x:c>
      <x:c r="E338" s="11" t="str">
        <x:v>Start from the same eligible fixture and retain the submitted draft; record the last committed head and receipt. Introduce the boundary or failure stated below.</x:v>
      </x:c>
      <x:c r="F338" s="11" t="str">
        <x:v>1. Exercise each independent condition in the validation contract, as separate recorded variants: No raw ranking that mixes different denominators, currencies or observation windows as if equivalent. Permission filtered results state the visible scope without exposing hidden members. 2. Inspect the safe error/state and authorised recovery actions. 3. Correct the condition and retry under current authority and expected revision. 4. Compare durable effects and audit history with the original baseline.</x:v>
      </x:c>
      <x:c r="G338" s="11" t="str">
        <x:v>No raw ranking that mixes different denominators, currencies or observation windows as if equivalent. Permission filtered results state the visible scope without exposing hidden members. Ordinary failed saves have no partial effect. Explicit bulk partial modes account for committed and unprocessed items. A retry does not duplicate the intended business effect.</x:v>
      </x:c>
      <x:c r="H338" s="13" t="str">
        <x:v>Not run</x:v>
      </x:c>
      <x:c r="I338" s="13" t="str"/>
      <x:c r="J338" s="13" t="str">
        <x:v>Expand multi-condition variants in the run record. Required negative coverage, not a claim that one assertion covers every security attack.</x:v>
      </x:c>
    </x:row>
    <x:row r="339" ht="90" customHeight="1">
      <x:c r="A339" s="11" t="str">
        <x:v>TC-ANA-008-01</x:v>
      </x:c>
      <x:c r="B339" s="11" t="str">
        <x:v>FR-ANA-008 / BR-ANA-008</x:v>
      </x:c>
      <x:c r="C339" s="11" t="str">
        <x:v>P0 / R1</x:v>
      </x:c>
      <x:c r="D339" s="11" t="str">
        <x:v>Dashboard governance intended outcome</x:v>
      </x:c>
      <x:c r="E339" s="11" t="str">
        <x:v>Synthetic tenant A; tenant B hidden markers; eligible actor with explicit capability, scope, purpose and current assurance. Set up the source acceptance fixture: Copy an internal dashboard to a funder workspace; restricted widgets remain unavailable until explicitly bound to approved disclosed metrics.</x:v>
      </x:c>
      <x:c r="F339" s="11" t="str">
        <x:v>1. Record current object revisions, policy and safe audit cursor. 2. Perform the specified interaction: Dashboard publication pins layout, bindings, audience and expiry. Owner changes require current authority. Copy creates a draft with no new data grants; sharing preview calculates the recipient's view and identifies unavailable bindings. 3. Inspect UI, canonical API read and audit/receipt for the resulting version. 4. Apply the acceptance example: Copy an internal dashboard to a funder workspace; restricted widgets remain unavailable until explicitly bound to approved disclosed metrics.</x:v>
      </x:c>
      <x:c r="G339" s="11" t="str">
        <x:v>Copy an internal dashboard to a funder workspace; restricted widgets remain unavailable until explicitly bound to approved disclosed metrics. Required behaviour is preserved: Dashboard publication pins layout, bindings, audience and expiry. Owner changes require current authority. Copy creates a draft with no new data grants; sharing preview calculates the recipient's view and identifies unavailable bindings.</x:v>
      </x:c>
      <x:c r="H339" s="13" t="str">
        <x:v>Not run</x:v>
      </x:c>
      <x:c r="I339" s="13" t="str"/>
      <x:c r="J339" s="13" t="str">
        <x:v>Primary owning component C09. Execute relevant channels; record actual fixture IDs and observed evidence.</x:v>
      </x:c>
    </x:row>
    <x:row r="340" ht="77" customHeight="1">
      <x:c r="A340" s="11" t="str">
        <x:v>TC-ANA-008-02</x:v>
      </x:c>
      <x:c r="B340" s="11" t="str">
        <x:v>FR-ANA-008 / BR-ANA-008 / SC01–SC08</x:v>
      </x:c>
      <x:c r="C340" s="11" t="str">
        <x:v>P0 / R1</x:v>
      </x:c>
      <x:c r="D340" s="11" t="str">
        <x:v>Dashboard governance validation and recovery</x:v>
      </x:c>
      <x:c r="E340" s="11" t="str">
        <x:v>Start from the same eligible fixture and retain the submitted draft; record the last committed head and receipt. Introduce the boundary or failure stated below.</x:v>
      </x:c>
      <x:c r="F340" s="11" t="str">
        <x:v>1. Exercise each independent condition in the validation contract, as separate recorded variants: Public dashboards reference disclosure-approved artifacts, not unrestricted live private queries. Changes to source sensitivity suspend affected publication until revalidated. 2. Inspect the safe error/state and authorised recovery actions. 3. Correct the condition and retry under current authority and expected revision. 4. Compare durable effects and audit history with the original baseline.</x:v>
      </x:c>
      <x:c r="G340" s="11" t="str">
        <x:v>Public dashboards reference disclosure-approved artifacts, not unrestricted live private queries. Changes to source sensitivity suspend affected publication until revalidated. Ordinary failed saves have no partial effect. Explicit bulk partial modes account for committed and unprocessed items. A retry does not duplicate the intended business effect.</x:v>
      </x:c>
      <x:c r="H340" s="13" t="str">
        <x:v>Not run</x:v>
      </x:c>
      <x:c r="I340" s="13" t="str"/>
      <x:c r="J340" s="13" t="str">
        <x:v>Expand multi-condition variants in the run record. Required negative coverage, not a claim that one assertion covers every security attack.</x:v>
      </x:c>
    </x:row>
    <x:row r="341" ht="90" customHeight="1">
      <x:c r="A341" s="11" t="str">
        <x:v>TC-ANA-009-01</x:v>
      </x:c>
      <x:c r="B341" s="11" t="str">
        <x:v>FR-ANA-009 / BR-ANA-009</x:v>
      </x:c>
      <x:c r="C341" s="11" t="str">
        <x:v>P1 / R2</x:v>
      </x:c>
      <x:c r="D341" s="11" t="str">
        <x:v>Alerts and thresholds intended outcome</x:v>
      </x:c>
      <x:c r="E341" s="11" t="str">
        <x:v>Synthetic tenant A; tenant B hidden markers; eligible actor with explicit capability, scope, purpose and current assurance. Set up the source acceptance fixture: A missed monthly submission generates a missingness alert, while an approved performance decline produces a separate threshold alert.</x:v>
      </x:c>
      <x:c r="F341" s="11" t="str">
        <x:v>1. Record current object revisions, policy and safe audit cursor. 2. Perform the specified interaction: An alert declares measure, condition, minimum coverage, freshness, evaluation cadence, recipients and cooldown. Evaluation distinguishes threshold breach, missing data and stale input. Triggered alerts record the exact evaluated result version. 3. Inspect UI, canonical API read and audit/receipt for the resulting version. 4. Apply the acceptance example: A missed monthly submission generates a missingness alert, while an approved performance decline produces a separate threshold alert.</x:v>
      </x:c>
      <x:c r="G341" s="11" t="str">
        <x:v>A missed monthly submission generates a missingness alert, while an approved performance decline produces a separate threshold alert. Required behaviour is preserved: An alert declares measure, condition, minimum coverage, freshness, evaluation cadence, recipients and cooldown. Evaluation distinguishes threshold breach, missing data and stale input. Triggered alerts record the exact evaluated result version.</x:v>
      </x:c>
      <x:c r="H341" s="13" t="str">
        <x:v>Not run</x:v>
      </x:c>
      <x:c r="I341" s="13" t="str"/>
      <x:c r="J341" s="13" t="str">
        <x:v>Primary owning component C09. Execute relevant channels; record actual fixture IDs and observed evidence.</x:v>
      </x:c>
    </x:row>
    <x:row r="342" ht="77" customHeight="1">
      <x:c r="A342" s="11" t="str">
        <x:v>TC-ANA-009-02</x:v>
      </x:c>
      <x:c r="B342" s="11" t="str">
        <x:v>FR-ANA-009 / BR-ANA-009 / SC01–SC08</x:v>
      </x:c>
      <x:c r="C342" s="11" t="str">
        <x:v>P1 / R2</x:v>
      </x:c>
      <x:c r="D342" s="11" t="str">
        <x:v>Alerts and thresholds validation and recovery</x:v>
      </x:c>
      <x:c r="E342" s="11" t="str">
        <x:v>Start from the same eligible fixture and retain the submitted draft; record the last committed head and receipt. Introduce the boundary or failure stated below.</x:v>
      </x:c>
      <x:c r="F342" s="11" t="str">
        <x:v>1. Exercise each independent condition in the validation contract, as separate recorded variants: No deterioration alert from an absent value treated as zero. Repeated conditions during cooldown update one incident or digest according to policy. 2. Inspect the safe error/state and authorised recovery actions. 3. Correct the condition and retry under current authority and expected revision. 4. Compare durable effects and audit history with the original baseline.</x:v>
      </x:c>
      <x:c r="G342" s="11" t="str">
        <x:v>No deterioration alert from an absent value treated as zero. Repeated conditions during cooldown update one incident or digest according to policy. Ordinary failed saves have no partial effect. Explicit bulk partial modes account for committed and unprocessed items. A retry does not duplicate the intended business effect.</x:v>
      </x:c>
      <x:c r="H342" s="13" t="str">
        <x:v>Not run</x:v>
      </x:c>
      <x:c r="I342" s="13" t="str"/>
      <x:c r="J342" s="13" t="str">
        <x:v>Expand multi-condition variants in the run record. Required negative coverage, not a claim that one assertion covers every security attack.</x:v>
      </x:c>
    </x:row>
    <x:row r="343" ht="103" customHeight="1">
      <x:c r="A343" s="11" t="str">
        <x:v>TC-ANA-010-01</x:v>
      </x:c>
      <x:c r="B343" s="11" t="str">
        <x:v>FR-ANA-010 / BR-ANA-010</x:v>
      </x:c>
      <x:c r="C343" s="11" t="str">
        <x:v>P1 / R2</x:v>
      </x:c>
      <x:c r="D343" s="11" t="str">
        <x:v>External analytics access intended outcome</x:v>
      </x:c>
      <x:c r="E343" s="11" t="str">
        <x:v>Synthetic tenant A; tenant B hidden markers; eligible actor with explicit capability, scope, purpose and current assurance. Set up the source acceptance fixture: Revoke the BI service identity and verify subsequent refresh fails while the register identifies the last successful external extract.</x:v>
      </x:c>
      <x:c r="F343" s="11" t="str">
        <x:v>1. Record current object revisions, policy and safe audit cursor. 2. Perform the specified interaction: A BI connection selects governed datasets and field scope, issues a service identity and records external destination and reuse terms. Refresh requires current credential and object authority. The data package includes definitions, units, value states and freshness. 3. Inspect UI, canonical API read and audit/receipt for the resulting version. 4. Apply the acceptance example: Revoke the BI service identity and verify subsequent refresh fails while the register identifies the last successful external extract.</x:v>
      </x:c>
      <x:c r="G343" s="11" t="str">
        <x:v>Revoke the BI service identity and verify subsequent refresh fails while the register identifies the last successful external extract. Required behaviour is preserved: A BI connection selects governed datasets and field scope, issues a service identity and records external destination and reuse terms. Refresh requires current credential and object authority. The data package includes definitions, units, value states and freshness.</x:v>
      </x:c>
      <x:c r="H343" s="13" t="str">
        <x:v>Not run</x:v>
      </x:c>
      <x:c r="I343" s="13" t="str"/>
      <x:c r="J343" s="13" t="str">
        <x:v>Primary owning component C09. Execute relevant channels; record actual fixture IDs and observed evidence.</x:v>
      </x:c>
    </x:row>
    <x:row r="344" ht="77" customHeight="1">
      <x:c r="A344" s="11" t="str">
        <x:v>TC-ANA-010-02</x:v>
      </x:c>
      <x:c r="B344" s="11" t="str">
        <x:v>FR-ANA-010 / BR-ANA-010 / SC01–SC08</x:v>
      </x:c>
      <x:c r="C344" s="11" t="str">
        <x:v>P1 / R2</x:v>
      </x:c>
      <x:c r="D344" s="11" t="str">
        <x:v>External analytics access validation and recovery</x:v>
      </x:c>
      <x:c r="E344" s="11" t="str">
        <x:v>Start from the same eligible fixture and retain the submitted draft; record the last committed head and receipt. Introduce the boundary or failure stated below.</x:v>
      </x:c>
      <x:c r="F344" s="11" t="str">
        <x:v>1. Exercise each independent condition in the validation contract, as separate recorded variants: Revocation stops new retrieval; external copies are tracked as disclosures and cannot be represented as remotely erased. No unrestricted database connection is implied. 2. Inspect the safe error/state and authorised recovery actions. 3. Correct the condition and retry under current authority and expected revision. 4. Compare durable effects and audit history with the original baseline.</x:v>
      </x:c>
      <x:c r="G344" s="11" t="str">
        <x:v>Revocation stops new retrieval; external copies are tracked as disclosures and cannot be represented as remotely erased. No unrestricted database connection is implied. Ordinary failed saves have no partial effect. Explicit bulk partial modes account for committed and unprocessed items. A retry does not duplicate the intended business effect.</x:v>
      </x:c>
      <x:c r="H344" s="13" t="str">
        <x:v>Not run</x:v>
      </x:c>
      <x:c r="I344" s="13" t="str"/>
      <x:c r="J344" s="13" t="str">
        <x:v>Expand multi-condition variants in the run record. Required negative coverage, not a claim that one assertion covers every security attack.</x:v>
      </x:c>
    </x:row>
    <x:row r="345" ht="103" customHeight="1">
      <x:c r="A345" s="11" t="str">
        <x:v>TC-RPT-001-01</x:v>
      </x:c>
      <x:c r="B345" s="11" t="str">
        <x:v>FR-RPT-001 / BR-RPT-001</x:v>
      </x:c>
      <x:c r="C345" s="11" t="str">
        <x:v>P1 / R1</x:v>
      </x:c>
      <x:c r="D345" s="11" t="str">
        <x:v>Report template library intended outcome</x:v>
      </x:c>
      <x:c r="E345" s="11" t="str">
        <x:v>Synthetic tenant A; tenant B hidden markers; eligible actor with explicit capability, scope, purpose and current assurance. Set up the source acceptance fixture: Generate quarterly donor A and donor B reports from one snapshot and reconcile shared numeric fields to the same result IDs.</x:v>
      </x:c>
      <x:c r="F345" s="11" t="str">
        <x:v>1. Record current object revisions, policy and safe audit cursor. 2. Perform the specified interaction: A report template defines sections, required metric bindings, tables, charts, narrative limits, evidence slots, language and mandatory caveats. Preview validates a representative approved snapshot. Published template versions remain pinned by reports already created. 3. Inspect UI, canonical API read and audit/receipt for the resulting version. 4. Apply the acceptance example: Generate quarterly donor A and donor B reports from one snapshot and reconcile shared numeric fields to the same result IDs.</x:v>
      </x:c>
      <x:c r="G345" s="11" t="str">
        <x:v>Generate quarterly donor A and donor B reports from one snapshot and reconcile shared numeric fields to the same result IDs. Required behaviour is preserved: A report template defines sections, required metric bindings, tables, charts, narrative limits, evidence slots, language and mandatory caveats. Preview validates a representative approved snapshot. Published template versions remain pinned by reports already created.</x:v>
      </x:c>
      <x:c r="H345" s="13" t="str">
        <x:v>Not run</x:v>
      </x:c>
      <x:c r="I345" s="13" t="str"/>
      <x:c r="J345" s="13" t="str">
        <x:v>Primary owning component C09. Execute relevant channels; record actual fixture IDs and observed evidence.</x:v>
      </x:c>
    </x:row>
    <x:row r="346" ht="77" customHeight="1">
      <x:c r="A346" s="11" t="str">
        <x:v>TC-RPT-001-02</x:v>
      </x:c>
      <x:c r="B346" s="11" t="str">
        <x:v>FR-RPT-001 / BR-RPT-001 / SC01–SC08</x:v>
      </x:c>
      <x:c r="C346" s="11" t="str">
        <x:v>P1 / R1</x:v>
      </x:c>
      <x:c r="D346" s="11" t="str">
        <x:v>Report template library validation and recovery</x:v>
      </x:c>
      <x:c r="E346" s="11" t="str">
        <x:v>Start from the same eligible fixture and retain the submitted draft; record the last committed head and receipt. Introduce the boundary or failure stated below.</x:v>
      </x:c>
      <x:c r="F346" s="11" t="str">
        <x:v>1. Exercise each independent condition in the validation contract, as separate recorded variants: Missing metric bindings remain explicit gaps; no zero placeholder. A donor template change creates a version and cannot silently restyle or change a published report. 2. Inspect the safe error/state and authorised recovery actions. 3. Correct the condition and retry under current authority and expected revision. 4. Compare durable effects and audit history with the original baseline.</x:v>
      </x:c>
      <x:c r="G346" s="11" t="str">
        <x:v>Missing metric bindings remain explicit gaps; no zero placeholder. A donor template change creates a version and cannot silently restyle or change a published report. Ordinary failed saves have no partial effect. Explicit bulk partial modes account for committed and unprocessed items. A retry does not duplicate the intended business effect.</x:v>
      </x:c>
      <x:c r="H346" s="13" t="str">
        <x:v>Not run</x:v>
      </x:c>
      <x:c r="I346" s="13" t="str"/>
      <x:c r="J346" s="13" t="str">
        <x:v>Expand multi-condition variants in the run record. Required negative coverage, not a claim that one assertion covers every security attack.</x:v>
      </x:c>
    </x:row>
    <x:row r="347" ht="90" customHeight="1">
      <x:c r="A347" s="11" t="str">
        <x:v>TC-RPT-002-01</x:v>
      </x:c>
      <x:c r="B347" s="11" t="str">
        <x:v>FR-RPT-002 / BR-RPT-002</x:v>
      </x:c>
      <x:c r="C347" s="11" t="str">
        <x:v>P0 / R1</x:v>
      </x:c>
      <x:c r="D347" s="11" t="str">
        <x:v>Reporting obligations intended outcome</x:v>
      </x:c>
      <x:c r="E347" s="11" t="str">
        <x:v>Synthetic tenant A; tenant B hidden markers; eligible actor with explicit capability, scope, purpose and current assurance. Set up the source acceptance fixture: Create quarterly and annual obligations for one project; completion of Q4 does not close the annual obligation automatically.</x:v>
      </x:c>
      <x:c r="F347" s="11" t="str">
        <x:v>1. Record current object revisions, policy and safe audit cursor. 2. Perform the specified interaction: An obligation defines recipient class, period rule, due instant, owner, required indicators, template and review route. Calendar instances show missing dependencies and approval status. Amendments preserve prior due date and contractual reference. 3. Inspect UI, canonical API read and audit/receipt for the resulting version. 4. Apply the acceptance example: Create quarterly and annual obligations for one project; completion of Q4 does not close the annual obligation automatically.</x:v>
      </x:c>
      <x:c r="G347" s="11" t="str">
        <x:v>Create quarterly and annual obligations for one project; completion of Q4 does not close the annual obligation automatically. Required behaviour is preserved: An obligation defines recipient class, period rule, due instant, owner, required indicators, template and review route. Calendar instances show missing dependencies and approval status. Amendments preserve prior due date and contractual reference.</x:v>
      </x:c>
      <x:c r="H347" s="13" t="str">
        <x:v>Not run</x:v>
      </x:c>
      <x:c r="I347" s="13" t="str"/>
      <x:c r="J347" s="13" t="str">
        <x:v>Primary owning component C09. Execute relevant channels; record actual fixture IDs and observed evidence.</x:v>
      </x:c>
    </x:row>
    <x:row r="348" ht="77" customHeight="1">
      <x:c r="A348" s="11" t="str">
        <x:v>TC-RPT-002-02</x:v>
      </x:c>
      <x:c r="B348" s="11" t="str">
        <x:v>FR-RPT-002 / BR-RPT-002 / SC01–SC08</x:v>
      </x:c>
      <x:c r="C348" s="11" t="str">
        <x:v>P0 / R1</x:v>
      </x:c>
      <x:c r="D348" s="11" t="str">
        <x:v>Reporting obligations validation and recovery</x:v>
      </x:c>
      <x:c r="E348" s="11" t="str">
        <x:v>Start from the same eligible fixture and retain the submitted draft; record the last committed head and receipt. Introduce the boundary or failure stated below.</x:v>
      </x:c>
      <x:c r="F348" s="11" t="str">
        <x:v>1. Exercise each independent condition in the validation contract, as separate recorded variants: Multiple donor calendars may coexist, but a report cannot be marked complete merely because another donor's report was sent. Owner departure triggers reassignment. 2. Inspect the safe error/state and authorised recovery actions. 3. Correct the condition and retry under current authority and expected revision. 4. Compare durable effects and audit history with the original baseline.</x:v>
      </x:c>
      <x:c r="G348" s="11" t="str">
        <x:v>Multiple donor calendars may coexist, but a report cannot be marked complete merely because another donor's report was sent. Owner departure triggers reassignment. Ordinary failed saves have no partial effect. Explicit bulk partial modes account for committed and unprocessed items. A retry does not duplicate the intended business effect.</x:v>
      </x:c>
      <x:c r="H348" s="13" t="str">
        <x:v>Not run</x:v>
      </x:c>
      <x:c r="I348" s="13" t="str"/>
      <x:c r="J348" s="13" t="str">
        <x:v>Expand multi-condition variants in the run record. Required negative coverage, not a claim that one assertion covers every security attack.</x:v>
      </x:c>
    </x:row>
    <x:row r="349" ht="103" customHeight="1">
      <x:c r="A349" s="11" t="str">
        <x:v>TC-RPT-003-01</x:v>
      </x:c>
      <x:c r="B349" s="11" t="str">
        <x:v>FR-RPT-003 / BR-RPT-003</x:v>
      </x:c>
      <x:c r="C349" s="11" t="str">
        <x:v>P0 / R1</x:v>
      </x:c>
      <x:c r="D349" s="11" t="str">
        <x:v>Frozen reporting packages intended outcome</x:v>
      </x:c>
      <x:c r="E349" s="11" t="str">
        <x:v>Synthetic tenant A; tenant B hidden markers; eligible actor with explicit capability, scope, purpose and current assurance. Set up the source acceptance fixture: Correct live source data and regenerate the old quarter; its authorised numeric content stays unchanged and the later correction is a separate report version.</x:v>
      </x:c>
      <x:c r="F349" s="11" t="str">
        <x:v>1. Record current object revisions, policy and safe audit cursor. 2. Perform the specified interaction: Report creation selects a locked snapshot containing definitions, targets, results, evidence and relevant configuration. Numeric fields bind to immutable result references. Regeneration uses the same versions and records rendering version separately from content version. 3. Inspect UI, canonical API read and audit/receipt for the resulting version. 4. Apply the acceptance example: Correct live source data and regenerate the old quarter; its authorised numeric content stays unchanged and the later correction is a separate report version.</x:v>
      </x:c>
      <x:c r="G349" s="11" t="str">
        <x:v>Correct live source data and regenerate the old quarter; its authorised numeric content stays unchanged and the later correction is a separate report version. Required behaviour is preserved: Report creation selects a locked snapshot containing definitions, targets, results, evidence and relevant configuration. Numeric fields bind to immutable result references. Regeneration uses the same versions and records rendering version separately from content version.</x:v>
      </x:c>
      <x:c r="H349" s="13" t="str">
        <x:v>Not run</x:v>
      </x:c>
      <x:c r="I349" s="13" t="str"/>
      <x:c r="J349" s="13" t="str">
        <x:v>Primary owning component C09. Execute relevant channels; record actual fixture IDs and observed evidence.</x:v>
      </x:c>
    </x:row>
    <x:row r="350" ht="90" customHeight="1">
      <x:c r="A350" s="11" t="str">
        <x:v>TC-RPT-003-02</x:v>
      </x:c>
      <x:c r="B350" s="11" t="str">
        <x:v>FR-RPT-003 / BR-RPT-003 / SC01–SC08</x:v>
      </x:c>
      <x:c r="C350" s="11" t="str">
        <x:v>P0 / R1</x:v>
      </x:c>
      <x:c r="D350" s="11" t="str">
        <x:v>Frozen reporting packages validation and recovery</x:v>
      </x:c>
      <x:c r="E350" s="11" t="str">
        <x:v>Start from the same eligible fixture and retain the submitted draft; record the last committed head and receipt. Introduce the boundary or failure stated below.</x:v>
      </x:c>
      <x:c r="F350" s="11" t="str">
        <x:v>1. Exercise each independent condition in the validation contract, as separate recorded variants: If lawful deletion makes evidence unavailable, disclose withheld evidence or withdraw the artifact as required; do not reconstruct deleted content to preserve visual identity. Numeric history remains only where lawful. 2. Inspect the safe error/state and authorised recovery actions. 3. Correct the condition and retry under current authority and expected revision. 4. Compare durable effects and audit history with the original baseline.</x:v>
      </x:c>
      <x:c r="G350" s="11" t="str">
        <x:v>If lawful deletion makes evidence unavailable, disclose withheld evidence or withdraw the artifact as required; do not reconstruct deleted content to preserve visual identity. Numeric history remains only where lawful. Ordinary failed saves have no partial effect. Explicit bulk partial modes account for committed and unprocessed items. A retry does not duplicate the intended business effect.</x:v>
      </x:c>
      <x:c r="H350" s="13" t="str">
        <x:v>Not run</x:v>
      </x:c>
      <x:c r="I350" s="13" t="str"/>
      <x:c r="J350" s="13" t="str">
        <x:v>Expand multi-condition variants in the run record. Required negative coverage, not a claim that one assertion covers every security attack.</x:v>
      </x:c>
    </x:row>
    <x:row r="351" ht="103" customHeight="1">
      <x:c r="A351" s="11" t="str">
        <x:v>TC-RPT-004-01</x:v>
      </x:c>
      <x:c r="B351" s="11" t="str">
        <x:v>FR-RPT-004 / BR-RPT-004</x:v>
      </x:c>
      <x:c r="C351" s="11" t="str">
        <x:v>P1 / R1</x:v>
      </x:c>
      <x:c r="D351" s="11" t="str">
        <x:v>Narrative authoring and review intended outcome</x:v>
      </x:c>
      <x:c r="E351" s="11" t="str">
        <x:v>Synthetic tenant A; tenant B hidden markers; eligible actor with explicit capability, scope, purpose and current assurance. Set up the source acceptance fixture: Change a narrative from 180 to 200 participants while its metric remains 180; reconciliation blocks approval until the discrepancy is resolved.</x:v>
      </x:c>
      <x:c r="F351" s="11" t="str">
        <x:v>1. Record current object revisions, policy and safe audit cursor. 2. Perform the specified interaction: Narrative sections support drafts, comments and revision comparison. AI proposed text is labelled until reviewed. Material factual claims link to permitted evidence or metric references. The author accepts, edits or rejects suggestions before submission. 3. Inspect UI, canonical API read and audit/receipt for the resulting version. 4. Apply the acceptance example: Change a narrative from 180 to 200 participants while its metric remains 180; reconciliation blocks approval until the discrepancy is resolved.</x:v>
      </x:c>
      <x:c r="G351" s="11" t="str">
        <x:v>Change a narrative from 180 to 200 participants while its metric remains 180; reconciliation blocks approval until the discrepancy is resolved. Required behaviour is preserved: Narrative sections support drafts, comments and revision comparison. AI proposed text is labelled until reviewed. Material factual claims link to permitted evidence or metric references. The author accepts, edits or rejects suggestions before submission.</x:v>
      </x:c>
      <x:c r="H351" s="13" t="str">
        <x:v>Not run</x:v>
      </x:c>
      <x:c r="I351" s="13" t="str"/>
      <x:c r="J351" s="13" t="str">
        <x:v>Primary owning component C09. Execute relevant channels; record actual fixture IDs and observed evidence.</x:v>
      </x:c>
    </x:row>
    <x:row r="352" ht="90" customHeight="1">
      <x:c r="A352" s="11" t="str">
        <x:v>TC-RPT-004-02</x:v>
      </x:c>
      <x:c r="B352" s="11" t="str">
        <x:v>FR-RPT-004 / BR-RPT-004 / SC01–SC08</x:v>
      </x:c>
      <x:c r="C352" s="11" t="str">
        <x:v>P1 / R1</x:v>
      </x:c>
      <x:c r="D352" s="11" t="str">
        <x:v>Narrative authoring and review validation and recovery</x:v>
      </x:c>
      <x:c r="E352" s="11" t="str">
        <x:v>Start from the same eligible fixture and retain the submitted draft; record the last committed head and receipt. Introduce the boundary or failure stated below.</x:v>
      </x:c>
      <x:c r="F352" s="11" t="str">
        <x:v>1. Exercise each independent condition in the validation contract, as separate recorded variants: Free text numbers that conflict with bound official values are flagged for resolution. Required caveats cannot be deleted through formatting. Editing an approved narrative creates a new candidate. 2. Inspect the safe error/state and authorised recovery actions. 3. Correct the condition and retry under current authority and expected revision. 4. Compare durable effects and audit history with the original baseline.</x:v>
      </x:c>
      <x:c r="G352" s="11" t="str">
        <x:v>Free text numbers that conflict with bound official values are flagged for resolution. Required caveats cannot be deleted through formatting. Editing an approved narrative creates a new candidate. Ordinary failed saves have no partial effect. Explicit bulk partial modes account for committed and unprocessed items. A retry does not duplicate the intended business effect.</x:v>
      </x:c>
      <x:c r="H352" s="13" t="str">
        <x:v>Not run</x:v>
      </x:c>
      <x:c r="I352" s="13" t="str"/>
      <x:c r="J352" s="13" t="str">
        <x:v>Expand multi-condition variants in the run record. Required negative coverage, not a claim that one assertion covers every security attack.</x:v>
      </x:c>
    </x:row>
    <x:row r="353" ht="90" customHeight="1">
      <x:c r="A353" s="11" t="str">
        <x:v>TC-RPT-005-01</x:v>
      </x:c>
      <x:c r="B353" s="11" t="str">
        <x:v>FR-RPT-005 / BR-RPT-005</x:v>
      </x:c>
      <x:c r="C353" s="11" t="str">
        <x:v>P1 / R1</x:v>
      </x:c>
      <x:c r="D353" s="11" t="str">
        <x:v>Accessible export formats intended outcome</x:v>
      </x:c>
      <x:c r="E353" s="11" t="str">
        <x:v>Synthetic tenant A; tenant B hidden markers; eligible actor with explicit capability, scope, purpose and current assurance. Set up the source acceptance fixture: Export a 50-page report with twenty charts and confirm no clipped values or missing caveats and exact agreement with the snapshot.</x:v>
      </x:c>
      <x:c r="F353" s="11" t="str">
        <x:v>1. Record current object revisions, policy and safe audit cursor. 2. Perform the specified interaction: Export chooses DOCX or PDF for reports and XLSX or CSV for tables. The job validates snapshot, fonts, page breaks, headings, tables, figures, units, caveats and filter context. The artifact receipt identifies report version, format and access expiry. 3. Inspect UI, canonical API read and audit/receipt for the resulting version. 4. Apply the acceptance example: Export a 50-page report with twenty charts and confirm no clipped values or missing caveats and exact agreement with the snapshot.</x:v>
      </x:c>
      <x:c r="G353" s="11" t="str">
        <x:v>Export a 50-page report with twenty charts and confirm no clipped values or missing caveats and exact agreement with the snapshot. Required behaviour is preserved: Export chooses DOCX or PDF for reports and XLSX or CSV for tables. The job validates snapshot, fonts, page breaks, headings, tables, figures, units, caveats and filter context. The artifact receipt identifies report version, format and access expiry.</x:v>
      </x:c>
      <x:c r="H353" s="13" t="str">
        <x:v>Not run</x:v>
      </x:c>
      <x:c r="I353" s="13" t="str"/>
      <x:c r="J353" s="13" t="str">
        <x:v>Primary owning component C09. Execute relevant channels; record actual fixture IDs and observed evidence.</x:v>
      </x:c>
    </x:row>
    <x:row r="354" ht="90" customHeight="1">
      <x:c r="A354" s="11" t="str">
        <x:v>TC-RPT-005-02</x:v>
      </x:c>
      <x:c r="B354" s="11" t="str">
        <x:v>FR-RPT-005 / BR-RPT-005 / SC01–SC08</x:v>
      </x:c>
      <x:c r="C354" s="11" t="str">
        <x:v>P1 / R1</x:v>
      </x:c>
      <x:c r="D354" s="11" t="str">
        <x:v>Accessible export formats validation and recovery</x:v>
      </x:c>
      <x:c r="E354" s="11" t="str">
        <x:v>Start from the same eligible fixture and retain the submitted draft; record the last committed head and receipt. Introduce the boundary or failure stated below.</x:v>
      </x:c>
      <x:c r="F354" s="11" t="str">
        <x:v>1. Exercise each independent condition in the validation contract, as separate recorded variants: A rendering failure never marks publication successful. Accessible standard templates preserve headings and table structure; user supplied inaccessible content is flagged and cannot be claimed conformant without remediation. 2. Inspect the safe error/state and authorised recovery actions. 3. Correct the condition and retry under current authority and expected revision. 4. Compare durable effects and audit history with the original baseline.</x:v>
      </x:c>
      <x:c r="G354" s="11" t="str">
        <x:v>A rendering failure never marks publication successful. Accessible standard templates preserve headings and table structure; user supplied inaccessible content is flagged and cannot be claimed conformant without remediation. Ordinary failed saves have no partial effect. Explicit bulk partial modes account for committed and unprocessed items. A retry does not duplicate the intended business effect.</x:v>
      </x:c>
      <x:c r="H354" s="13" t="str">
        <x:v>Not run</x:v>
      </x:c>
      <x:c r="I354" s="13" t="str"/>
      <x:c r="J354" s="13" t="str">
        <x:v>Expand multi-condition variants in the run record. Required negative coverage, not a claim that one assertion covers every security attack.</x:v>
      </x:c>
    </x:row>
    <x:row r="355" ht="103" customHeight="1">
      <x:c r="A355" s="11" t="str">
        <x:v>TC-RPT-006-01</x:v>
      </x:c>
      <x:c r="B355" s="11" t="str">
        <x:v>FR-RPT-006 / BR-RPT-006</x:v>
      </x:c>
      <x:c r="C355" s="11" t="str">
        <x:v>P1 / R2</x:v>
      </x:c>
      <x:c r="D355" s="11" t="str">
        <x:v>Presentation and donor format output intended outcome</x:v>
      </x:c>
      <x:c r="E355" s="11" t="str">
        <x:v>Synthetic tenant A; tenant B hidden markers; eligible actor with explicit capability, scope, purpose and current assurance. Set up the source acceptance fixture: Produce a presentation and structured donor submission from the same snapshot; shared result values and periods agree despite different layouts.</x:v>
      </x:c>
      <x:c r="F355" s="11" t="str">
        <x:v>1. Record current object revisions, policy and safe audit cursor. 2. Perform the specified interaction: Slide and donor format output uses a versioned mapping from the approved snapshot to specified fields and narrative sections. Preview lists omitted optional content and unsupported mandatory fields. Approval binds the mapping version and intended audience. 3. Inspect UI, canonical API read and audit/receipt for the resulting version. 4. Apply the acceptance example: Produce a presentation and structured donor submission from the same snapshot; shared result values and periods agree despite different layouts.</x:v>
      </x:c>
      <x:c r="G355" s="11" t="str">
        <x:v>Produce a presentation and structured donor submission from the same snapshot; shared result values and periods agree despite different layouts. Required behaviour is preserved: Slide and donor format output uses a versioned mapping from the approved snapshot to specified fields and narrative sections. Preview lists omitted optional content and unsupported mandatory fields. Approval binds the mapping version and intended audience.</x:v>
      </x:c>
      <x:c r="H355" s="13" t="str">
        <x:v>Not run</x:v>
      </x:c>
      <x:c r="I355" s="13" t="str"/>
      <x:c r="J355" s="13" t="str">
        <x:v>Primary owning component C09. Execute relevant channels; record actual fixture IDs and observed evidence.</x:v>
      </x:c>
    </x:row>
    <x:row r="356" ht="90" customHeight="1">
      <x:c r="A356" s="11" t="str">
        <x:v>TC-RPT-006-02</x:v>
      </x:c>
      <x:c r="B356" s="11" t="str">
        <x:v>FR-RPT-006 / BR-RPT-006 / SC01–SC08</x:v>
      </x:c>
      <x:c r="C356" s="11" t="str">
        <x:v>P1 / R2</x:v>
      </x:c>
      <x:c r="D356" s="11" t="str">
        <x:v>Presentation and donor format output validation and recovery</x:v>
      </x:c>
      <x:c r="E356" s="11" t="str">
        <x:v>Start from the same eligible fixture and retain the submitted draft; record the last committed head and receipt. Introduce the boundary or failure stated below.</x:v>
      </x:c>
      <x:c r="F356" s="11" t="str">
        <x:v>1. Exercise each independent condition in the validation contract, as separate recorded variants: Do not retype authoritative numbers into editable placeholders without maintained bindings. Donor schemas with missing required data fail validation instead of receiving fabricated defaults. 2. Inspect the safe error/state and authorised recovery actions. 3. Correct the condition and retry under current authority and expected revision. 4. Compare durable effects and audit history with the original baseline.</x:v>
      </x:c>
      <x:c r="G356" s="11" t="str">
        <x:v>Do not retype authoritative numbers into editable placeholders without maintained bindings. Donor schemas with missing required data fail validation instead of receiving fabricated defaults. Ordinary failed saves have no partial effect. Explicit bulk partial modes account for committed and unprocessed items. A retry does not duplicate the intended business effect.</x:v>
      </x:c>
      <x:c r="H356" s="13" t="str">
        <x:v>Not run</x:v>
      </x:c>
      <x:c r="I356" s="13" t="str"/>
      <x:c r="J356" s="13" t="str">
        <x:v>Expand multi-condition variants in the run record. Required negative coverage, not a claim that one assertion covers every security attack.</x:v>
      </x:c>
    </x:row>
    <x:row r="357" ht="103" customHeight="1">
      <x:c r="A357" s="11" t="str">
        <x:v>TC-RPT-007-01</x:v>
      </x:c>
      <x:c r="B357" s="11" t="str">
        <x:v>FR-RPT-007 / BR-RPT-007</x:v>
      </x:c>
      <x:c r="C357" s="11" t="str">
        <x:v>P0 / R1</x:v>
      </x:c>
      <x:c r="D357" s="11" t="str">
        <x:v>Publication control intended outcome</x:v>
      </x:c>
      <x:c r="E357" s="11" t="str">
        <x:v>Synthetic tenant A; tenant B hidden markers; eligible actor with explicit capability, scope, purpose and current assurance. Set up the source acceptance fixture: Guess the URL of a draft report, then publish its approved version to a funder; only the eligible funder can access the published artifact.</x:v>
      </x:c>
      <x:c r="F357" s="11" t="str">
        <x:v>1. Record current object revisions, policy and safe audit cursor. 2. Perform the specified interaction: Publication preview shows the exact artifact version, audience, disclosure checks and expiry. An authorised publisher with current assurance confirms after report approval and required privacy review. Publication creates a disclosure record and stable versioned reference. 3. Inspect UI, canonical API read and audit/receipt for the resulting version. 4. Apply the acceptance example: Guess the URL of a draft report, then publish its approved version to a funder; only the eligible funder can access the published artifact.</x:v>
      </x:c>
      <x:c r="G357" s="11" t="str">
        <x:v>Guess the URL of a draft report, then publish its approved version to a funder; only the eligible funder can access the published artifact. Required behaviour is preserved: Publication preview shows the exact artifact version, audience, disclosure checks and expiry. An authorised publisher with current assurance confirms after report approval and required privacy review. Publication creates a disclosure record and stable versioned reference.</x:v>
      </x:c>
      <x:c r="H357" s="13" t="str">
        <x:v>Not run</x:v>
      </x:c>
      <x:c r="I357" s="13" t="str"/>
      <x:c r="J357" s="13" t="str">
        <x:v>Primary owning component C09. Execute relevant channels; record actual fixture IDs and observed evidence.</x:v>
      </x:c>
    </x:row>
    <x:row r="358" ht="77" customHeight="1">
      <x:c r="A358" s="11" t="str">
        <x:v>TC-RPT-007-02</x:v>
      </x:c>
      <x:c r="B358" s="11" t="str">
        <x:v>FR-RPT-007 / BR-RPT-007 / SC01–SC08</x:v>
      </x:c>
      <x:c r="C358" s="11" t="str">
        <x:v>P0 / R1</x:v>
      </x:c>
      <x:c r="D358" s="11" t="str">
        <x:v>Publication control validation and recovery</x:v>
      </x:c>
      <x:c r="E358" s="11" t="str">
        <x:v>Start from the same eligible fixture and retain the submitted draft; record the last committed head and receipt. Introduce the boundary or failure stated below.</x:v>
      </x:c>
      <x:c r="F358" s="11" t="str">
        <x:v>1. Exercise each independent condition in the validation contract, as separate recorded variants: Draft routes, predictable filenames and search indexing cannot expose unpublished content. A broader audience requires a new disclosure decision, not a simple link toggle. 2. Inspect the safe error/state and authorised recovery actions. 3. Correct the condition and retry under current authority and expected revision. 4. Compare durable effects and audit history with the original baseline.</x:v>
      </x:c>
      <x:c r="G358" s="11" t="str">
        <x:v>Draft routes, predictable filenames and search indexing cannot expose unpublished content. A broader audience requires a new disclosure decision, not a simple link toggle. Ordinary failed saves have no partial effect. Explicit bulk partial modes account for committed and unprocessed items. A retry does not duplicate the intended business effect.</x:v>
      </x:c>
      <x:c r="H358" s="13" t="str">
        <x:v>Not run</x:v>
      </x:c>
      <x:c r="I358" s="13" t="str"/>
      <x:c r="J358" s="13" t="str">
        <x:v>Expand multi-condition variants in the run record. Required negative coverage, not a claim that one assertion covers every security attack.</x:v>
      </x:c>
    </x:row>
    <x:row r="359" ht="103" customHeight="1">
      <x:c r="A359" s="11" t="str">
        <x:v>TC-RPT-008-01</x:v>
      </x:c>
      <x:c r="B359" s="11" t="str">
        <x:v>FR-RPT-008 / BR-RPT-008</x:v>
      </x:c>
      <x:c r="C359" s="11" t="str">
        <x:v>P0 / R1</x:v>
      </x:c>
      <x:c r="D359" s="11" t="str">
        <x:v>Distribution and scheduled delivery intended outcome</x:v>
      </x:c>
      <x:c r="E359" s="11" t="str">
        <x:v>Synthetic tenant A; tenant B hidden markers; eligible actor with explicit capability, scope, purpose and current assurance. Set up the source acceptance fixture: Remove one of three recipients after scheduling; two eligible notices send and the removed recipient receives no protected artifact.</x:v>
      </x:c>
      <x:c r="F359" s="11" t="str">
        <x:v>1. Record current object revisions, policy and safe audit cursor. 2. Perform the specified interaction: A delivery schedule specifies artifact version or explicit latest-approved policy, recipients, cadence and owner. At send time recheck recipient membership, purpose, artifact approval and disclosure. Sensitive deliveries send authenticated access notices rather than unprotected attachments. 3. Inspect UI, canonical API read and audit/receipt for the resulting version. 4. Apply the acceptance example: Remove one of three recipients after scheduling; two eligible notices send and the removed recipient receives no protected artifact.</x:v>
      </x:c>
      <x:c r="G359" s="11" t="str">
        <x:v>Remove one of three recipients after scheduling; two eligible notices send and the removed recipient receives no protected artifact. Required behaviour is preserved: A delivery schedule specifies artifact version or explicit latest-approved policy, recipients, cadence and owner. At send time recheck recipient membership, purpose, artifact approval and disclosure. Sensitive deliveries send authenticated access notices rather than unprotected attachments.</x:v>
      </x:c>
      <x:c r="H359" s="13" t="str">
        <x:v>Not run</x:v>
      </x:c>
      <x:c r="I359" s="13" t="str"/>
      <x:c r="J359" s="13" t="str">
        <x:v>Primary owning component C09. Execute relevant channels; record actual fixture IDs and observed evidence.</x:v>
      </x:c>
    </x:row>
    <x:row r="360" ht="90" customHeight="1">
      <x:c r="A360" s="11" t="str">
        <x:v>TC-RPT-008-02</x:v>
      </x:c>
      <x:c r="B360" s="11" t="str">
        <x:v>FR-RPT-008 / BR-RPT-008 / SC01–SC08</x:v>
      </x:c>
      <x:c r="C360" s="11" t="str">
        <x:v>P0 / R1</x:v>
      </x:c>
      <x:c r="D360" s="11" t="str">
        <x:v>Distribution and scheduled delivery validation and recovery</x:v>
      </x:c>
      <x:c r="E360" s="11" t="str">
        <x:v>Start from the same eligible fixture and retain the submitted draft; record the last committed head and receipt. Introduce the boundary or failure stated below.</x:v>
      </x:c>
      <x:c r="F360" s="11" t="str">
        <x:v>1. Exercise each independent condition in the validation contract, as separate recorded variants: An unresolved provider timeout is tracked as unknown until reconciled; retries use delivery identity. Revoked recipients are skipped with a permitted reason, never silently retained from a cached list. 2. Inspect the safe error/state and authorised recovery actions. 3. Correct the condition and retry under current authority and expected revision. 4. Compare durable effects and audit history with the original baseline.</x:v>
      </x:c>
      <x:c r="G360" s="11" t="str">
        <x:v>An unresolved provider timeout is tracked as unknown until reconciled; retries use delivery identity. Revoked recipients are skipped with a permitted reason, never silently retained from a cached list. Ordinary failed saves have no partial effect. Explicit bulk partial modes account for committed and unprocessed items. A retry does not duplicate the intended business effect.</x:v>
      </x:c>
      <x:c r="H360" s="13" t="str">
        <x:v>Not run</x:v>
      </x:c>
      <x:c r="I360" s="13" t="str"/>
      <x:c r="J360" s="13" t="str">
        <x:v>Expand multi-condition variants in the run record. Required negative coverage, not a claim that one assertion covers every security attack.</x:v>
      </x:c>
    </x:row>
    <x:row r="361" ht="103" customHeight="1">
      <x:c r="A361" s="11" t="str">
        <x:v>TC-RPT-009-01</x:v>
      </x:c>
      <x:c r="B361" s="11" t="str">
        <x:v>FR-RPT-009 / BR-RPT-009</x:v>
      </x:c>
      <x:c r="C361" s="11" t="str">
        <x:v>P0 / R1</x:v>
      </x:c>
      <x:c r="D361" s="11" t="str">
        <x:v>Amend withdraw and supersede intended outcome</x:v>
      </x:c>
      <x:c r="E361" s="11" t="str">
        <x:v>Synthetic tenant A; tenant B hidden markers; eligible actor with explicit capability, scope, purpose and current assurance. Set up the source acceptance fixture: Supersede report v1 with v2 and verify old links expose only permitted supersession status while the distribution log identifies v1 recipients.</x:v>
      </x:c>
      <x:c r="F361" s="11" t="str">
        <x:v>1. Record current object revisions, policy and safe audit cursor. 2. Perform the specified interaction: Withdrawal requires reason, authority and impact review. The live publication becomes unavailable or displays an approved withdrawal notice without protected content. Supersession links to a separately approved replacement and records affected recipients. 3. Inspect UI, canonical API read and audit/receipt for the resulting version. 4. Apply the acceptance example: Supersede report v1 with v2 and verify old links expose only permitted supersession status while the distribution log identifies v1 recipients.</x:v>
      </x:c>
      <x:c r="G361" s="11" t="str">
        <x:v>Supersede report v1 with v2 and verify old links expose only permitted supersession status while the distribution log identifies v1 recipients. Required behaviour is preserved: Withdrawal requires reason, authority and impact review. The live publication becomes unavailable or displays an approved withdrawal notice without protected content. Supersession links to a separately approved replacement and records affected recipients.</x:v>
      </x:c>
      <x:c r="H361" s="13" t="str">
        <x:v>Not run</x:v>
      </x:c>
      <x:c r="I361" s="13" t="str"/>
      <x:c r="J361" s="13" t="str">
        <x:v>Primary owning component C09. Execute relevant channels; record actual fixture IDs and observed evidence.</x:v>
      </x:c>
    </x:row>
    <x:row r="362" ht="77" customHeight="1">
      <x:c r="A362" s="11" t="str">
        <x:v>TC-RPT-009-02</x:v>
      </x:c>
      <x:c r="B362" s="11" t="str">
        <x:v>FR-RPT-009 / BR-RPT-009 / SC01–SC08</x:v>
      </x:c>
      <x:c r="C362" s="11" t="str">
        <x:v>P0 / R1</x:v>
      </x:c>
      <x:c r="D362" s="11" t="str">
        <x:v>Amend withdraw and supersede validation and recovery</x:v>
      </x:c>
      <x:c r="E362" s="11" t="str">
        <x:v>Start from the same eligible fixture and retain the submitted draft; record the last committed head and receipt. Introduce the boundary or failure stated below.</x:v>
      </x:c>
      <x:c r="F362" s="11" t="str">
        <x:v>1. Exercise each independent condition in the validation contract, as separate recorded variants: Downloaded copies remain external disclosures. Notices refer to the obsolete version and corrective action; the system never claims recall of already downloaded bytes. 2. Inspect the safe error/state and authorised recovery actions. 3. Correct the condition and retry under current authority and expected revision. 4. Compare durable effects and audit history with the original baseline.</x:v>
      </x:c>
      <x:c r="G362" s="11" t="str">
        <x:v>Downloaded copies remain external disclosures. Notices refer to the obsolete version and corrective action; the system never claims recall of already downloaded bytes. Ordinary failed saves have no partial effect. Explicit bulk partial modes account for committed and unprocessed items. A retry does not duplicate the intended business effect.</x:v>
      </x:c>
      <x:c r="H362" s="13" t="str">
        <x:v>Not run</x:v>
      </x:c>
      <x:c r="I362" s="13" t="str"/>
      <x:c r="J362" s="13" t="str">
        <x:v>Expand multi-condition variants in the run record. Required negative coverage, not a claim that one assertion covers every security attack.</x:v>
      </x:c>
    </x:row>
    <x:row r="363" ht="90" customHeight="1">
      <x:c r="A363" s="11" t="str">
        <x:v>TC-RPT-010-01</x:v>
      </x:c>
      <x:c r="B363" s="11" t="str">
        <x:v>FR-RPT-010 / BR-RPT-010</x:v>
      </x:c>
      <x:c r="C363" s="11" t="str">
        <x:v>P0 / R1</x:v>
      </x:c>
      <x:c r="D363" s="11" t="str">
        <x:v>Reporting reconciliation intended outcome</x:v>
      </x:c>
      <x:c r="E363" s="11" t="str">
        <x:v>Synthetic tenant A; tenant B hidden markers; eligible actor with explicit capability, scope, purpose and current assurance. Set up the source acceptance fixture: Change one approved metric and identify every affected narrative and chart location before approving the new report candidate.</x:v>
      </x:c>
      <x:c r="F363" s="11" t="str">
        <x:v>1. Record current object revisions, policy and safe audit cursor. 2. Perform the specified interaction: Preapproval reconciliation compares all metric bindings, tables, chart labels and factual narrative numbers against the snapshot. Version comparison separates source, definition, target, calculation, period and narrative changes. 3. Inspect UI, canonical API read and audit/receipt for the resulting version. 4. Apply the acceptance example: Change one approved metric and identify every affected narrative and chart location before approving the new report candidate.</x:v>
      </x:c>
      <x:c r="G363" s="11" t="str">
        <x:v>Change one approved metric and identify every affected narrative and chart location before approving the new report candidate. Required behaviour is preserved: Preapproval reconciliation compares all metric bindings, tables, chart labels and factual narrative numbers against the snapshot. Version comparison separates source, definition, target, calculation, period and narrative changes.</x:v>
      </x:c>
      <x:c r="H363" s="13" t="str">
        <x:v>Not run</x:v>
      </x:c>
      <x:c r="I363" s="13" t="str"/>
      <x:c r="J363" s="13" t="str">
        <x:v>Primary owning component C09. Execute relevant channels; record actual fixture IDs and observed evidence.</x:v>
      </x:c>
    </x:row>
    <x:row r="364" ht="90" customHeight="1">
      <x:c r="A364" s="11" t="str">
        <x:v>TC-RPT-010-02</x:v>
      </x:c>
      <x:c r="B364" s="11" t="str">
        <x:v>FR-RPT-010 / BR-RPT-010 / SC01–SC08</x:v>
      </x:c>
      <x:c r="C364" s="11" t="str">
        <x:v>P0 / R1</x:v>
      </x:c>
      <x:c r="D364" s="11" t="str">
        <x:v>Reporting reconciliation validation and recovery</x:v>
      </x:c>
      <x:c r="E364" s="11" t="str">
        <x:v>Start from the same eligible fixture and retain the submitted draft; record the last committed head and receipt. Introduce the boundary or failure stated below.</x:v>
      </x:c>
      <x:c r="F364" s="11" t="str">
        <x:v>1. Exercise each independent condition in the validation contract, as separate recorded variants: No unexplained official numeric difference may pass review. A manually written number requires an explicit source binding or a reviewed non-result classification such as a date or section number. 2. Inspect the safe error/state and authorised recovery actions. 3. Correct the condition and retry under current authority and expected revision. 4. Compare durable effects and audit history with the original baseline.</x:v>
      </x:c>
      <x:c r="G364" s="11" t="str">
        <x:v>No unexplained official numeric difference may pass review. A manually written number requires an explicit source binding or a reviewed non-result classification such as a date or section number. Ordinary failed saves have no partial effect. Explicit bulk partial modes account for committed and unprocessed items. A retry does not duplicate the intended business effect.</x:v>
      </x:c>
      <x:c r="H364" s="13" t="str">
        <x:v>Not run</x:v>
      </x:c>
      <x:c r="I364" s="13" t="str"/>
      <x:c r="J364" s="13" t="str">
        <x:v>Expand multi-condition variants in the run record. Required negative coverage, not a claim that one assertion covers every security attack.</x:v>
      </x:c>
    </x:row>
    <x:row r="365" ht="103" customHeight="1">
      <x:c r="A365" s="11" t="str">
        <x:v>TC-RPT-011-01</x:v>
      </x:c>
      <x:c r="B365" s="11" t="str">
        <x:v>FR-RPT-011 / BR-RPT-011</x:v>
      </x:c>
      <x:c r="C365" s="11" t="str">
        <x:v>P1 / R2</x:v>
      </x:c>
      <x:c r="D365" s="11" t="str">
        <x:v>Transparency publication intended outcome</x:v>
      </x:c>
      <x:c r="E365" s="11" t="str">
        <x:v>Synthetic tenant A; tenant B hidden markers; eligible actor with explicit capability, scope, purpose and current assurance. Set up the source acceptance fixture: Validate a representative payload, fix an invalid code, approve the exact version and reconcile its external acknowledgement to the internal publication record.</x:v>
      </x:c>
      <x:c r="F365" s="11" t="str">
        <x:v>1. Record current object revisions, policy and safe audit cursor. 2. Perform the specified interaction: The publication workspace selects a specifically qualified IATI standard profile, organisation identity and mapping. Validation lists mandatory fields, code list errors and disclosure issues. Approved export or direct publication records the payload version and external acknowledgement. 3. Inspect UI, canonical API read and audit/receipt for the resulting version. 4. Apply the acceptance example: Validate a representative payload, fix an invalid code, approve the exact version and reconcile its external acknowledgement to the internal publication record.</x:v>
      </x:c>
      <x:c r="G365" s="11" t="str">
        <x:v>Validate a representative payload, fix an invalid code, approve the exact version and reconcile its external acknowledgement to the internal publication record. Required behaviour is preserved: The publication workspace selects a specifically qualified IATI standard profile, organisation identity and mapping. Validation lists mandatory fields, code list errors and disclosure issues. Approved export or direct publication records the payload version and external acknowledgement.</x:v>
      </x:c>
      <x:c r="H365" s="13" t="str">
        <x:v>Not run</x:v>
      </x:c>
      <x:c r="I365" s="13" t="str"/>
      <x:c r="J365" s="13" t="str">
        <x:v>Primary owning component C09. Execute relevant channels; record actual fixture IDs and observed evidence.</x:v>
      </x:c>
    </x:row>
    <x:row r="366" ht="90" customHeight="1">
      <x:c r="A366" s="11" t="str">
        <x:v>TC-RPT-011-02</x:v>
      </x:c>
      <x:c r="B366" s="11" t="str">
        <x:v>FR-RPT-011 / BR-RPT-011 / SC01–SC08</x:v>
      </x:c>
      <x:c r="C366" s="11" t="str">
        <x:v>P1 / R2</x:v>
      </x:c>
      <x:c r="D366" s="11" t="str">
        <x:v>Transparency publication validation and recovery</x:v>
      </x:c>
      <x:c r="E366" s="11" t="str">
        <x:v>Start from the same eligible fixture and retain the submitted draft; record the last committed head and receipt. Introduce the boundary or failure stated below.</x:v>
      </x:c>
      <x:c r="F366" s="11" t="str">
        <x:v>1. Exercise each independent condition in the validation contract, as separate recorded variants: Do not claim support for an unspecified schema version. External rejection leaves delivery failed or correction required; removal follows the qualified route and may not erase third party copies. 2. Inspect the safe error/state and authorised recovery actions. 3. Correct the condition and retry under current authority and expected revision. 4. Compare durable effects and audit history with the original baseline.</x:v>
      </x:c>
      <x:c r="G366" s="11" t="str">
        <x:v>Do not claim support for an unspecified schema version. External rejection leaves delivery failed or correction required; removal follows the qualified route and may not erase third party copies. Ordinary failed saves have no partial effect. Explicit bulk partial modes account for committed and unprocessed items. A retry does not duplicate the intended business effect.</x:v>
      </x:c>
      <x:c r="H366" s="13" t="str">
        <x:v>Not run</x:v>
      </x:c>
      <x:c r="I366" s="13" t="str"/>
      <x:c r="J366" s="13" t="str">
        <x:v>Expand multi-condition variants in the run record. Required negative coverage, not a claim that one assertion covers every security attack.</x:v>
      </x:c>
    </x:row>
    <x:row r="367" ht="103" customHeight="1">
      <x:c r="A367" s="11" t="str">
        <x:v>TC-RPT-012-01</x:v>
      </x:c>
      <x:c r="B367" s="11" t="str">
        <x:v>FR-RPT-012 / BR-RPT-012</x:v>
      </x:c>
      <x:c r="C367" s="11" t="str">
        <x:v>P1 / R1</x:v>
      </x:c>
      <x:c r="D367" s="11" t="str">
        <x:v>Report evidence package intended outcome</x:v>
      </x:c>
      <x:c r="E367" s="11" t="str">
        <x:v>Synthetic tenant A; tenant B hidden markers; eligible actor with explicit capability, scope, purpose and current assurance. Set up the source acceptance fixture: Reconstruct a published pooled ratio from the package and identify one lawfully withheld attachment without receiving its private data.</x:v>
      </x:c>
      <x:c r="F367" s="11" t="str">
        <x:v>1. Record current object revisions, policy and safe audit cursor. 2. Perform the specified interaction: An audit package contains the permitted report, snapshot manifest, dictionary, result lineage, source references, decisions and caveats. File integrity and a content inventory allow the recipient to verify completeness. Missing or withheld materials are listed without disclosing their content. 3. Inspect UI, canonical API read and audit/receipt for the resulting version. 4. Apply the acceptance example: Reconstruct a published pooled ratio from the package and identify one lawfully withheld attachment without receiving its private data.</x:v>
      </x:c>
      <x:c r="G367" s="11" t="str">
        <x:v>Reconstruct a published pooled ratio from the package and identify one lawfully withheld attachment without receiving its private data. Required behaviour is preserved: An audit package contains the permitted report, snapshot manifest, dictionary, result lineage, source references, decisions and caveats. File integrity and a content inventory allow the recipient to verify completeness. Missing or withheld materials are listed without disclosing their content.</x:v>
      </x:c>
      <x:c r="H367" s="13" t="str">
        <x:v>Not run</x:v>
      </x:c>
      <x:c r="I367" s="13" t="str"/>
      <x:c r="J367" s="13" t="str">
        <x:v>Primary owning component C09. Execute relevant channels; record actual fixture IDs and observed evidence.</x:v>
      </x:c>
    </x:row>
    <x:row r="368" ht="77" customHeight="1">
      <x:c r="A368" s="11" t="str">
        <x:v>TC-RPT-012-02</x:v>
      </x:c>
      <x:c r="B368" s="11" t="str">
        <x:v>FR-RPT-012 / BR-RPT-012 / SC01–SC08</x:v>
      </x:c>
      <x:c r="C368" s="11" t="str">
        <x:v>P1 / R1</x:v>
      </x:c>
      <x:c r="D368" s="11" t="str">
        <x:v>Report evidence package validation and recovery</x:v>
      </x:c>
      <x:c r="E368" s="11" t="str">
        <x:v>Start from the same eligible fixture and retain the submitted draft; record the last committed head and receipt. Introduce the boundary or failure stated below.</x:v>
      </x:c>
      <x:c r="F368" s="11" t="str">
        <x:v>1. Exercise each independent condition in the validation contract, as separate recorded variants: Package scope can be narrower than full tenant access. Export authority is checked at generation and download; evidence restrictions remain enforced. 2. Inspect the safe error/state and authorised recovery actions. 3. Correct the condition and retry under current authority and expected revision. 4. Compare durable effects and audit history with the original baseline.</x:v>
      </x:c>
      <x:c r="G368" s="11" t="str">
        <x:v>Package scope can be narrower than full tenant access. Export authority is checked at generation and download; evidence restrictions remain enforced. Ordinary failed saves have no partial effect. Explicit bulk partial modes account for committed and unprocessed items. A retry does not duplicate the intended business effect.</x:v>
      </x:c>
      <x:c r="H368" s="13" t="str">
        <x:v>Not run</x:v>
      </x:c>
      <x:c r="I368" s="13" t="str"/>
      <x:c r="J368" s="13" t="str">
        <x:v>Expand multi-condition variants in the run record. Required negative coverage, not a claim that one assertion covers every security attack.</x:v>
      </x:c>
    </x:row>
    <x:row r="369" ht="103" customHeight="1">
      <x:c r="A369" s="11" t="str">
        <x:v>TC-FIN-001-01</x:v>
      </x:c>
      <x:c r="B369" s="11" t="str">
        <x:v>FR-FIN-001 / BR-FIN-001</x:v>
      </x:c>
      <x:c r="C369" s="11" t="str">
        <x:v>P1 / R1</x:v>
      </x:c>
      <x:c r="D369" s="11" t="str">
        <x:v>Funding and grant context intended outcome</x:v>
      </x:c>
      <x:c r="E369" s="11" t="str">
        <x:v>Synthetic tenant A; tenant B hidden markers; eligible actor with explicit capability, scope, purpose and current assurance. Set up the source acceptance fixture: Link two donors to one project; each external user sees only their approved report view and no automatic access to the other's agreement.</x:v>
      </x:c>
      <x:c r="F369" s="11" t="str">
        <x:v>1. Record current object revisions, policy and safe audit cursor. 2. Perform the specified interaction: Funding records capture agreement identity, funder, programme links, amount, currency, dates, amendments and reporting obligations. Confidential clauses and attachments use separate field permissions. Subgrant relationships preserve their own agreement version. 3. Inspect UI, canonical API read and audit/receipt for the resulting version. 4. Apply the acceptance example: Link two donors to one project; each external user sees only their approved report view and no automatic access to the other's agreement.</x:v>
      </x:c>
      <x:c r="G369" s="11" t="str">
        <x:v>Link two donors to one project; each external user sees only their approved report view and no automatic access to the other's agreement. Required behaviour is preserved: Funding records capture agreement identity, funder, programme links, amount, currency, dates, amendments and reporting obligations. Confidential clauses and attachments use separate field permissions. Subgrant relationships preserve their own agreement version.</x:v>
      </x:c>
      <x:c r="H369" s="13" t="str">
        <x:v>Not run</x:v>
      </x:c>
      <x:c r="I369" s="13" t="str"/>
      <x:c r="J369" s="13" t="str">
        <x:v>Primary owning component C10. Execute relevant channels; record actual fixture IDs and observed evidence.</x:v>
      </x:c>
    </x:row>
    <x:row r="370" ht="77" customHeight="1">
      <x:c r="A370" s="11" t="str">
        <x:v>TC-FIN-001-02</x:v>
      </x:c>
      <x:c r="B370" s="11" t="str">
        <x:v>FR-FIN-001 / BR-FIN-001 / SC01–SC08</x:v>
      </x:c>
      <x:c r="C370" s="11" t="str">
        <x:v>P1 / R1</x:v>
      </x:c>
      <x:c r="D370" s="11" t="str">
        <x:v>Funding and grant context validation and recovery</x:v>
      </x:c>
      <x:c r="E370" s="11" t="str">
        <x:v>Start from the same eligible fixture and retain the submitted draft; record the last committed head and receipt. Introduce the boundary or failure stated below.</x:v>
      </x:c>
      <x:c r="F370" s="11" t="str">
        <x:v>1. Exercise each independent condition in the validation contract, as separate recorded variants: A funder relation does not create a user grant or ownership share in outcomes. Amount changes require amendment history. 2. Inspect the safe error/state and authorised recovery actions. 3. Correct the condition and retry under current authority and expected revision. 4. Compare durable effects and audit history with the original baseline.</x:v>
      </x:c>
      <x:c r="G370" s="11" t="str">
        <x:v>A funder relation does not create a user grant or ownership share in outcomes. Amount changes require amendment history. Ordinary failed saves have no partial effect. Explicit bulk partial modes account for committed and unprocessed items. A retry does not duplicate the intended business effect.</x:v>
      </x:c>
      <x:c r="H370" s="13" t="str">
        <x:v>Not run</x:v>
      </x:c>
      <x:c r="I370" s="13" t="str"/>
      <x:c r="J370" s="13" t="str">
        <x:v>Expand multi-condition variants in the run record. Required negative coverage, not a claim that one assertion covers every security attack.</x:v>
      </x:c>
    </x:row>
    <x:row r="371" ht="90" customHeight="1">
      <x:c r="A371" s="11" t="str">
        <x:v>TC-FIN-002-01</x:v>
      </x:c>
      <x:c r="B371" s="11" t="str">
        <x:v>FR-FIN-002 / BR-FIN-002</x:v>
      </x:c>
      <x:c r="C371" s="11" t="str">
        <x:v>P1 / R2</x:v>
      </x:c>
      <x:c r="D371" s="11" t="str">
        <x:v>Budget planning intended outcome</x:v>
      </x:c>
      <x:c r="E371" s="11" t="str">
        <x:v>Synthetic tenant A; tenant B hidden markers; eligible actor with explicit capability, scope, purpose and current assurance. Set up the source acceptance fixture: Raise an approved budget from 100 to 120; the original comparison remains available and imported actual spending stays unchanged.</x:v>
      </x:c>
      <x:c r="F371" s="11" t="str">
        <x:v>1. Record current object revisions, policy and safe audit cursor. 2. Perform the specified interaction: A budget version contains lines by activity, category, partner and period with currency and approval route. Draft revisions compare against the original and current baseline. Approval pins the budget and its rate assumptions. 3. Inspect UI, canonical API read and audit/receipt for the resulting version. 4. Apply the acceptance example: Raise an approved budget from 100 to 120; the original comparison remains available and imported actual spending stays unchanged.</x:v>
      </x:c>
      <x:c r="G371" s="11" t="str">
        <x:v>Raise an approved budget from 100 to 120; the original comparison remains available and imported actual spending stays unchanged. Required behaviour is preserved: A budget version contains lines by activity, category, partner and period with currency and approval route. Draft revisions compare against the original and current baseline. Approval pins the budget and its rate assumptions.</x:v>
      </x:c>
      <x:c r="H371" s="13" t="str">
        <x:v>Not run</x:v>
      </x:c>
      <x:c r="I371" s="13" t="str"/>
      <x:c r="J371" s="13" t="str">
        <x:v>Primary owning component C10. Execute relevant channels; record actual fixture IDs and observed evidence.</x:v>
      </x:c>
    </x:row>
    <x:row r="372" ht="77" customHeight="1">
      <x:c r="A372" s="11" t="str">
        <x:v>TC-FIN-002-02</x:v>
      </x:c>
      <x:c r="B372" s="11" t="str">
        <x:v>FR-FIN-002 / BR-FIN-002 / SC01–SC08</x:v>
      </x:c>
      <x:c r="C372" s="11" t="str">
        <x:v>P1 / R2</x:v>
      </x:c>
      <x:c r="D372" s="11" t="str">
        <x:v>Budget planning validation and recovery</x:v>
      </x:c>
      <x:c r="E372" s="11" t="str">
        <x:v>Start from the same eligible fixture and retain the submitted draft; record the last committed head and receipt. Introduce the boundary or failure stated below.</x:v>
      </x:c>
      <x:c r="F372" s="11" t="str">
        <x:v>1. Exercise each independent condition in the validation contract, as separate recorded variants: Actual expenditure remains an independent source dataset. Changing a budget cannot alter transaction amounts or historically reported variance. 2. Inspect the safe error/state and authorised recovery actions. 3. Correct the condition and retry under current authority and expected revision. 4. Compare durable effects and audit history with the original baseline.</x:v>
      </x:c>
      <x:c r="G372" s="11" t="str">
        <x:v>Actual expenditure remains an independent source dataset. Changing a budget cannot alter transaction amounts or historically reported variance. Ordinary failed saves have no partial effect. Explicit bulk partial modes account for committed and unprocessed items. A retry does not duplicate the intended business effect.</x:v>
      </x:c>
      <x:c r="H372" s="13" t="str">
        <x:v>Not run</x:v>
      </x:c>
      <x:c r="I372" s="13" t="str"/>
      <x:c r="J372" s="13" t="str">
        <x:v>Expand multi-condition variants in the run record. Required negative coverage, not a claim that one assertion covers every security attack.</x:v>
      </x:c>
    </x:row>
    <x:row r="373" ht="103" customHeight="1">
      <x:c r="A373" s="11" t="str">
        <x:v>TC-FIN-003-01</x:v>
      </x:c>
      <x:c r="B373" s="11" t="str">
        <x:v>FR-FIN-003 / BR-FIN-003</x:v>
      </x:c>
      <x:c r="C373" s="11" t="str">
        <x:v>P1 / R2</x:v>
      </x:c>
      <x:c r="D373" s="11" t="str">
        <x:v>Expenditure ingestion intended outcome</x:v>
      </x:c>
      <x:c r="E373" s="11" t="str">
        <x:v>Synthetic tenant A; tenant B hidden markers; eligible actor with explicit capability, scope, purpose and current assurance. Set up the source acceptance fixture: Import an amended transaction file twice and verify only the intended corrected expenditure balance contributes to analysis.</x:v>
      </x:c>
      <x:c r="F373" s="11" t="str">
        <x:v>1. Record current object revisions, policy and safe audit cursor. 2. Perform the specified interaction: Expenditure ingestion uses a stable source transaction key, posting and event dates, amount, currency, category and funding allocation. Mapping validates control totals and adjustment semantics. Repeated files reconcile unchanged records and explicit correction revisions. 3. Inspect UI, canonical API read and audit/receipt for the resulting version. 4. Apply the acceptance example: Import an amended transaction file twice and verify only the intended corrected expenditure balance contributes to analysis.</x:v>
      </x:c>
      <x:c r="G373" s="11" t="str">
        <x:v>Import an amended transaction file twice and verify only the intended corrected expenditure balance contributes to analysis. Required behaviour is preserved: Expenditure ingestion uses a stable source transaction key, posting and event dates, amount, currency, category and funding allocation. Mapping validates control totals and adjustment semantics. Repeated files reconcile unchanged records and explicit correction revisions.</x:v>
      </x:c>
      <x:c r="H373" s="13" t="str">
        <x:v>Not run</x:v>
      </x:c>
      <x:c r="I373" s="13" t="str"/>
      <x:c r="J373" s="13" t="str">
        <x:v>Primary owning component C10. Execute relevant channels; record actual fixture IDs and observed evidence.</x:v>
      </x:c>
    </x:row>
    <x:row r="374" ht="90" customHeight="1">
      <x:c r="A374" s="11" t="str">
        <x:v>TC-FIN-003-02</x:v>
      </x:c>
      <x:c r="B374" s="11" t="str">
        <x:v>FR-FIN-003 / BR-FIN-003 / SC01–SC08</x:v>
      </x:c>
      <x:c r="C374" s="11" t="str">
        <x:v>P1 / R2</x:v>
      </x:c>
      <x:c r="D374" s="11" t="str">
        <x:v>Expenditure ingestion validation and recovery</x:v>
      </x:c>
      <x:c r="E374" s="11" t="str">
        <x:v>Start from the same eligible fixture and retain the submitted draft; record the last committed head and receipt. Introduce the boundary or failure stated below.</x:v>
      </x:c>
      <x:c r="F374" s="11" t="str">
        <x:v>1. Exercise each independent condition in the validation contract, as separate recorded variants: Reversal and replacement are separate transaction semantics. A repeated upload cannot count the same expense again; unbalanced source totals block approval or require an explicit permitted exception. 2. Inspect the safe error/state and authorised recovery actions. 3. Correct the condition and retry under current authority and expected revision. 4. Compare durable effects and audit history with the original baseline.</x:v>
      </x:c>
      <x:c r="G374" s="11" t="str">
        <x:v>Reversal and replacement are separate transaction semantics. A repeated upload cannot count the same expense again; unbalanced source totals block approval or require an explicit permitted exception. Ordinary failed saves have no partial effect. Explicit bulk partial modes account for committed and unprocessed items. A retry does not duplicate the intended business effect.</x:v>
      </x:c>
      <x:c r="H374" s="13" t="str">
        <x:v>Not run</x:v>
      </x:c>
      <x:c r="I374" s="13" t="str"/>
      <x:c r="J374" s="13" t="str">
        <x:v>Expand multi-condition variants in the run record. Required negative coverage, not a claim that one assertion covers every security attack.</x:v>
      </x:c>
    </x:row>
    <x:row r="375" ht="90" customHeight="1">
      <x:c r="A375" s="11" t="str">
        <x:v>TC-FIN-004-01</x:v>
      </x:c>
      <x:c r="B375" s="11" t="str">
        <x:v>FR-FIN-004 / BR-FIN-004</x:v>
      </x:c>
      <x:c r="C375" s="11" t="str">
        <x:v>P0 / R1</x:v>
      </x:c>
      <x:c r="D375" s="11" t="str">
        <x:v>Currency treatment intended outcome</x:v>
      </x:c>
      <x:c r="E375" s="11" t="str">
        <x:v>Synthetic tenant A; tenant B hidden markers; eligible actor with explicit capability, scope, purpose and current assurance. Set up the source acceptance fixture: Convert USD 100 at 83 INR per USD to INR 8300; a later rate of 84 creates a new view while the published historical value remains 8300.</x:v>
      </x:c>
      <x:c r="F375" s="11" t="str">
        <x:v>1. Record current object revisions, policy and safe audit cursor. 2. Perform the specified interaction: Currency conversion requires source and reporting currency, rate, source, effective date and rate direction. A report snapshot pins these values. Original transactions remain in original currency; a new rate creates a new analytical view or restatement. 3. Inspect UI, canonical API read and audit/receipt for the resulting version. 4. Apply the acceptance example: Convert USD 100 at 83 INR per USD to INR 8300; a later rate of 84 creates a new view while the published historical value remains 8300.</x:v>
      </x:c>
      <x:c r="G375" s="11" t="str">
        <x:v>Convert USD 100 at 83 INR per USD to INR 8300; a later rate of 84 creates a new view while the published historical value remains 8300. Required behaviour is preserved: Currency conversion requires source and reporting currency, rate, source, effective date and rate direction. A report snapshot pins these values. Original transactions remain in original currency; a new rate creates a new analytical view or restatement.</x:v>
      </x:c>
      <x:c r="H375" s="13" t="str">
        <x:v>Not run</x:v>
      </x:c>
      <x:c r="I375" s="13" t="str"/>
      <x:c r="J375" s="13" t="str">
        <x:v>Primary owning component C10. Execute relevant channels; record actual fixture IDs and observed evidence.</x:v>
      </x:c>
    </x:row>
    <x:row r="376" ht="77" customHeight="1">
      <x:c r="A376" s="11" t="str">
        <x:v>TC-FIN-004-02</x:v>
      </x:c>
      <x:c r="B376" s="11" t="str">
        <x:v>FR-FIN-004 / BR-FIN-004 / SC01–SC08</x:v>
      </x:c>
      <x:c r="C376" s="11" t="str">
        <x:v>P0 / R1</x:v>
      </x:c>
      <x:c r="D376" s="11" t="str">
        <x:v>Currency treatment validation and recovery</x:v>
      </x:c>
      <x:c r="E376" s="11" t="str">
        <x:v>Start from the same eligible fixture and retain the submitted draft; record the last committed head and receipt. Introduce the boundary or failure stated below.</x:v>
      </x:c>
      <x:c r="F376" s="11" t="str">
        <x:v>1. Exercise each independent condition in the validation contract, as separate recorded variants: No silent current-rate conversion of historical publications. Missing rates produce unavailable converted values rather than zero or assumed parity. 2. Inspect the safe error/state and authorised recovery actions. 3. Correct the condition and retry under current authority and expected revision. 4. Compare durable effects and audit history with the original baseline.</x:v>
      </x:c>
      <x:c r="G376" s="11" t="str">
        <x:v>No silent current-rate conversion of historical publications. Missing rates produce unavailable converted values rather than zero or assumed parity. Ordinary failed saves have no partial effect. Explicit bulk partial modes account for committed and unprocessed items. A retry does not duplicate the intended business effect.</x:v>
      </x:c>
      <x:c r="H376" s="13" t="str">
        <x:v>Not run</x:v>
      </x:c>
      <x:c r="I376" s="13" t="str"/>
      <x:c r="J376" s="13" t="str">
        <x:v>Expand multi-condition variants in the run record. Required negative coverage, not a claim that one assertion covers every security attack.</x:v>
      </x:c>
    </x:row>
    <x:row r="377" ht="90" customHeight="1">
      <x:c r="A377" s="11" t="str">
        <x:v>TC-FIN-005-01</x:v>
      </x:c>
      <x:c r="B377" s="11" t="str">
        <x:v>FR-FIN-005 / BR-FIN-005</x:v>
      </x:c>
      <x:c r="C377" s="11" t="str">
        <x:v>P1 / R2</x:v>
      </x:c>
      <x:c r="D377" s="11" t="str">
        <x:v>Variance and forecast intended outcome</x:v>
      </x:c>
      <x:c r="E377" s="11" t="str">
        <x:v>Synthetic tenant A; tenant B hidden markers; eligible actor with explicit capability, scope, purpose and current assurance. Set up the source acceptance fixture: Budget 100, recorded spending 60 and forecast total 110 show 40 currently unspent and a forecast overrun of ten, as separate facts.</x:v>
      </x:c>
      <x:c r="F377" s="11" t="str">
        <x:v>1. Record current object revisions, policy and safe audit cursor. 2. Perform the specified interaction: Variance views select budget version, actual cutoff, commitments and forecast method. Display budget minus expenditure as remaining budget, with sign convention labelled. Forecasts contain assumptions and author or method version separately from actuals. 3. Inspect UI, canonical API read and audit/receipt for the resulting version. 4. Apply the acceptance example: Budget 100, recorded spending 60 and forecast total 110 show 40 currently unspent and a forecast overrun of ten, as separate facts.</x:v>
      </x:c>
      <x:c r="G377" s="11" t="str">
        <x:v>Budget 100, recorded spending 60 and forecast total 110 show 40 currently unspent and a forecast overrun of ten, as separate facts. Required behaviour is preserved: Variance views select budget version, actual cutoff, commitments and forecast method. Display budget minus expenditure as remaining budget, with sign convention labelled. Forecasts contain assumptions and author or method version separately from actuals.</x:v>
      </x:c>
      <x:c r="H377" s="13" t="str">
        <x:v>Not run</x:v>
      </x:c>
      <x:c r="I377" s="13" t="str"/>
      <x:c r="J377" s="13" t="str">
        <x:v>Primary owning component C10. Execute relevant channels; record actual fixture IDs and observed evidence.</x:v>
      </x:c>
    </x:row>
    <x:row r="378" ht="77" customHeight="1">
      <x:c r="A378" s="11" t="str">
        <x:v>TC-FIN-005-02</x:v>
      </x:c>
      <x:c r="B378" s="11" t="str">
        <x:v>FR-FIN-005 / BR-FIN-005 / SC01–SC08</x:v>
      </x:c>
      <x:c r="C378" s="11" t="str">
        <x:v>P1 / R2</x:v>
      </x:c>
      <x:c r="D378" s="11" t="str">
        <x:v>Variance and forecast validation and recovery</x:v>
      </x:c>
      <x:c r="E378" s="11" t="str">
        <x:v>Start from the same eligible fixture and retain the submitted draft; record the last committed head and receipt. Introduce the boundary or failure stated below.</x:v>
      </x:c>
      <x:c r="F378" s="11" t="str">
        <x:v>1. Exercise each independent condition in the validation contract, as separate recorded variants: Missing spending data is not treated as underspend. A forecast cannot enter the actual expenditure series or imply programme impact success. 2. Inspect the safe error/state and authorised recovery actions. 3. Correct the condition and retry under current authority and expected revision. 4. Compare durable effects and audit history with the original baseline.</x:v>
      </x:c>
      <x:c r="G378" s="11" t="str">
        <x:v>Missing spending data is not treated as underspend. A forecast cannot enter the actual expenditure series or imply programme impact success. Ordinary failed saves have no partial effect. Explicit bulk partial modes account for committed and unprocessed items. A retry does not duplicate the intended business effect.</x:v>
      </x:c>
      <x:c r="H378" s="13" t="str">
        <x:v>Not run</x:v>
      </x:c>
      <x:c r="I378" s="13" t="str"/>
      <x:c r="J378" s="13" t="str">
        <x:v>Expand multi-condition variants in the run record. Required negative coverage, not a claim that one assertion covers every security attack.</x:v>
      </x:c>
    </x:row>
    <x:row r="379" ht="90" customHeight="1">
      <x:c r="A379" s="11" t="str">
        <x:v>TC-FIN-006-01</x:v>
      </x:c>
      <x:c r="B379" s="11" t="str">
        <x:v>FR-FIN-006 / BR-FIN-006</x:v>
      </x:c>
      <x:c r="C379" s="11" t="str">
        <x:v>P1 / R2</x:v>
      </x:c>
      <x:c r="D379" s="11" t="str">
        <x:v>Shared costs and allocations intended outcome</x:v>
      </x:c>
      <x:c r="E379" s="11" t="str">
        <x:v>Synthetic tenant A; tenant B hidden markers; eligible actor with explicit capability, scope, purpose and current assurance. Set up the source acceptance fixture: Allocate 100 at 60 and 40 percent; the two outputs sum to 100 and a repeated import creates no additional allocation.</x:v>
      </x:c>
      <x:c r="F379" s="11" t="str">
        <x:v>1. Record current object revisions, policy and safe audit cursor. 2. Perform the specified interaction: Allocation rules specify source cost, recipient projects or donors, basis, weights and effective version. Preview reconciles allocated amounts and rounding remainder. Approval fixes the rule for the relevant snapshot. 3. Inspect UI, canonical API read and audit/receipt for the resulting version. 4. Apply the acceptance example: Allocate 100 at 60 and 40 percent; the two outputs sum to 100 and a repeated import creates no additional allocation.</x:v>
      </x:c>
      <x:c r="G379" s="11" t="str">
        <x:v>Allocate 100 at 60 and 40 percent; the two outputs sum to 100 and a repeated import creates no additional allocation. Required behaviour is preserved: Allocation rules specify source cost, recipient projects or donors, basis, weights and effective version. Preview reconciles allocated amounts and rounding remainder. Approval fixes the rule for the relevant snapshot.</x:v>
      </x:c>
      <x:c r="H379" s="13" t="str">
        <x:v>Not run</x:v>
      </x:c>
      <x:c r="I379" s="13" t="str"/>
      <x:c r="J379" s="13" t="str">
        <x:v>Primary owning component C10. Execute relevant channels; record actual fixture IDs and observed evidence.</x:v>
      </x:c>
    </x:row>
    <x:row r="380" ht="77" customHeight="1">
      <x:c r="A380" s="11" t="str">
        <x:v>TC-FIN-006-02</x:v>
      </x:c>
      <x:c r="B380" s="11" t="str">
        <x:v>FR-FIN-006 / BR-FIN-006 / SC01–SC08</x:v>
      </x:c>
      <x:c r="C380" s="11" t="str">
        <x:v>P1 / R2</x:v>
      </x:c>
      <x:c r="D380" s="11" t="str">
        <x:v>Shared costs and allocations validation and recovery</x:v>
      </x:c>
      <x:c r="E380" s="11" t="str">
        <x:v>Start from the same eligible fixture and retain the submitted draft; record the last committed head and receipt. Introduce the boundary or failure stated below.</x:v>
      </x:c>
      <x:c r="F380" s="11" t="str">
        <x:v>1. Exercise each independent condition in the validation contract, as separate recorded variants: Weights must reconcile to the declared total. A residual rounding unit is assigned by a deterministic stated rule; no analytical double charging across overlapping views. 2. Inspect the safe error/state and authorised recovery actions. 3. Correct the condition and retry under current authority and expected revision. 4. Compare durable effects and audit history with the original baseline.</x:v>
      </x:c>
      <x:c r="G380" s="11" t="str">
        <x:v>Weights must reconcile to the declared total. A residual rounding unit is assigned by a deterministic stated rule; no analytical double charging across overlapping views. Ordinary failed saves have no partial effect. Explicit bulk partial modes account for committed and unprocessed items. A retry does not duplicate the intended business effect.</x:v>
      </x:c>
      <x:c r="H380" s="13" t="str">
        <x:v>Not run</x:v>
      </x:c>
      <x:c r="I380" s="13" t="str"/>
      <x:c r="J380" s="13" t="str">
        <x:v>Expand multi-condition variants in the run record. Required negative coverage, not a claim that one assertion covers every security attack.</x:v>
      </x:c>
    </x:row>
    <x:row r="381" ht="90" customHeight="1">
      <x:c r="A381" s="11" t="str">
        <x:v>TC-FIN-007-01</x:v>
      </x:c>
      <x:c r="B381" s="11" t="str">
        <x:v>FR-FIN-007 / BR-FIN-007</x:v>
      </x:c>
      <x:c r="C381" s="11" t="str">
        <x:v>P2 / R3</x:v>
      </x:c>
      <x:c r="D381" s="11" t="str">
        <x:v>Cost effectiveness intended outcome</x:v>
      </x:c>
      <x:c r="E381" s="11" t="str">
        <x:v>Synthetic tenant A; tenant B hidden markers; eligible actor with explicit capability, scope, purpose and current assurance. Set up the source acceptance fixture: Approved cost 900 over 180 unique participants produces cost per participant five, with shared-cost exclusions explicitly listed.</x:v>
      </x:c>
      <x:c r="F381" s="11" t="str">
        <x:v>1. Record current object revisions, policy and safe audit cursor. 2. Perform the specified interaction: Cost effectiveness chooses cost scope, reporting currency and rate basis, eligible outcome denominator, matched period and exclusions. Calculation returns the deterministic ratio with limitations and source lineage. 3. Inspect UI, canonical API read and audit/receipt for the resulting version. 4. Apply the acceptance example: Approved cost 900 over 180 unique participants produces cost per participant five, with shared-cost exclusions explicitly listed.</x:v>
      </x:c>
      <x:c r="G381" s="11" t="str">
        <x:v>Approved cost 900 over 180 unique participants produces cost per participant five, with shared-cost exclusions explicitly listed. Required behaviour is preserved: Cost effectiveness chooses cost scope, reporting currency and rate basis, eligible outcome denominator, matched period and exclusions. Calculation returns the deterministic ratio with limitations and source lineage.</x:v>
      </x:c>
      <x:c r="H381" s="13" t="str">
        <x:v>Not run</x:v>
      </x:c>
      <x:c r="I381" s="13" t="str"/>
      <x:c r="J381" s="13" t="str">
        <x:v>Primary owning component C10. Execute relevant channels; record actual fixture IDs and observed evidence.</x:v>
      </x:c>
    </x:row>
    <x:row r="382" ht="77" customHeight="1">
      <x:c r="A382" s="11" t="str">
        <x:v>TC-FIN-007-02</x:v>
      </x:c>
      <x:c r="B382" s="11" t="str">
        <x:v>FR-FIN-007 / BR-FIN-007 / SC01–SC08</x:v>
      </x:c>
      <x:c r="C382" s="11" t="str">
        <x:v>P2 / R3</x:v>
      </x:c>
      <x:c r="D382" s="11" t="str">
        <x:v>Cost effectiveness validation and recovery</x:v>
      </x:c>
      <x:c r="E382" s="11" t="str">
        <x:v>Start from the same eligible fixture and retain the submitted draft; record the last committed head and receipt. Introduce the boundary or failure stated below.</x:v>
      </x:c>
      <x:c r="F382" s="11" t="str">
        <x:v>1. Exercise each independent condition in the validation contract, as separate recorded variants: Zero or incompatible denominator gives undefined. Unique participants require authorised deduplication; the ratio is not automatically labelled causal return on investment. 2. Inspect the safe error/state and authorised recovery actions. 3. Correct the condition and retry under current authority and expected revision. 4. Compare durable effects and audit history with the original baseline.</x:v>
      </x:c>
      <x:c r="G382" s="11" t="str">
        <x:v>Zero or incompatible denominator gives undefined. Unique participants require authorised deduplication; the ratio is not automatically labelled causal return on investment. Ordinary failed saves have no partial effect. Explicit bulk partial modes account for committed and unprocessed items. A retry does not duplicate the intended business effect.</x:v>
      </x:c>
      <x:c r="H382" s="13" t="str">
        <x:v>Not run</x:v>
      </x:c>
      <x:c r="I382" s="13" t="str"/>
      <x:c r="J382" s="13" t="str">
        <x:v>Expand multi-condition variants in the run record. Required negative coverage, not a claim that one assertion covers every security attack.</x:v>
      </x:c>
    </x:row>
    <x:row r="383" ht="103" customHeight="1">
      <x:c r="A383" s="11" t="str">
        <x:v>TC-FIN-008-01</x:v>
      </x:c>
      <x:c r="B383" s="11" t="str">
        <x:v>FR-FIN-008 / BR-FIN-008</x:v>
      </x:c>
      <x:c r="C383" s="11" t="str">
        <x:v>P0 / R1</x:v>
      </x:c>
      <x:c r="D383" s="11" t="str">
        <x:v>Finance permissions and audit intended outcome</x:v>
      </x:c>
      <x:c r="E383" s="11" t="str">
        <x:v>Synthetic tenant A; tenant B hidden markers; eligible actor with explicit capability, scope, purpose and current assurance. Set up the source acceptance fixture: A programme viewer opens a published budget total but cannot retrieve transaction rows or confidential clauses through drill down, API or export.</x:v>
      </x:c>
      <x:c r="F383" s="11" t="str">
        <x:v>1. Record current object revisions, policy and safe audit cursor. 2. Perform the specified interaction: Financial capability checks apply to lines, attachments, approval and export separately. A programme dashboard may display an approved summary disclosure while transaction details remain restricted. Audit records identify financial reads and mutations without logging secret values. 3. Inspect UI, canonical API read and audit/receipt for the resulting version. 4. Apply the acceptance example: A programme viewer opens a published budget total but cannot retrieve transaction rows or confidential clauses through drill down, API or export.</x:v>
      </x:c>
      <x:c r="G383" s="11" t="str">
        <x:v>A programme viewer opens a published budget total but cannot retrieve transaction rows or confidential clauses through drill down, API or export. Required behaviour is preserved: Financial capability checks apply to lines, attachments, approval and export separately. A programme dashboard may display an approved summary disclosure while transaction details remain restricted. Audit records identify financial reads and mutations without logging secret values.</x:v>
      </x:c>
      <x:c r="H383" s="13" t="str">
        <x:v>Not run</x:v>
      </x:c>
      <x:c r="I383" s="13" t="str"/>
      <x:c r="J383" s="13" t="str">
        <x:v>Primary owning component C10. Execute relevant channels; record actual fixture IDs and observed evidence.</x:v>
      </x:c>
    </x:row>
    <x:row r="384" ht="77" customHeight="1">
      <x:c r="A384" s="11" t="str">
        <x:v>TC-FIN-008-02</x:v>
      </x:c>
      <x:c r="B384" s="11" t="str">
        <x:v>FR-FIN-008 / BR-FIN-008 / SC01–SC08</x:v>
      </x:c>
      <x:c r="C384" s="11" t="str">
        <x:v>P0 / R1</x:v>
      </x:c>
      <x:c r="D384" s="11" t="str">
        <x:v>Finance permissions and audit validation and recovery</x:v>
      </x:c>
      <x:c r="E384" s="11" t="str">
        <x:v>Start from the same eligible fixture and retain the submitted draft; record the last committed head and receipt. Introduce the boundary or failure stated below.</x:v>
      </x:c>
      <x:c r="F384" s="11" t="str">
        <x:v>1. Exercise each independent condition in the validation contract, as separate recorded variants: Connection administration does not grant access to every ledger field. A finance approver cannot approve a budget revision they authored. 2. Inspect the safe error/state and authorised recovery actions. 3. Correct the condition and retry under current authority and expected revision. 4. Compare durable effects and audit history with the original baseline.</x:v>
      </x:c>
      <x:c r="G384" s="11" t="str">
        <x:v>Connection administration does not grant access to every ledger field. A finance approver cannot approve a budget revision they authored. Ordinary failed saves have no partial effect. Explicit bulk partial modes account for committed and unprocessed items. A retry does not duplicate the intended business effect.</x:v>
      </x:c>
      <x:c r="H384" s="13" t="str">
        <x:v>Not run</x:v>
      </x:c>
      <x:c r="I384" s="13" t="str"/>
      <x:c r="J384" s="13" t="str">
        <x:v>Expand multi-condition variants in the run record. Required negative coverage, not a claim that one assertion covers every security attack.</x:v>
      </x:c>
    </x:row>
    <x:row r="385" ht="103" customHeight="1">
      <x:c r="A385" s="11" t="str">
        <x:v>TC-INT-001-01</x:v>
      </x:c>
      <x:c r="B385" s="11" t="str">
        <x:v>FR-INT-001 / BR-INT-001</x:v>
      </x:c>
      <x:c r="C385" s="11" t="str">
        <x:v>P0 / R1</x:v>
      </x:c>
      <x:c r="D385" s="11" t="str">
        <x:v>Connector qualification intended outcome</x:v>
      </x:c>
      <x:c r="E385" s="11" t="str">
        <x:v>Synthetic tenant A; tenant B hidden markers; eligible actor with explicit capability, scope, purpose and current assurance. Set up the source acceptance fixture: Exercise create, update, delete, replay and attachment cases; reconcile source and destination counts and every unsupported field in a qualification manifest.</x:v>
      </x:c>
      <x:c r="F385" s="11" t="str">
        <x:v>1. Record current object revisions, policy and safe audit cursor. 2. Perform the specified interaction: Each connector has a qualification profile naming supported objects, direction, upstream version, keys, pagination, updates, deletions, attachments, limits and authoritative fields. Activation requires a passing fixture and approved mapping for the selected scope. 3. Inspect UI, canonical API read and audit/receipt for the resulting version. 4. Apply the acceptance example: Exercise create, update, delete, replay and attachment cases; reconcile source and destination counts and every unsupported field in a qualification manifest.</x:v>
      </x:c>
      <x:c r="G385" s="11" t="str">
        <x:v>Exercise create, update, delete, replay and attachment cases; reconcile source and destination counts and every unsupported field in a qualification manifest. Required behaviour is preserved: Each connector has a qualification profile naming supported objects, direction, upstream version, keys, pagination, updates, deletions, attachments, limits and authoritative fields. Activation requires a passing fixture and approved mapping for the selected scope.</x:v>
      </x:c>
      <x:c r="H385" s="13" t="str">
        <x:v>Not run</x:v>
      </x:c>
      <x:c r="I385" s="13" t="str"/>
      <x:c r="J385" s="13" t="str">
        <x:v>Primary owning component C11. Execute relevant channels; record actual fixture IDs and observed evidence.</x:v>
      </x:c>
    </x:row>
    <x:row r="386" ht="77" customHeight="1">
      <x:c r="A386" s="11" t="str">
        <x:v>TC-INT-001-02</x:v>
      </x:c>
      <x:c r="B386" s="11" t="str">
        <x:v>FR-INT-001 / BR-INT-001 / SC01–SC08</x:v>
      </x:c>
      <x:c r="C386" s="11" t="str">
        <x:v>P0 / R1</x:v>
      </x:c>
      <x:c r="D386" s="11" t="str">
        <x:v>Connector qualification validation and recovery</x:v>
      </x:c>
      <x:c r="E386" s="11" t="str">
        <x:v>Start from the same eligible fixture and retain the submitted draft; record the last committed head and receipt. Introduce the boundary or failure stated below.</x:v>
      </x:c>
      <x:c r="F386" s="11" t="str">
        <x:v>1. Exercise each independent condition in the validation contract, as separate recorded variants: Unsupported upstream capabilities are declared in the configuration screen. Source deletions are not propagated as destructive actions without the reviewed deletion contract. 2. Inspect the safe error/state and authorised recovery actions. 3. Correct the condition and retry under current authority and expected revision. 4. Compare durable effects and audit history with the original baseline.</x:v>
      </x:c>
      <x:c r="G386" s="11" t="str">
        <x:v>Unsupported upstream capabilities are declared in the configuration screen. Source deletions are not propagated as destructive actions without the reviewed deletion contract. Ordinary failed saves have no partial effect. Explicit bulk partial modes account for committed and unprocessed items. A retry does not duplicate the intended business effect.</x:v>
      </x:c>
      <x:c r="H386" s="13" t="str">
        <x:v>Not run</x:v>
      </x:c>
      <x:c r="I386" s="13" t="str"/>
      <x:c r="J386" s="13" t="str">
        <x:v>Expand multi-condition variants in the run record. Required negative coverage, not a claim that one assertion covers every security attack.</x:v>
      </x:c>
    </x:row>
    <x:row r="387" ht="90" customHeight="1">
      <x:c r="A387" s="11" t="str">
        <x:v>TC-INT-002-01</x:v>
      </x:c>
      <x:c r="B387" s="11" t="str">
        <x:v>FR-INT-002 / BR-INT-002</x:v>
      </x:c>
      <x:c r="C387" s="11" t="str">
        <x:v>P0 / R1</x:v>
      </x:c>
      <x:c r="D387" s="11" t="str">
        <x:v>Connection lifecycle intended outcome</x:v>
      </x:c>
      <x:c r="E387" s="11" t="str">
        <x:v>Synthetic tenant A; tenant B hidden markers; eligible actor with explicit capability, scope, purpose and current assurance. Set up the source acceptance fixture: Revoke upstream authorisation while a run is queued; the run reports credential unavailable and does not continue under another person's token.</x:v>
      </x:c>
      <x:c r="F387" s="11" t="str">
        <x:v>1. Record current object revisions, policy and safe audit cursor. 2. Perform the specified interaction: The connection owner enters credentials through a protected flow and selects bounded scope. Testing uses a minimal sample and displays safe identity and permission results. Activation records expiry, cadence, mapping and responsible backup owner. 3. Inspect UI, canonical API read and audit/receipt for the resulting version. 4. Apply the acceptance example: Revoke upstream authorisation while a run is queued; the run reports credential unavailable and does not continue under another person's token.</x:v>
      </x:c>
      <x:c r="G387" s="11" t="str">
        <x:v>Revoke upstream authorisation while a run is queued; the run reports credential unavailable and does not continue under another person's token. Required behaviour is preserved: The connection owner enters credentials through a protected flow and selects bounded scope. Testing uses a minimal sample and displays safe identity and permission results. Activation records expiry, cadence, mapping and responsible backup owner.</x:v>
      </x:c>
      <x:c r="H387" s="13" t="str">
        <x:v>Not run</x:v>
      </x:c>
      <x:c r="I387" s="13" t="str"/>
      <x:c r="J387" s="13" t="str">
        <x:v>Primary owning component C11. Execute relevant channels; record actual fixture IDs and observed evidence.</x:v>
      </x:c>
    </x:row>
    <x:row r="388" ht="77" customHeight="1">
      <x:c r="A388" s="11" t="str">
        <x:v>TC-INT-002-02</x:v>
      </x:c>
      <x:c r="B388" s="11" t="str">
        <x:v>FR-INT-002 / BR-INT-002 / SC01–SC08</x:v>
      </x:c>
      <x:c r="C388" s="11" t="str">
        <x:v>P0 / R1</x:v>
      </x:c>
      <x:c r="D388" s="11" t="str">
        <x:v>Connection lifecycle validation and recovery</x:v>
      </x:c>
      <x:c r="E388" s="11" t="str">
        <x:v>Start from the same eligible fixture and retain the submitted draft; record the last committed head and receipt. Introduce the boundary or failure stated below.</x:v>
      </x:c>
      <x:c r="F388" s="11" t="str">
        <x:v>1. Exercise each independent condition in the validation contract, as separate recorded variants: Secrets are write only after entry. Revocation stops future jobs and invalidates old credentials; no hidden fallback account is used. 2. Inspect the safe error/state and authorised recovery actions. 3. Correct the condition and retry under current authority and expected revision. 4. Compare durable effects and audit history with the original baseline.</x:v>
      </x:c>
      <x:c r="G388" s="11" t="str">
        <x:v>Secrets are write only after entry. Revocation stops future jobs and invalidates old credentials; no hidden fallback account is used. Ordinary failed saves have no partial effect. Explicit bulk partial modes account for committed and unprocessed items. A retry does not duplicate the intended business effect.</x:v>
      </x:c>
      <x:c r="H388" s="13" t="str">
        <x:v>Not run</x:v>
      </x:c>
      <x:c r="I388" s="13" t="str"/>
      <x:c r="J388" s="13" t="str">
        <x:v>Expand multi-condition variants in the run record. Required negative coverage, not a claim that one assertion covers every security attack.</x:v>
      </x:c>
    </x:row>
    <x:row r="389" ht="90" customHeight="1">
      <x:c r="A389" s="11" t="str">
        <x:v>TC-INT-003-01</x:v>
      </x:c>
      <x:c r="B389" s="11" t="str">
        <x:v>FR-INT-003 / BR-INT-003</x:v>
      </x:c>
      <x:c r="C389" s="11" t="str">
        <x:v>P0 / R1</x:v>
      </x:c>
      <x:c r="D389" s="11" t="str">
        <x:v>Reliable job execution intended outcome</x:v>
      </x:c>
      <x:c r="E389" s="11" t="str">
        <x:v>Synthetic tenant A; tenant B hidden markers; eligible actor with explicit capability, scope, purpose and current assurance. Set up the source acceptance fixture: Interrupt after 60 of 100 records and resume; the first 60 are recognised and exactly 40 remaining intended effects occur.</x:v>
      </x:c>
      <x:c r="F389" s="11" t="str">
        <x:v>1. Record current object revisions, policy and safe audit cursor. 2. Perform the specified interaction: A run has source checkpoint, mapping version, item identities and attempts. Transient failures use bounded retries; permanent schema or policy failures pause. Poison items are quarantined while permitted partial processing continues and reconciles outcomes. 3. Inspect UI, canonical API read and audit/receipt for the resulting version. 4. Apply the acceptance example: Interrupt after 60 of 100 records and resume; the first 60 are recognised and exactly 40 remaining intended effects occur.</x:v>
      </x:c>
      <x:c r="G389" s="11" t="str">
        <x:v>Interrupt after 60 of 100 records and resume; the first 60 are recognised and exactly 40 remaining intended effects occur. Required behaviour is preserved: A run has source checkpoint, mapping version, item identities and attempts. Transient failures use bounded retries; permanent schema or policy failures pause. Poison items are quarantined while permitted partial processing continues and reconciles outcomes.</x:v>
      </x:c>
      <x:c r="H389" s="13" t="str">
        <x:v>Not run</x:v>
      </x:c>
      <x:c r="I389" s="13" t="str"/>
      <x:c r="J389" s="13" t="str">
        <x:v>Primary owning component C11. Execute relevant channels; record actual fixture IDs and observed evidence.</x:v>
      </x:c>
    </x:row>
    <x:row r="390" ht="90" customHeight="1">
      <x:c r="A390" s="11" t="str">
        <x:v>TC-INT-003-02</x:v>
      </x:c>
      <x:c r="B390" s="11" t="str">
        <x:v>FR-INT-003 / BR-INT-003 / SC01–SC08</x:v>
      </x:c>
      <x:c r="C390" s="11" t="str">
        <x:v>P0 / R1</x:v>
      </x:c>
      <x:c r="D390" s="11" t="str">
        <x:v>Reliable job execution validation and recovery</x:v>
      </x:c>
      <x:c r="E390" s="11" t="str">
        <x:v>Start from the same eligible fixture and retain the submitted draft; record the last committed head and receipt. Introduce the boundary or failure stated below.</x:v>
      </x:c>
      <x:c r="F390" s="11" t="str">
        <x:v>1. Exercise each independent condition in the validation contract, as separate recorded variants: Do not advance a committed checkpoint past unapplied required items without a recoverable exception manifest. Default transient retry schedule is one, five, fifteen and sixty minutes, then manual review. 2. Inspect the safe error/state and authorised recovery actions. 3. Correct the condition and retry under current authority and expected revision. 4. Compare durable effects and audit history with the original baseline.</x:v>
      </x:c>
      <x:c r="G390" s="11" t="str">
        <x:v>Do not advance a committed checkpoint past unapplied required items without a recoverable exception manifest. Default transient retry schedule is one, five, fifteen and sixty minutes, then manual review. Ordinary failed saves have no partial effect. Explicit bulk partial modes account for committed and unprocessed items. A retry does not duplicate the intended business effect.</x:v>
      </x:c>
      <x:c r="H390" s="13" t="str">
        <x:v>Not run</x:v>
      </x:c>
      <x:c r="I390" s="13" t="str"/>
      <x:c r="J390" s="13" t="str">
        <x:v>Expand multi-condition variants in the run record. Required negative coverage, not a claim that one assertion covers every security attack.</x:v>
      </x:c>
    </x:row>
    <x:row r="391" ht="90" customHeight="1">
      <x:c r="A391" s="11" t="str">
        <x:v>TC-INT-004-01</x:v>
      </x:c>
      <x:c r="B391" s="11" t="str">
        <x:v>FR-INT-004 / BR-INT-004</x:v>
      </x:c>
      <x:c r="C391" s="11" t="str">
        <x:v>P1 / R1</x:v>
      </x:c>
      <x:c r="D391" s="11" t="str">
        <x:v>API completeness and consistency intended outcome</x:v>
      </x:c>
      <x:c r="E391" s="11" t="str">
        <x:v>Synthetic tenant A; tenant B hidden markers; eligible actor with explicit capability, scope, purpose and current assurance. Set up the source acceptance fixture: Create a draft indicator through the API, submit it and attempt direct approval as its author; the same independence rule blocks it.</x:v>
      </x:c>
      <x:c r="F391" s="11" t="str">
        <x:v>1. Record current object revisions, policy and safe audit cursor. 2. Perform the specified interaction: Business APIs expose the resource and command catalogue in the interface section. Responses include stable ID, revision, business state and permitted metadata. Lists support stable pagination, documented filters and explicit projection of allowed fields. 3. Inspect UI, canonical API read and audit/receipt for the resulting version. 4. Apply the acceptance example: Create a draft indicator through the API, submit it and attempt direct approval as its author; the same independence rule blocks it.</x:v>
      </x:c>
      <x:c r="G391" s="11" t="str">
        <x:v>Create a draft indicator through the API, submit it and attempt direct approval as its author; the same independence rule blocks it. Required behaviour is preserved: Business APIs expose the resource and command catalogue in the interface section. Responses include stable ID, revision, business state and permitted metadata. Lists support stable pagination, documented filters and explicit projection of allowed fields.</x:v>
      </x:c>
      <x:c r="H391" s="13" t="str">
        <x:v>Not run</x:v>
      </x:c>
      <x:c r="I391" s="13" t="str"/>
      <x:c r="J391" s="13" t="str">
        <x:v>Primary owning component C11. Execute relevant channels; record actual fixture IDs and observed evidence.</x:v>
      </x:c>
    </x:row>
    <x:row r="392" ht="77" customHeight="1">
      <x:c r="A392" s="11" t="str">
        <x:v>TC-INT-004-02</x:v>
      </x:c>
      <x:c r="B392" s="11" t="str">
        <x:v>FR-INT-004 / BR-INT-004 / SC01–SC08</x:v>
      </x:c>
      <x:c r="C392" s="11" t="str">
        <x:v>P1 / R1</x:v>
      </x:c>
      <x:c r="D392" s="11" t="str">
        <x:v>API completeness and consistency validation and recovery</x:v>
      </x:c>
      <x:c r="E392" s="11" t="str">
        <x:v>Start from the same eligible fixture and retain the submitted draft; record the last committed head and receipt. Introduce the boundary or failure stated below.</x:v>
      </x:c>
      <x:c r="F392" s="11" t="str">
        <x:v>1. Exercise each independent condition in the validation contract, as separate recorded variants: The API cannot bypass interface validation, hidden fields, workflow or publication checks. Bulk requests return safe per item outcomes and no cross tenant existence signals. 2. Inspect the safe error/state and authorised recovery actions. 3. Correct the condition and retry under current authority and expected revision. 4. Compare durable effects and audit history with the original baseline.</x:v>
      </x:c>
      <x:c r="G392" s="11" t="str">
        <x:v>The API cannot bypass interface validation, hidden fields, workflow or publication checks. Bulk requests return safe per item outcomes and no cross tenant existence signals. Ordinary failed saves have no partial effect. Explicit bulk partial modes account for committed and unprocessed items. A retry does not duplicate the intended business effect.</x:v>
      </x:c>
      <x:c r="H392" s="13" t="str">
        <x:v>Not run</x:v>
      </x:c>
      <x:c r="I392" s="13" t="str"/>
      <x:c r="J392" s="13" t="str">
        <x:v>Expand multi-condition variants in the run record. Required negative coverage, not a claim that one assertion covers every security attack.</x:v>
      </x:c>
    </x:row>
    <x:row r="393" ht="103" customHeight="1">
      <x:c r="A393" s="11" t="str">
        <x:v>TC-INT-005-01</x:v>
      </x:c>
      <x:c r="B393" s="11" t="str">
        <x:v>FR-INT-005 / BR-INT-005</x:v>
      </x:c>
      <x:c r="C393" s="11" t="str">
        <x:v>P1 / R1</x:v>
      </x:c>
      <x:c r="D393" s="11" t="str">
        <x:v>API version and compatibility intended outcome</x:v>
      </x:c>
      <x:c r="E393" s="11" t="str">
        <x:v>Synthetic tenant A; tenant B hidden markers; eligible actor with explicit capability, scope, purpose and current assurance. Set up the source acceptance fixture: Run a supported prior client against a candidate release and verify its saved queries, validation semantics and error codes still behave as documented.</x:v>
      </x:c>
      <x:c r="F393" s="11" t="str">
        <x:v>1. Record current object revisions, policy and safe audit cursor. 2. Perform the specified interaction: A contract version identifies fields, enum semantics, error codes and compatible evolution rules. Deprecation notices include effective date, migration guide and at least twelve months of overlap unless a documented security emergency requires an exception. 3. Inspect UI, canonical API read and audit/receipt for the resulting version. 4. Apply the acceptance example: Run a supported prior client against a candidate release and verify its saved queries, validation semantics and error codes still behave as documented.</x:v>
      </x:c>
      <x:c r="G393" s="11" t="str">
        <x:v>Run a supported prior client against a candidate release and verify its saved queries, validation semantics and error codes still behave as documented. Required behaviour is preserved: A contract version identifies fields, enum semantics, error codes and compatible evolution rules. Deprecation notices include effective date, migration guide and at least twelve months of overlap unless a documented security emergency requires an exception.</x:v>
      </x:c>
      <x:c r="H393" s="13" t="str">
        <x:v>Not run</x:v>
      </x:c>
      <x:c r="I393" s="13" t="str"/>
      <x:c r="J393" s="13" t="str">
        <x:v>Primary owning component C11. Execute relevant channels; record actual fixture IDs and observed evidence.</x:v>
      </x:c>
    </x:row>
    <x:row r="394" ht="77" customHeight="1">
      <x:c r="A394" s="11" t="str">
        <x:v>TC-INT-005-02</x:v>
      </x:c>
      <x:c r="B394" s="11" t="str">
        <x:v>FR-INT-005 / BR-INT-005 / SC01–SC08</x:v>
      </x:c>
      <x:c r="C394" s="11" t="str">
        <x:v>P1 / R1</x:v>
      </x:c>
      <x:c r="D394" s="11" t="str">
        <x:v>API version and compatibility validation and recovery</x:v>
      </x:c>
      <x:c r="E394" s="11" t="str">
        <x:v>Start from the same eligible fixture and retain the submitted draft; record the last committed head and receipt. Introduce the boundary or failure stated below.</x:v>
      </x:c>
      <x:c r="F394" s="11" t="str">
        <x:v>1. Exercise each independent condition in the validation contract, as separate recorded variants: An additive optional field must not change existing field meaning. Removed enum values or changed units are breaking changes, even if transport shape stays the same. 2. Inspect the safe error/state and authorised recovery actions. 3. Correct the condition and retry under current authority and expected revision. 4. Compare durable effects and audit history with the original baseline.</x:v>
      </x:c>
      <x:c r="G394" s="11" t="str">
        <x:v>An additive optional field must not change existing field meaning. Removed enum values or changed units are breaking changes, even if transport shape stays the same. Ordinary failed saves have no partial effect. Explicit bulk partial modes account for committed and unprocessed items. A retry does not duplicate the intended business effect.</x:v>
      </x:c>
      <x:c r="H394" s="13" t="str">
        <x:v>Not run</x:v>
      </x:c>
      <x:c r="I394" s="13" t="str"/>
      <x:c r="J394" s="13" t="str">
        <x:v>Expand multi-condition variants in the run record. Required negative coverage, not a claim that one assertion covers every security attack.</x:v>
      </x:c>
    </x:row>
    <x:row r="395" ht="103" customHeight="1">
      <x:c r="A395" s="11" t="str">
        <x:v>TC-INT-006-01</x:v>
      </x:c>
      <x:c r="B395" s="11" t="str">
        <x:v>FR-INT-006 / BR-INT-006</x:v>
      </x:c>
      <x:c r="C395" s="11" t="str">
        <x:v>P1 / R2</x:v>
      </x:c>
      <x:c r="D395" s="11" t="str">
        <x:v>Webhook delivery intended outcome</x:v>
      </x:c>
      <x:c r="E395" s="11" t="str">
        <x:v>Synthetic tenant A; tenant B hidden markers; eligible actor with explicit capability, scope, purpose and current assurance. Set up the source acceptance fixture: Deliver events v2 then v1 twice; a qualified consumer records one effect per event and rejects invalid authentication without downgrading resource state.</x:v>
      </x:c>
      <x:c r="F395" s="11" t="str">
        <x:v>1. Record current object revisions, policy and safe audit cursor. 2. Perform the specified interaction: Webhook configuration verifies destination control and permitted event types. Deliveries carry event ID, occurrence time, resource version and authenticated integrity context. Consumers receive explicit at-least-once and possible out-of-order semantics; delivery attempts are visible. 3. Inspect UI, canonical API read and audit/receipt for the resulting version. 4. Apply the acceptance example: Deliver events v2 then v1 twice; a qualified consumer records one effect per event and rejects invalid authentication without downgrading resource state.</x:v>
      </x:c>
      <x:c r="G395" s="11" t="str">
        <x:v>Deliver events v2 then v1 twice; a qualified consumer records one effect per event and rejects invalid authentication without downgrading resource state. Required behaviour is preserved: Webhook configuration verifies destination control and permitted event types. Deliveries carry event ID, occurrence time, resource version and authenticated integrity context. Consumers receive explicit at-least-once and possible out-of-order semantics; delivery attempts are visible.</x:v>
      </x:c>
      <x:c r="H395" s="13" t="str">
        <x:v>Not run</x:v>
      </x:c>
      <x:c r="I395" s="13" t="str"/>
      <x:c r="J395" s="13" t="str">
        <x:v>Primary owning component C11. Execute relevant channels; record actual fixture IDs and observed evidence.</x:v>
      </x:c>
    </x:row>
    <x:row r="396" ht="77" customHeight="1">
      <x:c r="A396" s="11" t="str">
        <x:v>TC-INT-006-02</x:v>
      </x:c>
      <x:c r="B396" s="11" t="str">
        <x:v>FR-INT-006 / BR-INT-006 / SC01–SC08</x:v>
      </x:c>
      <x:c r="C396" s="11" t="str">
        <x:v>P1 / R2</x:v>
      </x:c>
      <x:c r="D396" s="11" t="str">
        <x:v>Webhook delivery validation and recovery</x:v>
      </x:c>
      <x:c r="E396" s="11" t="str">
        <x:v>Start from the same eligible fixture and retain the submitted draft; record the last committed head and receipt. Introduce the boundary or failure stated below.</x:v>
      </x:c>
      <x:c r="F396" s="11" t="str">
        <x:v>1. Exercise each independent condition in the validation contract, as separate recorded variants: No sensitive unrestricted payload by default; consumers fetch details through current scope. Revocation stops retries. Destinations and redirects undergo the same outbound policy checks. 2. Inspect the safe error/state and authorised recovery actions. 3. Correct the condition and retry under current authority and expected revision. 4. Compare durable effects and audit history with the original baseline.</x:v>
      </x:c>
      <x:c r="G396" s="11" t="str">
        <x:v>No sensitive unrestricted payload by default; consumers fetch details through current scope. Revocation stops retries. Destinations and redirects undergo the same outbound policy checks. Ordinary failed saves have no partial effect. Explicit bulk partial modes account for committed and unprocessed items. A retry does not duplicate the intended business effect.</x:v>
      </x:c>
      <x:c r="H396" s="13" t="str">
        <x:v>Not run</x:v>
      </x:c>
      <x:c r="I396" s="13" t="str"/>
      <x:c r="J396" s="13" t="str">
        <x:v>Expand multi-condition variants in the run record. Required negative coverage, not a claim that one assertion covers every security attack.</x:v>
      </x:c>
    </x:row>
    <x:row r="397" ht="103" customHeight="1">
      <x:c r="A397" s="11" t="str">
        <x:v>TC-INT-007-01</x:v>
      </x:c>
      <x:c r="B397" s="11" t="str">
        <x:v>FR-INT-007 / BR-INT-007</x:v>
      </x:c>
      <x:c r="C397" s="11" t="str">
        <x:v>P0 / R1</x:v>
      </x:c>
      <x:c r="D397" s="11" t="str">
        <x:v>Limits and tenant fairness intended outcome</x:v>
      </x:c>
      <x:c r="E397" s="11" t="str">
        <x:v>Synthetic tenant A; tenant B hidden markers; eligible actor with explicit capability, scope, purpose and current assurance. Set up the source acceptance fixture: Exceed one tenant's bulk queue and verify unrelated tenants' record saves and approvals continue within their qualified targets.</x:v>
      </x:c>
      <x:c r="F397" s="11" t="str">
        <x:v>1. Record current object revisions, policy and safe audit cursor. 2. Perform the specified interaction: Limits are displayed per tenant, credential and job class before activation. When an admission limit is exceeded, return LIMIT_EXCEEDED with safe retry guidance. Approved jobs show queue position class and cancellation; interactive approvals retain their own capacity protection. 3. Inspect UI, canonical API read and audit/receipt for the resulting version. 4. Apply the acceptance example: Exceed one tenant's bulk queue and verify unrelated tenants' record saves and approvals continue within their qualified targets.</x:v>
      </x:c>
      <x:c r="G397" s="11" t="str">
        <x:v>Exceed one tenant's bulk queue and verify unrelated tenants' record saves and approvals continue within their qualified targets. Required behaviour is preserved: Limits are displayed per tenant, credential and job class before activation. When an admission limit is exceeded, return LIMIT_EXCEEDED with safe retry guidance. Approved jobs show queue position class and cancellation; interactive approvals retain their own capacity protection.</x:v>
      </x:c>
      <x:c r="H397" s="13" t="str">
        <x:v>Not run</x:v>
      </x:c>
      <x:c r="I397" s="13" t="str"/>
      <x:c r="J397" s="13" t="str">
        <x:v>Primary owning component C11. Execute relevant channels; record actual fixture IDs and observed evidence.</x:v>
      </x:c>
    </x:row>
    <x:row r="398" ht="77" customHeight="1">
      <x:c r="A398" s="11" t="str">
        <x:v>TC-INT-007-02</x:v>
      </x:c>
      <x:c r="B398" s="11" t="str">
        <x:v>FR-INT-007 / BR-INT-007 / SC01–SC08</x:v>
      </x:c>
      <x:c r="C398" s="11" t="str">
        <x:v>P0 / R1</x:v>
      </x:c>
      <x:c r="D398" s="11" t="str">
        <x:v>Limits and tenant fairness validation and recovery</x:v>
      </x:c>
      <x:c r="E398" s="11" t="str">
        <x:v>Start from the same eligible fixture and retain the submitted draft; record the last committed head and receipt. Introduce the boundary or failure stated below.</x:v>
      </x:c>
      <x:c r="F398" s="11" t="str">
        <x:v>1. Exercise each independent condition in the validation contract, as separate recorded variants: A noisy connector cannot consume unlimited pending jobs. Retrying earlier than the indicated window cannot expand its quota or starve other tenants. 2. Inspect the safe error/state and authorised recovery actions. 3. Correct the condition and retry under current authority and expected revision. 4. Compare durable effects and audit history with the original baseline.</x:v>
      </x:c>
      <x:c r="G398" s="11" t="str">
        <x:v>A noisy connector cannot consume unlimited pending jobs. Retrying earlier than the indicated window cannot expand its quota or starve other tenants. Ordinary failed saves have no partial effect. Explicit bulk partial modes account for committed and unprocessed items. A retry does not duplicate the intended business effect.</x:v>
      </x:c>
      <x:c r="H398" s="13" t="str">
        <x:v>Not run</x:v>
      </x:c>
      <x:c r="I398" s="13" t="str"/>
      <x:c r="J398" s="13" t="str">
        <x:v>Expand multi-condition variants in the run record. Required negative coverage, not a claim that one assertion covers every security attack.</x:v>
      </x:c>
    </x:row>
    <x:row r="399" ht="90" customHeight="1">
      <x:c r="A399" s="11" t="str">
        <x:v>TC-INT-008-01</x:v>
      </x:c>
      <x:c r="B399" s="11" t="str">
        <x:v>FR-INT-008 / BR-INT-008</x:v>
      </x:c>
      <x:c r="C399" s="11" t="str">
        <x:v>P1 / R2</x:v>
      </x:c>
      <x:c r="D399" s="11" t="str">
        <x:v>Import export standards intended outcome</x:v>
      </x:c>
      <x:c r="E399" s="11" t="str">
        <x:v>Synthetic tenant A; tenant B hidden markers; eligible actor with explicit capability, scope, purpose and current assurance. Set up the source acceptance fixture: Round trip a multilingual record containing currency, unit and geography codes and account for every intentionally transformed field.</x:v>
      </x:c>
      <x:c r="F399" s="11" t="str">
        <x:v>1. Record current object revisions, policy and safe audit cursor. 2. Perform the specified interaction: An exchange mapping identifies standard version, code lists, units, locale, date representation and information loss. Import and export validate against that mapping and include a manifest for transformed or unsupported fields. 3. Inspect UI, canonical API read and audit/receipt for the resulting version. 4. Apply the acceptance example: Round trip a multilingual record containing currency, unit and geography codes and account for every intentionally transformed field.</x:v>
      </x:c>
      <x:c r="G399" s="11" t="str">
        <x:v>Round trip a multilingual record containing currency, unit and geography codes and account for every intentionally transformed field. Required behaviour is preserved: An exchange mapping identifies standard version, code lists, units, locale, date representation and information loss. Import and export validate against that mapping and include a manifest for transformed or unsupported fields.</x:v>
      </x:c>
      <x:c r="H399" s="13" t="str">
        <x:v>Not run</x:v>
      </x:c>
      <x:c r="I399" s="13" t="str"/>
      <x:c r="J399" s="13" t="str">
        <x:v>Primary owning component C11. Execute relevant channels; record actual fixture IDs and observed evidence.</x:v>
      </x:c>
    </x:row>
    <x:row r="400" ht="77" customHeight="1">
      <x:c r="A400" s="11" t="str">
        <x:v>TC-INT-008-02</x:v>
      </x:c>
      <x:c r="B400" s="11" t="str">
        <x:v>FR-INT-008 / BR-INT-008 / SC01–SC08</x:v>
      </x:c>
      <x:c r="C400" s="11" t="str">
        <x:v>P1 / R2</x:v>
      </x:c>
      <x:c r="D400" s="11" t="str">
        <x:v>Import export standards validation and recovery</x:v>
      </x:c>
      <x:c r="E400" s="11" t="str">
        <x:v>Start from the same eligible fixture and retain the submitted draft; record the last committed head and receipt. Introduce the boundary or failure stated below.</x:v>
      </x:c>
      <x:c r="F400" s="11" t="str">
        <x:v>1. Exercise each independent condition in the validation contract, as separate recorded variants: Codes are stable and separate from display translations. An unknown code is quarantined or rejected, not automatically matched to a similar label. 2. Inspect the safe error/state and authorised recovery actions. 3. Correct the condition and retry under current authority and expected revision. 4. Compare durable effects and audit history with the original baseline.</x:v>
      </x:c>
      <x:c r="G400" s="11" t="str">
        <x:v>Codes are stable and separate from display translations. An unknown code is quarantined or rejected, not automatically matched to a similar label. Ordinary failed saves have no partial effect. Explicit bulk partial modes account for committed and unprocessed items. A retry does not duplicate the intended business effect.</x:v>
      </x:c>
      <x:c r="H400" s="13" t="str">
        <x:v>Not run</x:v>
      </x:c>
      <x:c r="I400" s="13" t="str"/>
      <x:c r="J400" s="13" t="str">
        <x:v>Expand multi-condition variants in the run record. Required negative coverage, not a claim that one assertion covers every security attack.</x:v>
      </x:c>
    </x:row>
    <x:row r="401" ht="90" customHeight="1">
      <x:c r="A401" s="11" t="str">
        <x:v>TC-INT-009-01</x:v>
      </x:c>
      <x:c r="B401" s="11" t="str">
        <x:v>FR-INT-009 / BR-INT-009</x:v>
      </x:c>
      <x:c r="C401" s="11" t="str">
        <x:v>P1 / R1</x:v>
      </x:c>
      <x:c r="D401" s="11" t="str">
        <x:v>Integration diagnostics intended outcome</x:v>
      </x:c>
      <x:c r="E401" s="11" t="str">
        <x:v>Synthetic tenant A; tenant B hidden markers; eligible actor with explicit capability, scope, purpose and current assurance. Set up the source acceptance fixture: Diagnose a renamed column, publish the mapping fix and replay only the failed records while retaining the original failure manifest.</x:v>
      </x:c>
      <x:c r="F401" s="11" t="str">
        <x:v>1. Record current object revisions, policy and safe audit cursor. 2. Perform the specified interaction: Connection health displays last contact, last successful validated run, backlog, source drift and per item counts. Error details use safe field references and correlation IDs. A bounded diagnostic sample requires appropriate content rights. 3. Inspect UI, canonical API read and audit/receipt for the resulting version. 4. Apply the acceptance example: Diagnose a renamed column, publish the mapping fix and replay only the failed records while retaining the original failure manifest.</x:v>
      </x:c>
      <x:c r="G401" s="11" t="str">
        <x:v>Diagnose a renamed column, publish the mapping fix and replay only the failed records while retaining the original failure manifest. Required behaviour is preserved: Connection health displays last contact, last successful validated run, backlog, source drift and per item counts. Error details use safe field references and correlation IDs. A bounded diagnostic sample requires appropriate content rights.</x:v>
      </x:c>
      <x:c r="H401" s="13" t="str">
        <x:v>Not run</x:v>
      </x:c>
      <x:c r="I401" s="13" t="str"/>
      <x:c r="J401" s="13" t="str">
        <x:v>Primary owning component C11. Execute relevant channels; record actual fixture IDs and observed evidence.</x:v>
      </x:c>
    </x:row>
    <x:row r="402" ht="77" customHeight="1">
      <x:c r="A402" s="11" t="str">
        <x:v>TC-INT-009-02</x:v>
      </x:c>
      <x:c r="B402" s="11" t="str">
        <x:v>FR-INT-009 / BR-INT-009 / SC01–SC08</x:v>
      </x:c>
      <x:c r="C402" s="11" t="str">
        <x:v>P1 / R1</x:v>
      </x:c>
      <x:c r="D402" s="11" t="str">
        <x:v>Integration diagnostics validation and recovery</x:v>
      </x:c>
      <x:c r="E402" s="11" t="str">
        <x:v>Start from the same eligible fixture and retain the submitted draft; record the last committed head and receipt. Introduce the boundary or failure stated below.</x:v>
      </x:c>
      <x:c r="F402" s="11" t="str">
        <x:v>1. Exercise each independent condition in the validation contract, as separate recorded variants: Never display tokens, unrestricted raw payloads or another tenant's source identity. Retrying requires the reviewed mapping version that resolved the issue. 2. Inspect the safe error/state and authorised recovery actions. 3. Correct the condition and retry under current authority and expected revision. 4. Compare durable effects and audit history with the original baseline.</x:v>
      </x:c>
      <x:c r="G402" s="11" t="str">
        <x:v>Never display tokens, unrestricted raw payloads or another tenant's source identity. Retrying requires the reviewed mapping version that resolved the issue. Ordinary failed saves have no partial effect. Explicit bulk partial modes account for committed and unprocessed items. A retry does not duplicate the intended business effect.</x:v>
      </x:c>
      <x:c r="H402" s="13" t="str">
        <x:v>Not run</x:v>
      </x:c>
      <x:c r="I402" s="13" t="str"/>
      <x:c r="J402" s="13" t="str">
        <x:v>Expand multi-condition variants in the run record. Required negative coverage, not a claim that one assertion covers every security attack.</x:v>
      </x:c>
    </x:row>
    <x:row r="403" ht="90" customHeight="1">
      <x:c r="A403" s="11" t="str">
        <x:v>TC-INT-010-01</x:v>
      </x:c>
      <x:c r="B403" s="11" t="str">
        <x:v>FR-INT-010 / BR-INT-010</x:v>
      </x:c>
      <x:c r="C403" s="11" t="str">
        <x:v>P1 / R2</x:v>
      </x:c>
      <x:c r="D403" s="11" t="str">
        <x:v>Development and testing access intended outcome</x:v>
      </x:c>
      <x:c r="E403" s="11" t="str">
        <x:v>Synthetic tenant A; tenant B hidden markers; eligible actor with explicit capability, scope, purpose and current assurance. Set up the source acceptance fixture: Run a connector test end to end and demonstrate its credential cannot enumerate or mutate a production project.</x:v>
      </x:c>
      <x:c r="F403" s="11" t="str">
        <x:v>1. Record current object revisions, policy and safe audit cursor. 2. Perform the specified interaction: A developer workspace provides versioned sample contracts, synthetic fixtures and test credentials with isolated tenant scope. Qualification exercises full update, retry and failure behaviour before a production connection is eligible. 3. Inspect UI, canonical API read and audit/receipt for the resulting version. 4. Apply the acceptance example: Run a connector test end to end and demonstrate its credential cannot enumerate or mutate a production project.</x:v>
      </x:c>
      <x:c r="G403" s="11" t="str">
        <x:v>Run a connector test end to end and demonstrate its credential cannot enumerate or mutate a production project. Required behaviour is preserved: A developer workspace provides versioned sample contracts, synthetic fixtures and test credentials with isolated tenant scope. Qualification exercises full update, retry and failure behaviour before a production connection is eligible.</x:v>
      </x:c>
      <x:c r="H403" s="13" t="str">
        <x:v>Not run</x:v>
      </x:c>
      <x:c r="I403" s="13" t="str"/>
      <x:c r="J403" s="13" t="str">
        <x:v>Primary owning component C11. Execute relevant channels; record actual fixture IDs and observed evidence.</x:v>
      </x:c>
    </x:row>
    <x:row r="404" ht="77" customHeight="1">
      <x:c r="A404" s="11" t="str">
        <x:v>TC-INT-010-02</x:v>
      </x:c>
      <x:c r="B404" s="11" t="str">
        <x:v>FR-INT-010 / BR-INT-010 / SC01–SC08</x:v>
      </x:c>
      <x:c r="C404" s="11" t="str">
        <x:v>P1 / R2</x:v>
      </x:c>
      <x:c r="D404" s="11" t="str">
        <x:v>Development and testing access validation and recovery</x:v>
      </x:c>
      <x:c r="E404" s="11" t="str">
        <x:v>Start from the same eligible fixture and retain the submitted draft; record the last committed head and receipt. Introduce the boundary or failure stated below.</x:v>
      </x:c>
      <x:c r="F404" s="11" t="str">
        <x:v>1. Exercise each independent condition in the validation contract, as separate recorded variants: Production secrets and personal data are excluded by default. Debug payload access is a separate time bounded support grant, not a developer entitlement. 2. Inspect the safe error/state and authorised recovery actions. 3. Correct the condition and retry under current authority and expected revision. 4. Compare durable effects and audit history with the original baseline.</x:v>
      </x:c>
      <x:c r="G404" s="11" t="str">
        <x:v>Production secrets and personal data are excluded by default. Debug payload access is a separate time bounded support grant, not a developer entitlement. Ordinary failed saves have no partial effect. Explicit bulk partial modes account for committed and unprocessed items. A retry does not duplicate the intended business effect.</x:v>
      </x:c>
      <x:c r="H404" s="13" t="str">
        <x:v>Not run</x:v>
      </x:c>
      <x:c r="I404" s="13" t="str"/>
      <x:c r="J404" s="13" t="str">
        <x:v>Expand multi-condition variants in the run record. Required negative coverage, not a claim that one assertion covers every security attack.</x:v>
      </x:c>
    </x:row>
    <x:row r="405" ht="90" customHeight="1">
      <x:c r="A405" s="11" t="str">
        <x:v>TC-AI-001-01</x:v>
      </x:c>
      <x:c r="B405" s="11" t="str">
        <x:v>FR-AI-001 / BR-AI-001</x:v>
      </x:c>
      <x:c r="C405" s="11" t="str">
        <x:v>P0 / R1</x:v>
      </x:c>
      <x:c r="D405" s="11" t="str">
        <x:v>Explicit enablement and policy intended outcome</x:v>
      </x:c>
      <x:c r="E405" s="11" t="str">
        <x:v>Synthetic tenant A; tenant B hidden markers; eligible actor with explicit capability, scope, purpose and current assurance. Set up the source acceptance fixture: Disable AI for a tenant and complete programme setup, period close and report generation using deterministic and manual workflows.</x:v>
      </x:c>
      <x:c r="F405" s="11" t="str">
        <x:v>1. Record current object revisions, policy and safe audit cursor. 2. Perform the specified interaction: The administrator enables named use cases with allowed data classes, destinations, language coverage, budget and required review. The UI shows the active policy before a request. Disabled capabilities make no provider call and preserve the manual path. 3. Inspect UI, canonical API read and audit/receipt for the resulting version. 4. Apply the acceptance example: Disable AI for a tenant and complete programme setup, period close and report generation using deterministic and manual workflows.</x:v>
      </x:c>
      <x:c r="G405" s="11" t="str">
        <x:v>Disable AI for a tenant and complete programme setup, period close and report generation using deterministic and manual workflows. Required behaviour is preserved: The administrator enables named use cases with allowed data classes, destinations, language coverage, budget and required review. The UI shows the active policy before a request. Disabled capabilities make no provider call and preserve the manual path.</x:v>
      </x:c>
      <x:c r="H405" s="13" t="str">
        <x:v>Not run</x:v>
      </x:c>
      <x:c r="I405" s="13" t="str"/>
      <x:c r="J405" s="13" t="str">
        <x:v>Primary owning component C12. Execute relevant channels; record actual fixture IDs and observed evidence.</x:v>
      </x:c>
    </x:row>
    <x:row r="406" ht="90" customHeight="1">
      <x:c r="A406" s="11" t="str">
        <x:v>TC-AI-001-02</x:v>
      </x:c>
      <x:c r="B406" s="11" t="str">
        <x:v>FR-AI-001 / BR-AI-001 / SC01–SC08</x:v>
      </x:c>
      <x:c r="C406" s="11" t="str">
        <x:v>P0 / R1</x:v>
      </x:c>
      <x:c r="D406" s="11" t="str">
        <x:v>Explicit enablement and policy validation and recovery</x:v>
      </x:c>
      <x:c r="E406" s="11" t="str">
        <x:v>Start from the same eligible fixture and retain the submitted draft; record the last committed head and receipt. Introduce the boundary or failure stated below.</x:v>
      </x:c>
      <x:c r="F406" s="11" t="str">
        <x:v>1. Exercise each independent condition in the validation contract, as separate recorded variants: Enabling a chat interface does not enable every tool. Sensitive processing requires approved destination and purpose; policy failure blocks transmission before content leaves the authorised boundary. 2. Inspect the safe error/state and authorised recovery actions. 3. Correct the condition and retry under current authority and expected revision. 4. Compare durable effects and audit history with the original baseline.</x:v>
      </x:c>
      <x:c r="G406" s="11" t="str">
        <x:v>Enabling a chat interface does not enable every tool. Sensitive processing requires approved destination and purpose; policy failure blocks transmission before content leaves the authorised boundary. Ordinary failed saves have no partial effect. Explicit bulk partial modes account for committed and unprocessed items. A retry does not duplicate the intended business effect.</x:v>
      </x:c>
      <x:c r="H406" s="13" t="str">
        <x:v>Not run</x:v>
      </x:c>
      <x:c r="I406" s="13" t="str"/>
      <x:c r="J406" s="13" t="str">
        <x:v>Expand multi-condition variants in the run record. Required negative coverage, not a claim that one assertion covers every security attack.</x:v>
      </x:c>
    </x:row>
    <x:row r="407" ht="103" customHeight="1">
      <x:c r="A407" s="11" t="str">
        <x:v>TC-AI-002-01</x:v>
      </x:c>
      <x:c r="B407" s="11" t="str">
        <x:v>FR-AI-002 / BR-AI-002</x:v>
      </x:c>
      <x:c r="C407" s="11" t="str">
        <x:v>P1 / R1</x:v>
      </x:c>
      <x:c r="D407" s="11" t="str">
        <x:v>Proposal and logframe extraction intended outcome</x:v>
      </x:c>
      <x:c r="E407" s="11" t="str">
        <x:v>Synthetic tenant A; tenant B hidden markers; eligible actor with explicit capability, scope, purpose and current assurance. Set up the source acceptance fixture: Extract a proposal with two end dates and no population; both dates and the missing field are flagged, and activation remains blocked until reviewed.</x:v>
      </x:c>
      <x:c r="F407" s="11" t="str">
        <x:v>1. Record current object revisions, policy and safe audit cursor. 2. Perform the specified interaction: Extraction selects permitted files and returns proposed entities and fields with source version, page or section, evidence span and classification as extracted, inferred or suggested. The review panel supports selective acceptance and retains unresolved ambiguities. 3. Inspect UI, canonical API read and audit/receipt for the resulting version. 4. Apply the acceptance example: Extract a proposal with two end dates and no population; both dates and the missing field are flagged, and activation remains blocked until reviewed.</x:v>
      </x:c>
      <x:c r="G407" s="11" t="str">
        <x:v>Extract a proposal with two end dates and no population; both dates and the missing field are flagged, and activation remains blocked until reviewed. Required behaviour is preserved: Extraction selects permitted files and returns proposed entities and fields with source version, page or section, evidence span and classification as extracted, inferred or suggested. The review panel supports selective acceptance and retains unresolved ambiguities.</x:v>
      </x:c>
      <x:c r="H407" s="13" t="str">
        <x:v>Not run</x:v>
      </x:c>
      <x:c r="I407" s="13" t="str"/>
      <x:c r="J407" s="13" t="str">
        <x:v>Primary owning component C12. Execute relevant channels; record actual fixture IDs and observed evidence.</x:v>
      </x:c>
    </x:row>
    <x:row r="408" ht="77" customHeight="1">
      <x:c r="A408" s="11" t="str">
        <x:v>TC-AI-002-02</x:v>
      </x:c>
      <x:c r="B408" s="11" t="str">
        <x:v>FR-AI-002 / BR-AI-002 / SC01–SC08</x:v>
      </x:c>
      <x:c r="C408" s="11" t="str">
        <x:v>P1 / R1</x:v>
      </x:c>
      <x:c r="D408" s="11" t="str">
        <x:v>Proposal and logframe extraction validation and recovery</x:v>
      </x:c>
      <x:c r="E408" s="11" t="str">
        <x:v>Start from the same eligible fixture and retain the submitted draft; record the last committed head and receipt. Introduce the boundary or failure stated below.</x:v>
      </x:c>
      <x:c r="F408" s="11" t="str">
        <x:v>1. Exercise each independent condition in the validation contract, as separate recorded variants: Dates, targets and population commitments require direct source support or an explicit human addition. Missing values remain missing; contradictory sources are presented separately. 2. Inspect the safe error/state and authorised recovery actions. 3. Correct the condition and retry under current authority and expected revision. 4. Compare durable effects and audit history with the original baseline.</x:v>
      </x:c>
      <x:c r="G408" s="11" t="str">
        <x:v>Dates, targets and population commitments require direct source support or an explicit human addition. Missing values remain missing; contradictory sources are presented separately. Ordinary failed saves have no partial effect. Explicit bulk partial modes account for committed and unprocessed items. A retry does not duplicate the intended business effect.</x:v>
      </x:c>
      <x:c r="H408" s="13" t="str">
        <x:v>Not run</x:v>
      </x:c>
      <x:c r="I408" s="13" t="str"/>
      <x:c r="J408" s="13" t="str">
        <x:v>Expand multi-condition variants in the run record. Required negative coverage, not a claim that one assertion covers every security attack.</x:v>
      </x:c>
    </x:row>
    <x:row r="409" ht="103" customHeight="1">
      <x:c r="A409" s="11" t="str">
        <x:v>TC-AI-003-01</x:v>
      </x:c>
      <x:c r="B409" s="11" t="str">
        <x:v>FR-AI-003 / BR-AI-003</x:v>
      </x:c>
      <x:c r="C409" s="11" t="str">
        <x:v>P1 / R1</x:v>
      </x:c>
      <x:c r="D409" s="11" t="str">
        <x:v>Indicator design assistance intended outcome</x:v>
      </x:c>
      <x:c r="E409" s="11" t="str">
        <x:v>Synthetic tenant A; tenant B hidden markers; eligible actor with explicit capability, scope, purpose and current assurance. Set up the source acceptance fixture: Suggest a completion percentage and verify the proposal requires eligible denominator, reporting period and evidence method before review submission.</x:v>
      </x:c>
      <x:c r="F409" s="11" t="str">
        <x:v>1. Record current object revisions, policy and safe audit cursor. 2. Perform the specified interaction: The assistant receives approved library definitions and the current programme context and proposes a complete draft measurement contract. It highlights missing denominator, unsuitable proxy, population ambiguity and evidence requirements. The user accepts selected fields into a draft. 3. Inspect UI, canonical API read and audit/receipt for the resulting version. 4. Apply the acceptance example: Suggest a completion percentage and verify the proposal requires eligible denominator, reporting period and evidence method before review submission.</x:v>
      </x:c>
      <x:c r="G409" s="11" t="str">
        <x:v>Suggest a completion percentage and verify the proposal requires eligible denominator, reporting period and evidence method before review submission. Required behaviour is preserved: The assistant receives approved library definitions and the current programme context and proposes a complete draft measurement contract. It highlights missing denominator, unsuitable proxy, population ambiguity and evidence requirements. The user accepts selected fields into a draft.</x:v>
      </x:c>
      <x:c r="H409" s="13" t="str">
        <x:v>Not run</x:v>
      </x:c>
      <x:c r="I409" s="13" t="str"/>
      <x:c r="J409" s="13" t="str">
        <x:v>Primary owning component C12. Execute relevant channels; record actual fixture IDs and observed evidence.</x:v>
      </x:c>
    </x:row>
    <x:row r="410" ht="77" customHeight="1">
      <x:c r="A410" s="11" t="str">
        <x:v>TC-AI-003-02</x:v>
      </x:c>
      <x:c r="B410" s="11" t="str">
        <x:v>FR-AI-003 / BR-AI-003 / SC01–SC08</x:v>
      </x:c>
      <x:c r="C410" s="11" t="str">
        <x:v>P1 / R1</x:v>
      </x:c>
      <x:c r="D410" s="11" t="str">
        <x:v>Indicator design assistance validation and recovery</x:v>
      </x:c>
      <x:c r="E410" s="11" t="str">
        <x:v>Start from the same eligible fixture and retain the submitted draft; record the last committed head and receipt. Introduce the boundary or failure stated below.</x:v>
      </x:c>
      <x:c r="F410" s="11" t="str">
        <x:v>1. Exercise each independent condition in the validation contract, as separate recorded variants: The draft passes the same schema and method checks as manual authoring. Model confidence cannot approve an indicator or create an unsupported standard mapping. 2. Inspect the safe error/state and authorised recovery actions. 3. Correct the condition and retry under current authority and expected revision. 4. Compare durable effects and audit history with the original baseline.</x:v>
      </x:c>
      <x:c r="G410" s="11" t="str">
        <x:v>The draft passes the same schema and method checks as manual authoring. Model confidence cannot approve an indicator or create an unsupported standard mapping. Ordinary failed saves have no partial effect. Explicit bulk partial modes account for committed and unprocessed items. A retry does not duplicate the intended business effect.</x:v>
      </x:c>
      <x:c r="H410" s="13" t="str">
        <x:v>Not run</x:v>
      </x:c>
      <x:c r="I410" s="13" t="str"/>
      <x:c r="J410" s="13" t="str">
        <x:v>Expand multi-condition variants in the run record. Required negative coverage, not a claim that one assertion covers every security attack.</x:v>
      </x:c>
    </x:row>
    <x:row r="411" ht="103" customHeight="1">
      <x:c r="A411" s="11" t="str">
        <x:v>TC-AI-004-01</x:v>
      </x:c>
      <x:c r="B411" s="11" t="str">
        <x:v>FR-AI-004 / BR-AI-004</x:v>
      </x:c>
      <x:c r="C411" s="11" t="str">
        <x:v>P1 / R1</x:v>
      </x:c>
      <x:c r="D411" s="11" t="str">
        <x:v>Import and cleaning assistance intended outcome</x:v>
      </x:c>
      <x:c r="E411" s="11" t="str">
        <x:v>Synthetic tenant A; tenant B hidden markers; eligible actor with explicit capability, scope, purpose and current assurance. Set up the source acceptance fixture: Accept a date normalisation suggestion but reject a name-based participant merge; only the approved deterministic conversion is applied.</x:v>
      </x:c>
      <x:c r="F411" s="11" t="str">
        <x:v>1. Record current object revisions, policy and safe audit cursor. 2. Perform the specified interaction: Mapping assistance returns proposed source-to-destination links and deterministic transformations with affected sample rows. The steward accepts individual proposals and sees the exact mapping diff. Application creates a mapping draft or reviewed transformation version. 3. Inspect UI, canonical API read and audit/receipt for the resulting version. 4. Apply the acceptance example: Accept a date normalisation suggestion but reject a name-based participant merge; only the approved deterministic conversion is applied.</x:v>
      </x:c>
      <x:c r="G411" s="11" t="str">
        <x:v>Accept a date normalisation suggestion but reject a name-based participant merge; only the approved deterministic conversion is applied. Required behaviour is preserved: Mapping assistance returns proposed source-to-destination links and deterministic transformations with affected sample rows. The steward accepts individual proposals and sees the exact mapping diff. Application creates a mapping draft or reviewed transformation version.</x:v>
      </x:c>
      <x:c r="H411" s="13" t="str">
        <x:v>Not run</x:v>
      </x:c>
      <x:c r="I411" s="13" t="str"/>
      <x:c r="J411" s="13" t="str">
        <x:v>Primary owning component C12. Execute relevant channels; record actual fixture IDs and observed evidence.</x:v>
      </x:c>
    </x:row>
    <x:row r="412" ht="77" customHeight="1">
      <x:c r="A412" s="11" t="str">
        <x:v>TC-AI-004-02</x:v>
      </x:c>
      <x:c r="B412" s="11" t="str">
        <x:v>FR-AI-004 / BR-AI-004 / SC01–SC08</x:v>
      </x:c>
      <x:c r="C412" s="11" t="str">
        <x:v>P1 / R1</x:v>
      </x:c>
      <x:c r="D412" s="11" t="str">
        <x:v>Import and cleaning assistance validation and recovery</x:v>
      </x:c>
      <x:c r="E412" s="11" t="str">
        <x:v>Start from the same eligible fixture and retain the submitted draft; record the last committed head and receipt. Introduce the boundary or failure stated below.</x:v>
      </x:c>
      <x:c r="F412" s="11" t="str">
        <x:v>1. Exercise each independent condition in the validation contract, as separate recorded variants: AI cannot delete raw rows, merge identities or overwrite approved actuals. Low confidence or ambiguous mapping remains unselected and requires explicit resolution. 2. Inspect the safe error/state and authorised recovery actions. 3. Correct the condition and retry under current authority and expected revision. 4. Compare durable effects and audit history with the original baseline.</x:v>
      </x:c>
      <x:c r="G412" s="11" t="str">
        <x:v>AI cannot delete raw rows, merge identities or overwrite approved actuals. Low confidence or ambiguous mapping remains unselected and requires explicit resolution. Ordinary failed saves have no partial effect. Explicit bulk partial modes account for committed and unprocessed items. A retry does not duplicate the intended business effect.</x:v>
      </x:c>
      <x:c r="H412" s="13" t="str">
        <x:v>Not run</x:v>
      </x:c>
      <x:c r="I412" s="13" t="str"/>
      <x:c r="J412" s="13" t="str">
        <x:v>Expand multi-condition variants in the run record. Required negative coverage, not a claim that one assertion covers every security attack.</x:v>
      </x:c>
    </x:row>
    <x:row r="413" ht="103" customHeight="1">
      <x:c r="A413" s="11" t="str">
        <x:v>TC-AI-005-01</x:v>
      </x:c>
      <x:c r="B413" s="11" t="str">
        <x:v>FR-AI-005 / BR-AI-005</x:v>
      </x:c>
      <x:c r="C413" s="11" t="str">
        <x:v>P1 / R1</x:v>
      </x:c>
      <x:c r="D413" s="11" t="str">
        <x:v>Evidence based questions intended outcome</x:v>
      </x:c>
      <x:c r="E413" s="11" t="str">
        <x:v>Synthetic tenant A; tenant B hidden markers; eligible actor with explicit capability, scope, purpose and current assurance. Set up the source acceptance fixture: Ask a supported programme question and an inaccessible partner question; the first cites source locations and the second reveals no hidden record detail.</x:v>
      </x:c>
      <x:c r="F413" s="11" t="str">
        <x:v>1. Record current object revisions, policy and safe audit cursor. 2. Perform the specified interaction: A question specifies authorised scope, period and source mode. Retrieval obtains only permitted evidence and results; answers attach citations to material claims and show missing or contradictory evidence. If scope is ambiguous, return a clarification state without guessing an official number. 3. Inspect UI, canonical API read and audit/receipt for the resulting version. 4. Apply the acceptance example: Ask a supported programme question and an inaccessible partner question; the first cites source locations and the second reveals no hidden record detail.</x:v>
      </x:c>
      <x:c r="G413" s="11" t="str">
        <x:v>Ask a supported programme question and an inaccessible partner question; the first cites source locations and the second reveals no hidden record detail. Required behaviour is preserved: A question specifies authorised scope, period and source mode. Retrieval obtains only permitted evidence and results; answers attach citations to material claims and show missing or contradictory evidence. If scope is ambiguous, return a clarification state without guessing an official number.</x:v>
      </x:c>
      <x:c r="H413" s="13" t="str">
        <x:v>Not run</x:v>
      </x:c>
      <x:c r="I413" s="13" t="str"/>
      <x:c r="J413" s="13" t="str">
        <x:v>Primary owning component C12. Execute relevant channels; record actual fixture IDs and observed evidence.</x:v>
      </x:c>
    </x:row>
    <x:row r="414" ht="77" customHeight="1">
      <x:c r="A414" s="11" t="str">
        <x:v>TC-AI-005-02</x:v>
      </x:c>
      <x:c r="B414" s="11" t="str">
        <x:v>FR-AI-005 / BR-AI-005 / SC01–SC08</x:v>
      </x:c>
      <x:c r="C414" s="11" t="str">
        <x:v>P1 / R1</x:v>
      </x:c>
      <x:c r="D414" s="11" t="str">
        <x:v>Evidence based questions validation and recovery</x:v>
      </x:c>
      <x:c r="E414" s="11" t="str">
        <x:v>Start from the same eligible fixture and retain the submitted draft; record the last committed head and receipt. Introduce the boundary or failure stated below.</x:v>
      </x:c>
      <x:c r="F414" s="11" t="str">
        <x:v>1. Exercise each independent condition in the validation contract, as separate recorded variants: Unsupported or unauthorised questions receive a bounded abstention without confirming protected resource existence. No fabricated quotations, citations or document titles. 2. Inspect the safe error/state and authorised recovery actions. 3. Correct the condition and retry under current authority and expected revision. 4. Compare durable effects and audit history with the original baseline.</x:v>
      </x:c>
      <x:c r="G414" s="11" t="str">
        <x:v>Unsupported or unauthorised questions receive a bounded abstention without confirming protected resource existence. No fabricated quotations, citations or document titles. Ordinary failed saves have no partial effect. Explicit bulk partial modes account for committed and unprocessed items. A retry does not duplicate the intended business effect.</x:v>
      </x:c>
      <x:c r="H414" s="13" t="str">
        <x:v>Not run</x:v>
      </x:c>
      <x:c r="I414" s="13" t="str"/>
      <x:c r="J414" s="13" t="str">
        <x:v>Expand multi-condition variants in the run record. Required negative coverage, not a claim that one assertion covers every security attack.</x:v>
      </x:c>
    </x:row>
    <x:row r="415" ht="103" customHeight="1">
      <x:c r="A415" s="11" t="str">
        <x:v>TC-AI-006-01</x:v>
      </x:c>
      <x:c r="B415" s="11" t="str">
        <x:v>FR-AI-006 / BR-AI-006</x:v>
      </x:c>
      <x:c r="C415" s="11" t="str">
        <x:v>P0 / R1</x:v>
      </x:c>
      <x:c r="D415" s="11" t="str">
        <x:v>Governed numerical analysis intended outcome</x:v>
      </x:c>
      <x:c r="E415" s="11" t="str">
        <x:v>Synthetic tenant A; tenant B hidden markers; eligible actor with explicit capability, scope, purpose and current assurance. Set up the source acceptance fixture: Ask for pooled 50/100 and 1/10; the answer presents 46.36 percent with 51/110 and the approved calculation receipt.</x:v>
      </x:c>
      <x:c r="F415" s="11" t="str">
        <x:v>1. Record current object revisions, policy and safe audit cursor. 2. Perform the specified interaction: Numeric questions are translated into a constrained typed analysis plan: measure, compatible sources, filters, period, dimensions and permitted operation. An authorised deterministic tool executes it. The answer embeds returned values and result references without model recomputation. 3. Inspect UI, canonical API read and audit/receipt for the resulting version. 4. Apply the acceptance example: Ask for pooled 50/100 and 1/10; the answer presents 46.36 percent with 51/110 and the approved calculation receipt.</x:v>
      </x:c>
      <x:c r="G415" s="11" t="str">
        <x:v>Ask for pooled 50/100 and 1/10; the answer presents 46.36 percent with 51/110 and the approved calculation receipt. Required behaviour is preserved: Numeric questions are translated into a constrained typed analysis plan: measure, compatible sources, filters, period, dimensions and permitted operation. An authorised deterministic tool executes it. The answer embeds returned values and result references without model recomputation.</x:v>
      </x:c>
      <x:c r="H415" s="13" t="str">
        <x:v>Not run</x:v>
      </x:c>
      <x:c r="I415" s="13" t="str"/>
      <x:c r="J415" s="13" t="str">
        <x:v>Primary owning component C12. Execute relevant channels; record actual fixture IDs and observed evidence.</x:v>
      </x:c>
    </x:row>
    <x:row r="416" ht="77" customHeight="1">
      <x:c r="A416" s="11" t="str">
        <x:v>TC-AI-006-02</x:v>
      </x:c>
      <x:c r="B416" s="11" t="str">
        <x:v>FR-AI-006 / BR-AI-006 / SC01–SC08</x:v>
      </x:c>
      <x:c r="C416" s="11" t="str">
        <x:v>P0 / R1</x:v>
      </x:c>
      <x:c r="D416" s="11" t="str">
        <x:v>Governed numerical analysis validation and recovery</x:v>
      </x:c>
      <x:c r="E416" s="11" t="str">
        <x:v>Start from the same eligible fixture and retain the submitted draft; record the last committed head and receipt. Introduce the boundary or failure stated below.</x:v>
      </x:c>
      <x:c r="F416" s="11" t="str">
        <x:v>1. Exercise each independent condition in the validation contract, as separate recorded variants: No arbitrary SQL, code execution or user supplied unrestricted query. A mismatch between drafted numeric text and tool value blocks delivery of the official claim. 2. Inspect the safe error/state and authorised recovery actions. 3. Correct the condition and retry under current authority and expected revision. 4. Compare durable effects and audit history with the original baseline.</x:v>
      </x:c>
      <x:c r="G416" s="11" t="str">
        <x:v>No arbitrary SQL, code execution or user supplied unrestricted query. A mismatch between drafted numeric text and tool value blocks delivery of the official claim. Ordinary failed saves have no partial effect. Explicit bulk partial modes account for committed and unprocessed items. A retry does not duplicate the intended business effect.</x:v>
      </x:c>
      <x:c r="H416" s="13" t="str">
        <x:v>Not run</x:v>
      </x:c>
      <x:c r="I416" s="13" t="str"/>
      <x:c r="J416" s="13" t="str">
        <x:v>Expand multi-condition variants in the run record. Required negative coverage, not a claim that one assertion covers every security attack.</x:v>
      </x:c>
    </x:row>
    <x:row r="417" ht="90" customHeight="1">
      <x:c r="A417" s="11" t="str">
        <x:v>TC-AI-007-01</x:v>
      </x:c>
      <x:c r="B417" s="11" t="str">
        <x:v>FR-AI-007 / BR-AI-007</x:v>
      </x:c>
      <x:c r="C417" s="11" t="str">
        <x:v>P1 / R1</x:v>
      </x:c>
      <x:c r="D417" s="11" t="str">
        <x:v>Report drafting intended outcome</x:v>
      </x:c>
      <x:c r="E417" s="11" t="str">
        <x:v>Synthetic tenant A; tenant B hidden markers; eligible actor with explicit capability, scope, purpose and current assurance. Set up the source acceptance fixture: Draft from an incomplete snapshot and confirm missing evidence stays visible while every official number matches its bound result.</x:v>
      </x:c>
      <x:c r="F417" s="11" t="str">
        <x:v>1. Record current object revisions, policy and safe audit cursor. 2. Perform the specified interaction: Report drafting binds an approved snapshot and template, then proposes sections with evidence references and metric bindings. Missing sections appear as evidence gaps. Review tracks AI origin, corrections and final human wording. 3. Inspect UI, canonical API read and audit/receipt for the resulting version. 4. Apply the acceptance example: Draft from an incomplete snapshot and confirm missing evidence stays visible while every official number matches its bound result.</x:v>
      </x:c>
      <x:c r="G417" s="11" t="str">
        <x:v>Draft from an incomplete snapshot and confirm missing evidence stays visible while every official number matches its bound result. Required behaviour is preserved: Report drafting binds an approved snapshot and template, then proposes sections with evidence references and metric bindings. Missing sections appear as evidence gaps. Review tracks AI origin, corrections and final human wording.</x:v>
      </x:c>
      <x:c r="H417" s="13" t="str">
        <x:v>Not run</x:v>
      </x:c>
      <x:c r="I417" s="13" t="str"/>
      <x:c r="J417" s="13" t="str">
        <x:v>Primary owning component C12. Execute relevant channels; record actual fixture IDs and observed evidence.</x:v>
      </x:c>
    </x:row>
    <x:row r="418" ht="77" customHeight="1">
      <x:c r="A418" s="11" t="str">
        <x:v>TC-AI-007-02</x:v>
      </x:c>
      <x:c r="B418" s="11" t="str">
        <x:v>FR-AI-007 / BR-AI-007 / SC01–SC08</x:v>
      </x:c>
      <x:c r="C418" s="11" t="str">
        <x:v>P1 / R1</x:v>
      </x:c>
      <x:c r="D418" s="11" t="str">
        <x:v>Report drafting validation and recovery</x:v>
      </x:c>
      <x:c r="E418" s="11" t="str">
        <x:v>Start from the same eligible fixture and retain the submitted draft; record the last committed head and receipt. Introduce the boundary or failure stated below.</x:v>
      </x:c>
      <x:c r="F418" s="11" t="str">
        <x:v>1. Exercise each independent condition in the validation contract, as separate recorded variants: The assistant cannot create a new official snapshot, invent a result or remove mandatory caveats. Regeneration never overwrites accepted human edits without an explicit reviewed diff. 2. Inspect the safe error/state and authorised recovery actions. 3. Correct the condition and retry under current authority and expected revision. 4. Compare durable effects and audit history with the original baseline.</x:v>
      </x:c>
      <x:c r="G418" s="11" t="str">
        <x:v>The assistant cannot create a new official snapshot, invent a result or remove mandatory caveats. Regeneration never overwrites accepted human edits without an explicit reviewed diff. Ordinary failed saves have no partial effect. Explicit bulk partial modes account for committed and unprocessed items. A retry does not duplicate the intended business effect.</x:v>
      </x:c>
      <x:c r="H418" s="13" t="str">
        <x:v>Not run</x:v>
      </x:c>
      <x:c r="I418" s="13" t="str"/>
      <x:c r="J418" s="13" t="str">
        <x:v>Expand multi-condition variants in the run record. Required negative coverage, not a claim that one assertion covers every security attack.</x:v>
      </x:c>
    </x:row>
    <x:row r="419" ht="103" customHeight="1">
      <x:c r="A419" s="11" t="str">
        <x:v>TC-AI-008-01</x:v>
      </x:c>
      <x:c r="B419" s="11" t="str">
        <x:v>FR-AI-008 / BR-AI-008</x:v>
      </x:c>
      <x:c r="C419" s="11" t="str">
        <x:v>P1 / R2</x:v>
      </x:c>
      <x:c r="D419" s="11" t="str">
        <x:v>Qualitative assistance intended outcome</x:v>
      </x:c>
      <x:c r="E419" s="11" t="str">
        <x:v>Synthetic tenant A; tenant B hidden markers; eligible actor with explicit capability, scope, purpose and current assurance. Set up the source acceptance fixture: Summarise interviews with opposing views in two languages; both perspectives remain traceable to their original excerpts.</x:v>
      </x:c>
      <x:c r="F419" s="11" t="str">
        <x:v>1. Record current object revisions, policy and safe audit cursor. 2. Perform the specified interaction: Qualitative assistance selects a permitted source set and approved codebook, returning suggested codes, themes, excerpts and translations. Analysts review individual suggestions and retain minority and contradictory viewpoints. Accepted edits create normal coded evidence records. 3. Inspect UI, canonical API read and audit/receipt for the resulting version. 4. Apply the acceptance example: Summarise interviews with opposing views in two languages; both perspectives remain traceable to their original excerpts.</x:v>
      </x:c>
      <x:c r="G419" s="11" t="str">
        <x:v>Summarise interviews with opposing views in two languages; both perspectives remain traceable to their original excerpts. Required behaviour is preserved: Qualitative assistance selects a permitted source set and approved codebook, returning suggested codes, themes, excerpts and translations. Analysts review individual suggestions and retain minority and contradictory viewpoints. Accepted edits create normal coded evidence records.</x:v>
      </x:c>
      <x:c r="H419" s="13" t="str">
        <x:v>Not run</x:v>
      </x:c>
      <x:c r="I419" s="13" t="str"/>
      <x:c r="J419" s="13" t="str">
        <x:v>Primary owning component C12. Execute relevant channels; record actual fixture IDs and observed evidence.</x:v>
      </x:c>
    </x:row>
    <x:row r="420" ht="77" customHeight="1">
      <x:c r="A420" s="11" t="str">
        <x:v>TC-AI-008-02</x:v>
      </x:c>
      <x:c r="B420" s="11" t="str">
        <x:v>FR-AI-008 / BR-AI-008 / SC01–SC08</x:v>
      </x:c>
      <x:c r="C420" s="11" t="str">
        <x:v>P1 / R2</x:v>
      </x:c>
      <x:c r="D420" s="11" t="str">
        <x:v>Qualitative assistance validation and recovery</x:v>
      </x:c>
      <x:c r="E420" s="11" t="str">
        <x:v>Start from the same eligible fixture and retain the submitted draft; record the last committed head and receipt. Introduce the boundary or failure stated below.</x:v>
      </x:c>
      <x:c r="F420" s="11" t="str">
        <x:v>1. Exercise each independent condition in the validation contract, as separate recorded variants: No invented verbatim quotations or fabricated speaker identities. Machine translation stays labelled until reviewed and cannot broaden source permission. 2. Inspect the safe error/state and authorised recovery actions. 3. Correct the condition and retry under current authority and expected revision. 4. Compare durable effects and audit history with the original baseline.</x:v>
      </x:c>
      <x:c r="G420" s="11" t="str">
        <x:v>No invented verbatim quotations or fabricated speaker identities. Machine translation stays labelled until reviewed and cannot broaden source permission. Ordinary failed saves have no partial effect. Explicit bulk partial modes account for committed and unprocessed items. A retry does not duplicate the intended business effect.</x:v>
      </x:c>
      <x:c r="H420" s="13" t="str">
        <x:v>Not run</x:v>
      </x:c>
      <x:c r="I420" s="13" t="str"/>
      <x:c r="J420" s="13" t="str">
        <x:v>Expand multi-condition variants in the run record. Required negative coverage, not a claim that one assertion covers every security attack.</x:v>
      </x:c>
    </x:row>
    <x:row r="421" ht="90" customHeight="1">
      <x:c r="A421" s="11" t="str">
        <x:v>TC-AI-009-01</x:v>
      </x:c>
      <x:c r="B421" s="11" t="str">
        <x:v>FR-AI-009 / BR-AI-009</x:v>
      </x:c>
      <x:c r="C421" s="11" t="str">
        <x:v>P1 / R2</x:v>
      </x:c>
      <x:c r="D421" s="11" t="str">
        <x:v>Proactive findings intended outcome</x:v>
      </x:c>
      <x:c r="E421" s="11" t="str">
        <x:v>Synthetic tenant A; tenant B hidden markers; eligible actor with explicit capability, scope, purpose and current assurance. Set up the source acceptance fixture: A performance spike creates one suggested finding with context; a manager dismisses it as seasonal and no source value changes.</x:v>
      </x:c>
      <x:c r="F421" s="11" t="str">
        <x:v>1. Record current object revisions, policy and safe audit cursor. 2. Perform the specified interaction: Proactive findings run only for enabled scopes and defined detection tasks. Each suggestion states affected result versions, evidence, limitation and proposed follow up. Users verify, dismiss or assign it, and feedback is recorded. 3. Inspect UI, canonical API read and audit/receipt for the resulting version. 4. Apply the acceptance example: A performance spike creates one suggested finding with context; a manager dismisses it as seasonal and no source value changes.</x:v>
      </x:c>
      <x:c r="G421" s="11" t="str">
        <x:v>A performance spike creates one suggested finding with context; a manager dismisses it as seasonal and no source value changes. Required behaviour is preserved: Proactive findings run only for enabled scopes and defined detection tasks. Each suggestion states affected result versions, evidence, limitation and proposed follow up. Users verify, dismiss or assign it, and feedback is recorded.</x:v>
      </x:c>
      <x:c r="H421" s="13" t="str">
        <x:v>Not run</x:v>
      </x:c>
      <x:c r="I421" s="13" t="str"/>
      <x:c r="J421" s="13" t="str">
        <x:v>Primary owning component C12. Execute relevant channels; record actual fixture IDs and observed evidence.</x:v>
      </x:c>
    </x:row>
    <x:row r="422" ht="77" customHeight="1">
      <x:c r="A422" s="11" t="str">
        <x:v>TC-AI-009-02</x:v>
      </x:c>
      <x:c r="B422" s="11" t="str">
        <x:v>FR-AI-009 / BR-AI-009 / SC01–SC08</x:v>
      </x:c>
      <x:c r="C422" s="11" t="str">
        <x:v>P1 / R2</x:v>
      </x:c>
      <x:c r="D422" s="11" t="str">
        <x:v>Proactive findings validation and recovery</x:v>
      </x:c>
      <x:c r="E422" s="11" t="str">
        <x:v>Start from the same eligible fixture and retain the submitted draft; record the last committed head and receipt. Introduce the boundary or failure stated below.</x:v>
      </x:c>
      <x:c r="F422" s="11" t="str">
        <x:v>1. Exercise each independent condition in the validation contract, as separate recorded variants: Suggestions are not confirmed fraud, impact or programme risk findings until reviewed. Noise controls, cooldown and owner accountability apply. 2. Inspect the safe error/state and authorised recovery actions. 3. Correct the condition and retry under current authority and expected revision. 4. Compare durable effects and audit history with the original baseline.</x:v>
      </x:c>
      <x:c r="G422" s="11" t="str">
        <x:v>Suggestions are not confirmed fraud, impact or programme risk findings until reviewed. Noise controls, cooldown and owner accountability apply. Ordinary failed saves have no partial effect. Explicit bulk partial modes account for committed and unprocessed items. A retry does not duplicate the intended business effect.</x:v>
      </x:c>
      <x:c r="H422" s="13" t="str">
        <x:v>Not run</x:v>
      </x:c>
      <x:c r="I422" s="13" t="str"/>
      <x:c r="J422" s="13" t="str">
        <x:v>Expand multi-condition variants in the run record. Required negative coverage, not a claim that one assertion covers every security attack.</x:v>
      </x:c>
    </x:row>
    <x:row r="423" ht="103" customHeight="1">
      <x:c r="A423" s="11" t="str">
        <x:v>TC-AI-010-01</x:v>
      </x:c>
      <x:c r="B423" s="11" t="str">
        <x:v>FR-AI-010 / BR-AI-010</x:v>
      </x:c>
      <x:c r="C423" s="11" t="str">
        <x:v>P0 / R1</x:v>
      </x:c>
      <x:c r="D423" s="11" t="str">
        <x:v>Action proposal and approval intended outcome</x:v>
      </x:c>
      <x:c r="E423" s="11" t="str">
        <x:v>Synthetic tenant A; tenant B hidden markers; eligible actor with explicit capability, scope, purpose and current assurance. Set up the source acceptance fixture: Revoke permission after proposal generation and before confirmation; execution fails without applying any stale changes.</x:v>
      </x:c>
      <x:c r="F423" s="11" t="str">
        <x:v>1. Record current object revisions, policy and safe audit cursor. 2. Perform the specified interaction: An AI write proposal contains exact domain command, object scope, before and after values, affected versions, policy context and consequences. Confirmation is separate from generation. Execution rechecks current authority and revisions, then calls the ordinary domain command. 3. Inspect UI, canonical API read and audit/receipt for the resulting version. 4. Apply the acceptance example: Revoke permission after proposal generation and before confirmation; execution fails without applying any stale changes.</x:v>
      </x:c>
      <x:c r="G423" s="11" t="str">
        <x:v>Revoke permission after proposal generation and before confirmation; execution fails without applying any stale changes. Required behaviour is preserved: An AI write proposal contains exact domain command, object scope, before and after values, affected versions, policy context and consequences. Confirmation is separate from generation. Execution rechecks current authority and revisions, then calls the ordinary domain command.</x:v>
      </x:c>
      <x:c r="H423" s="13" t="str">
        <x:v>Not run</x:v>
      </x:c>
      <x:c r="I423" s="13" t="str"/>
      <x:c r="J423" s="13" t="str">
        <x:v>Primary owning component C12. Execute relevant channels; record actual fixture IDs and observed evidence.</x:v>
      </x:c>
    </x:row>
    <x:row r="424" ht="90" customHeight="1">
      <x:c r="A424" s="11" t="str">
        <x:v>TC-AI-010-02</x:v>
      </x:c>
      <x:c r="B424" s="11" t="str">
        <x:v>FR-AI-010 / BR-AI-010 / SC01–SC08</x:v>
      </x:c>
      <x:c r="C424" s="11" t="str">
        <x:v>P0 / R1</x:v>
      </x:c>
      <x:c r="D424" s="11" t="str">
        <x:v>Action proposal and approval validation and recovery</x:v>
      </x:c>
      <x:c r="E424" s="11" t="str">
        <x:v>Start from the same eligible fixture and retain the submitted draft; record the last committed head and receipt. Introduce the boundary or failure stated below.</x:v>
      </x:c>
      <x:c r="F424" s="11" t="str">
        <x:v>1. Exercise each independent condition in the validation contract, as separate recorded variants: No direct write to approved results, permission grants, publication, privacy deletion or independent decisions. A source or policy change makes the proposal stale; regeneration requires review. 2. Inspect the safe error/state and authorised recovery actions. 3. Correct the condition and retry under current authority and expected revision. 4. Compare durable effects and audit history with the original baseline.</x:v>
      </x:c>
      <x:c r="G424" s="11" t="str">
        <x:v>No direct write to approved results, permission grants, publication, privacy deletion or independent decisions. A source or policy change makes the proposal stale; regeneration requires review. Ordinary failed saves have no partial effect. Explicit bulk partial modes account for committed and unprocessed items. A retry does not duplicate the intended business effect.</x:v>
      </x:c>
      <x:c r="H424" s="13" t="str">
        <x:v>Not run</x:v>
      </x:c>
      <x:c r="I424" s="13" t="str"/>
      <x:c r="J424" s="13" t="str">
        <x:v>Expand multi-condition variants in the run record. Required negative coverage, not a claim that one assertion covers every security attack.</x:v>
      </x:c>
    </x:row>
    <x:row r="425" ht="103" customHeight="1">
      <x:c r="A425" s="11" t="str">
        <x:v>TC-AI-011-01</x:v>
      </x:c>
      <x:c r="B425" s="11" t="str">
        <x:v>FR-AI-011 / BR-AI-011</x:v>
      </x:c>
      <x:c r="C425" s="11" t="str">
        <x:v>P0 / R1</x:v>
      </x:c>
      <x:c r="D425" s="11" t="str">
        <x:v>Input and tool isolation intended outcome</x:v>
      </x:c>
      <x:c r="E425" s="11" t="str">
        <x:v>Synthetic tenant A; tenant B hidden markers; eligible actor with explicit capability, scope, purpose and current assurance. Set up the source acceptance fixture: Include an embedded instruction to export all records in a proposal; extraction treats it as untrusted content and performs no export.</x:v>
      </x:c>
      <x:c r="F425" s="11" t="str">
        <x:v>1. Record current object revisions, policy and safe audit cursor. 2. Perform the specified interaction: Documents, tool outputs and retrieved pages are evidence, never authority to expand tools or change policy. The allowed tool catalogue and scoped arguments are established independently of model generated instructions. External destinations require explicit policy permission. 3. Inspect UI, canonical API read and audit/receipt for the resulting version. 4. Apply the acceptance example: Include an embedded instruction to export all records in a proposal; extraction treats it as untrusted content and performs no export.</x:v>
      </x:c>
      <x:c r="G425" s="11" t="str">
        <x:v>Include an embedded instruction to export all records in a proposal; extraction treats it as untrusted content and performs no export. Required behaviour is preserved: Documents, tool outputs and retrieved pages are evidence, never authority to expand tools or change policy. The allowed tool catalogue and scoped arguments are established independently of model generated instructions. External destinations require explicit policy permission.</x:v>
      </x:c>
      <x:c r="H425" s="13" t="str">
        <x:v>Not run</x:v>
      </x:c>
      <x:c r="I425" s="13" t="str"/>
      <x:c r="J425" s="13" t="str">
        <x:v>Primary owning component C12. Execute relevant channels; record actual fixture IDs and observed evidence.</x:v>
      </x:c>
    </x:row>
    <x:row r="426" ht="77" customHeight="1">
      <x:c r="A426" s="11" t="str">
        <x:v>TC-AI-011-02</x:v>
      </x:c>
      <x:c r="B426" s="11" t="str">
        <x:v>FR-AI-011 / BR-AI-011 / SC01–SC08</x:v>
      </x:c>
      <x:c r="C426" s="11" t="str">
        <x:v>P0 / R1</x:v>
      </x:c>
      <x:c r="D426" s="11" t="str">
        <x:v>Input and tool isolation validation and recovery</x:v>
      </x:c>
      <x:c r="E426" s="11" t="str">
        <x:v>Start from the same eligible fixture and retain the submitted draft; record the last committed head and receipt. Introduce the boundary or failure stated below.</x:v>
      </x:c>
      <x:c r="F426" s="11" t="str">
        <x:v>1. Exercise each independent condition in the validation contract, as separate recorded variants: A document cannot instruct the model to reveal credentials, retrieve all tenants or send outputs elsewhere. Unsafe action attempts are blocked and recorded without executing them. 2. Inspect the safe error/state and authorised recovery actions. 3. Correct the condition and retry under current authority and expected revision. 4. Compare durable effects and audit history with the original baseline.</x:v>
      </x:c>
      <x:c r="G426" s="11" t="str">
        <x:v>A document cannot instruct the model to reveal credentials, retrieve all tenants or send outputs elsewhere. Unsafe action attempts are blocked and recorded without executing them. Ordinary failed saves have no partial effect. Explicit bulk partial modes account for committed and unprocessed items. A retry does not duplicate the intended business effect.</x:v>
      </x:c>
      <x:c r="H426" s="13" t="str">
        <x:v>Not run</x:v>
      </x:c>
      <x:c r="I426" s="13" t="str"/>
      <x:c r="J426" s="13" t="str">
        <x:v>Expand multi-condition variants in the run record. Required negative coverage, not a claim that one assertion covers every security attack.</x:v>
      </x:c>
    </x:row>
    <x:row r="427" ht="103" customHeight="1">
      <x:c r="A427" s="11" t="str">
        <x:v>TC-AI-012-01</x:v>
      </x:c>
      <x:c r="B427" s="11" t="str">
        <x:v>FR-AI-012 / BR-AI-012</x:v>
      </x:c>
      <x:c r="C427" s="11" t="str">
        <x:v>P0 / R1</x:v>
      </x:c>
      <x:c r="D427" s="11" t="str">
        <x:v>Model data handling intended outcome</x:v>
      </x:c>
      <x:c r="E427" s="11" t="str">
        <x:v>Synthetic tenant A; tenant B hidden markers; eligible actor with explicit capability, scope, purpose and current assurance. Set up the source acceptance fixture: Force the primary provider offline for restricted data; no unapproved fallback receives the content and the manual workflow remains usable.</x:v>
      </x:c>
      <x:c r="F427" s="11" t="str">
        <x:v>1. Record current object revisions, policy and safe audit cursor. 2. Perform the specified interaction: Before transmission, evaluate tenant, use case, purpose, classification, region, provider retention and minimisation policy. Redact or exclude prohibited fields and record the approved destination version. Training reuse is off by default and has no implicit opt in. 3. Inspect UI, canonical API read and audit/receipt for the resulting version. 4. Apply the acceptance example: Force the primary provider offline for restricted data; no unapproved fallback receives the content and the manual workflow remains usable.</x:v>
      </x:c>
      <x:c r="G427" s="11" t="str">
        <x:v>Force the primary provider offline for restricted data; no unapproved fallback receives the content and the manual workflow remains usable. Required behaviour is preserved: Before transmission, evaluate tenant, use case, purpose, classification, region, provider retention and minimisation policy. Redact or exclude prohibited fields and record the approved destination version. Training reuse is off by default and has no implicit opt in.</x:v>
      </x:c>
      <x:c r="H427" s="13" t="str">
        <x:v>Not run</x:v>
      </x:c>
      <x:c r="I427" s="13" t="str"/>
      <x:c r="J427" s="13" t="str">
        <x:v>Primary owning component C12. Execute relevant channels; record actual fixture IDs and observed evidence.</x:v>
      </x:c>
    </x:row>
    <x:row r="428" ht="90" customHeight="1">
      <x:c r="A428" s="11" t="str">
        <x:v>TC-AI-012-02</x:v>
      </x:c>
      <x:c r="B428" s="11" t="str">
        <x:v>FR-AI-012 / BR-AI-012 / SC01–SC08</x:v>
      </x:c>
      <x:c r="C428" s="11" t="str">
        <x:v>P0 / R1</x:v>
      </x:c>
      <x:c r="D428" s="11" t="str">
        <x:v>Model data handling validation and recovery</x:v>
      </x:c>
      <x:c r="E428" s="11" t="str">
        <x:v>Start from the same eligible fixture and retain the submitted draft; record the last committed head and receipt. Introduce the boundary or failure stated below.</x:v>
      </x:c>
      <x:c r="F428" s="11" t="str">
        <x:v>1. Exercise each independent condition in the validation contract, as separate recorded variants: Fallback providers must pass the same checks. Prompts, answers and diagnostics obey their retention schedule; private content is not copied into broad model evaluation datasets automatically. 2. Inspect the safe error/state and authorised recovery actions. 3. Correct the condition and retry under current authority and expected revision. 4. Compare durable effects and audit history with the original baseline.</x:v>
      </x:c>
      <x:c r="G428" s="11" t="str">
        <x:v>Fallback providers must pass the same checks. Prompts, answers and diagnostics obey their retention schedule; private content is not copied into broad model evaluation datasets automatically. Ordinary failed saves have no partial effect. Explicit bulk partial modes account for committed and unprocessed items. A retry does not duplicate the intended business effect.</x:v>
      </x:c>
      <x:c r="H428" s="13" t="str">
        <x:v>Not run</x:v>
      </x:c>
      <x:c r="I428" s="13" t="str"/>
      <x:c r="J428" s="13" t="str">
        <x:v>Expand multi-condition variants in the run record. Required negative coverage, not a claim that one assertion covers every security attack.</x:v>
      </x:c>
    </x:row>
    <x:row r="429" ht="103" customHeight="1">
      <x:c r="A429" s="11" t="str">
        <x:v>TC-AI-013-01</x:v>
      </x:c>
      <x:c r="B429" s="11" t="str">
        <x:v>FR-AI-013 / BR-AI-013</x:v>
      </x:c>
      <x:c r="C429" s="11" t="str">
        <x:v>P0 / R1</x:v>
      </x:c>
      <x:c r="D429" s="11" t="str">
        <x:v>Source access and conversation history intended outcome</x:v>
      </x:c>
      <x:c r="E429" s="11" t="str">
        <x:v>Synthetic tenant A; tenant B hidden markers; eligible actor with explicit capability, scope, purpose and current assurance. Set up the source acceptance fixture: Revoke a source grant and request a summary of the prior conversation; the assistant cannot reveal the now restricted passages.</x:v>
      </x:c>
      <x:c r="F429" s="11" t="str">
        <x:v>1. Record current object revisions, policy and safe audit cursor. 2. Perform the specified interaction: Every answer or saved conversation records source dependencies and its permitted audience. Opening, sharing, summarising or exporting rechecks current access to those dependencies. Inaccessible segments are withheld or the artifact is withdrawn when redaction cannot be safe. 3. Inspect UI, canonical API read and audit/receipt for the resulting version. 4. Apply the acceptance example: Revoke a source grant and request a summary of the prior conversation; the assistant cannot reveal the now restricted passages.</x:v>
      </x:c>
      <x:c r="G429" s="11" t="str">
        <x:v>Revoke a source grant and request a summary of the prior conversation; the assistant cannot reveal the now restricted passages. Required behaviour is preserved: Every answer or saved conversation records source dependencies and its permitted audience. Opening, sharing, summarising or exporting rechecks current access to those dependencies. Inaccessible segments are withheld or the artifact is withdrawn when redaction cannot be safe.</x:v>
      </x:c>
      <x:c r="H429" s="13" t="str">
        <x:v>Not run</x:v>
      </x:c>
      <x:c r="I429" s="13" t="str"/>
      <x:c r="J429" s="13" t="str">
        <x:v>Primary owning component C12. Execute relevant channels; record actual fixture IDs and observed evidence.</x:v>
      </x:c>
    </x:row>
    <x:row r="430" ht="77" customHeight="1">
      <x:c r="A430" s="11" t="str">
        <x:v>TC-AI-013-02</x:v>
      </x:c>
      <x:c r="B430" s="11" t="str">
        <x:v>FR-AI-013 / BR-AI-013 / SC01–SC08</x:v>
      </x:c>
      <x:c r="C430" s="11" t="str">
        <x:v>P0 / R1</x:v>
      </x:c>
      <x:c r="D430" s="11" t="str">
        <x:v>Source access and conversation history validation and recovery</x:v>
      </x:c>
      <x:c r="E430" s="11" t="str">
        <x:v>Start from the same eligible fixture and retain the submitted draft; record the last committed head and receipt. Introduce the boundary or failure stated below.</x:v>
      </x:c>
      <x:c r="F430" s="11" t="str">
        <x:v>1. Exercise each independent condition in the validation contract, as separate recorded variants: A conversation summary, cached answer or new prompt cannot reintroduce revoked text. Copying a chat does not create new source rights. 2. Inspect the safe error/state and authorised recovery actions. 3. Correct the condition and retry under current authority and expected revision. 4. Compare durable effects and audit history with the original baseline.</x:v>
      </x:c>
      <x:c r="G430" s="11" t="str">
        <x:v>A conversation summary, cached answer or new prompt cannot reintroduce revoked text. Copying a chat does not create new source rights. Ordinary failed saves have no partial effect. Explicit bulk partial modes account for committed and unprocessed items. A retry does not duplicate the intended business effect.</x:v>
      </x:c>
      <x:c r="H430" s="13" t="str">
        <x:v>Not run</x:v>
      </x:c>
      <x:c r="I430" s="13" t="str"/>
      <x:c r="J430" s="13" t="str">
        <x:v>Expand multi-condition variants in the run record. Required negative coverage, not a claim that one assertion covers every security attack.</x:v>
      </x:c>
    </x:row>
    <x:row r="431" ht="103" customHeight="1">
      <x:c r="A431" s="11" t="str">
        <x:v>TC-AI-014-01</x:v>
      </x:c>
      <x:c r="B431" s="11" t="str">
        <x:v>FR-AI-014 / BR-AI-014</x:v>
      </x:c>
      <x:c r="C431" s="11" t="str">
        <x:v>P0 / R1</x:v>
      </x:c>
      <x:c r="D431" s="11" t="str">
        <x:v>Traceability and reproducibility intended outcome</x:v>
      </x:c>
      <x:c r="E431" s="11" t="str">
        <x:v>Synthetic tenant A; tenant B hidden markers; eligible actor with explicit capability, scope, purpose and current assurance. Set up the source acceptance fixture: Audit an applied mapping suggestion and identify the evidence, model configuration, reviewer and deterministic command without requiring private chain of thought.</x:v>
      </x:c>
      <x:c r="F431" s="11" t="str">
        <x:v>1. Record current object revisions, policy and safe audit cursor. 2. Perform the specified interaction: The task record stores requester, scope, source versions, use case configuration, model identifier, tool receipts, proposed changes, review decisions and applied domain receipts within retention policy. Users inspect concise evidence and decision explanations. 3. Inspect UI, canonical API read and audit/receipt for the resulting version. 4. Apply the acceptance example: Audit an applied mapping suggestion and identify the evidence, model configuration, reviewer and deterministic command without requiring private chain of thought.</x:v>
      </x:c>
      <x:c r="G431" s="11" t="str">
        <x:v>Audit an applied mapping suggestion and identify the evidence, model configuration, reviewer and deterministic command without requiring private chain of thought. Required behaviour is preserved: The task record stores requester, scope, source versions, use case configuration, model identifier, tool receipts, proposed changes, review decisions and applied domain receipts within retention policy. Users inspect concise evidence and decision explanations.</x:v>
      </x:c>
      <x:c r="H431" s="13" t="str">
        <x:v>Not run</x:v>
      </x:c>
      <x:c r="I431" s="13" t="str"/>
      <x:c r="J431" s="13" t="str">
        <x:v>Primary owning component C12. Execute relevant channels; record actual fixture IDs and observed evidence.</x:v>
      </x:c>
    </x:row>
    <x:row r="432" ht="77" customHeight="1">
      <x:c r="A432" s="11" t="str">
        <x:v>TC-AI-014-02</x:v>
      </x:c>
      <x:c r="B432" s="11" t="str">
        <x:v>FR-AI-014 / BR-AI-014 / SC01–SC08</x:v>
      </x:c>
      <x:c r="C432" s="11" t="str">
        <x:v>P0 / R1</x:v>
      </x:c>
      <x:c r="D432" s="11" t="str">
        <x:v>Traceability and reproducibility validation and recovery</x:v>
      </x:c>
      <x:c r="E432" s="11" t="str">
        <x:v>Start from the same eligible fixture and retain the submitted draft; record the last committed head and receipt. Introduce the boundary or failure stated below.</x:v>
      </x:c>
      <x:c r="F432" s="11" t="str">
        <x:v>1. Exercise each independent condition in the validation contract, as separate recorded variants: Do not store or expose hidden model reasoning. Preserve generated output version where lawful, while acknowledging that rerunning a stochastic model may produce different prose. 2. Inspect the safe error/state and authorised recovery actions. 3. Correct the condition and retry under current authority and expected revision. 4. Compare durable effects and audit history with the original baseline.</x:v>
      </x:c>
      <x:c r="G432" s="11" t="str">
        <x:v>Do not store or expose hidden model reasoning. Preserve generated output version where lawful, while acknowledging that rerunning a stochastic model may produce different prose. Ordinary failed saves have no partial effect. Explicit bulk partial modes account for committed and unprocessed items. A retry does not duplicate the intended business effect.</x:v>
      </x:c>
      <x:c r="H432" s="13" t="str">
        <x:v>Not run</x:v>
      </x:c>
      <x:c r="I432" s="13" t="str"/>
      <x:c r="J432" s="13" t="str">
        <x:v>Expand multi-condition variants in the run record. Required negative coverage, not a claim that one assertion covers every security attack.</x:v>
      </x:c>
    </x:row>
    <x:row r="433" ht="90" customHeight="1">
      <x:c r="A433" s="11" t="str">
        <x:v>TC-AI-015-01</x:v>
      </x:c>
      <x:c r="B433" s="11" t="str">
        <x:v>FR-AI-015 / BR-AI-015</x:v>
      </x:c>
      <x:c r="C433" s="11" t="str">
        <x:v>P0 / R1</x:v>
      </x:c>
      <x:c r="D433" s="11" t="str">
        <x:v>Evaluation and release gates intended outcome</x:v>
      </x:c>
      <x:c r="E433" s="11" t="str">
        <x:v>Synthetic tenant A; tenant B hidden markers; eligible actor with explicit capability, scope, purpose and current assurance. Set up the source acceptance fixture: Evaluate a candidate with higher average quality but one cross tenant leak; it cannot replace the approved configuration.</x:v>
      </x:c>
      <x:c r="F433" s="11" t="str">
        <x:v>1. Record current object revisions, policy and safe audit cursor. 2. Perform the specified interaction: Each use case has an owner, held out dataset, expected judgements, supported language and sector matrix and release report. Changes to model, prompt, retrieval, tools or policy run regression before controlled exposure. 3. Inspect UI, canonical API read and audit/receipt for the resulting version. 4. Apply the acceptance example: Evaluate a candidate with higher average quality but one cross tenant leak; it cannot replace the approved configuration.</x:v>
      </x:c>
      <x:c r="G433" s="11" t="str">
        <x:v>Evaluate a candidate with higher average quality but one cross tenant leak; it cannot replace the approved configuration. Required behaviour is preserved: Each use case has an owner, held out dataset, expected judgements, supported language and sector matrix and release report. Changes to model, prompt, retrieval, tools or policy run regression before controlled exposure.</x:v>
      </x:c>
      <x:c r="H433" s="13" t="str">
        <x:v>Not run</x:v>
      </x:c>
      <x:c r="I433" s="13" t="str"/>
      <x:c r="J433" s="13" t="str">
        <x:v>Primary owning component C12. Execute relevant channels; record actual fixture IDs and observed evidence.</x:v>
      </x:c>
    </x:row>
    <x:row r="434" ht="90" customHeight="1">
      <x:c r="A434" s="11" t="str">
        <x:v>TC-AI-015-02</x:v>
      </x:c>
      <x:c r="B434" s="11" t="str">
        <x:v>FR-AI-015 / BR-AI-015 / SC01–SC08</x:v>
      </x:c>
      <x:c r="C434" s="11" t="str">
        <x:v>P0 / R1</x:v>
      </x:c>
      <x:c r="D434" s="11" t="str">
        <x:v>Evaluation and release gates validation and recovery</x:v>
      </x:c>
      <x:c r="E434" s="11" t="str">
        <x:v>Start from the same eligible fixture and retain the submitted draft; record the last committed head and receipt. Introduce the boundary or failure stated below.</x:v>
      </x:c>
      <x:c r="F434" s="11" t="str">
        <x:v>1. Exercise each independent condition in the validation contract, as separate recorded variants: A critical unsupported claim, leakage or unauthorised action blocks the affected capability despite a passing average score. Specialist evaluation exceptions require recorded justification. 2. Inspect the safe error/state and authorised recovery actions. 3. Correct the condition and retry under current authority and expected revision. 4. Compare durable effects and audit history with the original baseline.</x:v>
      </x:c>
      <x:c r="G434" s="11" t="str">
        <x:v>A critical unsupported claim, leakage or unauthorised action blocks the affected capability despite a passing average score. Specialist evaluation exceptions require recorded justification. Ordinary failed saves have no partial effect. Explicit bulk partial modes account for committed and unprocessed items. A retry does not duplicate the intended business effect.</x:v>
      </x:c>
      <x:c r="H434" s="13" t="str">
        <x:v>Not run</x:v>
      </x:c>
      <x:c r="I434" s="13" t="str"/>
      <x:c r="J434" s="13" t="str">
        <x:v>Expand multi-condition variants in the run record. Required negative coverage, not a claim that one assertion covers every security attack.</x:v>
      </x:c>
    </x:row>
    <x:row r="435" ht="103" customHeight="1">
      <x:c r="A435" s="11" t="str">
        <x:v>TC-AI-016-01</x:v>
      </x:c>
      <x:c r="B435" s="11" t="str">
        <x:v>FR-AI-016 / BR-AI-016</x:v>
      </x:c>
      <x:c r="C435" s="11" t="str">
        <x:v>P0 / R1</x:v>
      </x:c>
      <x:c r="D435" s="11" t="str">
        <x:v>Cost latency and fallback intended outcome</x:v>
      </x:c>
      <x:c r="E435" s="11" t="str">
        <x:v>Synthetic tenant A; tenant B hidden markers; eligible actor with explicit capability, scope, purpose and current assurance. Set up the source acceptance fixture: Exhaust the AI budget during close; the user can still approve data, calculate results and generate a non-AI report.</x:v>
      </x:c>
      <x:c r="F435" s="11" t="str">
        <x:v>1. Record current object revisions, policy and safe audit cursor. 2. Perform the specified interaction: AI requests estimate job class and usage, reserve permitted budget and expose progress, timeout and cancellation. Proposed defaults: standard extraction timeout 15 minutes and report draft timeout 20 minutes; partial drafts remain labelled incomplete. Ordinary QA follows the BRD latency target. 3. Inspect UI, canonical API read and audit/receipt for the resulting version. 4. Apply the acceptance example: Exhaust the AI budget during close; the user can still approve data, calculate results and generate a non-AI report.</x:v>
      </x:c>
      <x:c r="G435" s="11" t="str">
        <x:v>Exhaust the AI budget during close; the user can still approve data, calculate results and generate a non-AI report. Required behaviour is preserved: AI requests estimate job class and usage, reserve permitted budget and expose progress, timeout and cancellation. Proposed defaults: standard extraction timeout 15 minutes and report draft timeout 20 minutes; partial drafts remain labelled incomplete. Ordinary QA follows the BRD latency target.</x:v>
      </x:c>
      <x:c r="H435" s="13" t="str">
        <x:v>Not run</x:v>
      </x:c>
      <x:c r="I435" s="13" t="str"/>
      <x:c r="J435" s="13" t="str">
        <x:v>Primary owning component C12. Execute relevant channels; record actual fixture IDs and observed evidence.</x:v>
      </x:c>
    </x:row>
    <x:row r="436" ht="90" customHeight="1">
      <x:c r="A436" s="11" t="str">
        <x:v>TC-AI-016-02</x:v>
      </x:c>
      <x:c r="B436" s="11" t="str">
        <x:v>FR-AI-016 / BR-AI-016 / SC01–SC08</x:v>
      </x:c>
      <x:c r="C436" s="11" t="str">
        <x:v>P0 / R1</x:v>
      </x:c>
      <x:c r="D436" s="11" t="str">
        <x:v>Cost latency and fallback validation and recovery</x:v>
      </x:c>
      <x:c r="E436" s="11" t="str">
        <x:v>Start from the same eligible fixture and retain the submitted draft; record the last committed head and receipt. Introduce the boundary or failure stated below.</x:v>
      </x:c>
      <x:c r="F436" s="11" t="str">
        <x:v>1. Exercise each independent condition in the validation contract, as separate recorded variants: Budget exhaustion returns a clear limit state without losing user input. Cancellation stops new model and tool calls where controllable; provider work already accepted is accounted separately. 2. Inspect the safe error/state and authorised recovery actions. 3. Correct the condition and retry under current authority and expected revision. 4. Compare durable effects and audit history with the original baseline.</x:v>
      </x:c>
      <x:c r="G436" s="11" t="str">
        <x:v>Budget exhaustion returns a clear limit state without losing user input. Cancellation stops new model and tool calls where controllable; provider work already accepted is accounted separately. Ordinary failed saves have no partial effect. Explicit bulk partial modes account for committed and unprocessed items. A retry does not duplicate the intended business effect.</x:v>
      </x:c>
      <x:c r="H436" s="13" t="str">
        <x:v>Not run</x:v>
      </x:c>
      <x:c r="I436" s="13" t="str"/>
      <x:c r="J436" s="13" t="str">
        <x:v>Expand multi-condition variants in the run record. Required negative coverage, not a claim that one assertion covers every security attack.</x:v>
      </x:c>
    </x:row>
    <x:row r="437" ht="103" customHeight="1">
      <x:c r="A437" s="11" t="str">
        <x:v>TC-AI-017-01</x:v>
      </x:c>
      <x:c r="B437" s="11" t="str">
        <x:v>FR-AI-017 / BR-AI-017</x:v>
      </x:c>
      <x:c r="C437" s="11" t="str">
        <x:v>P2 / R3</x:v>
      </x:c>
      <x:c r="D437" s="11" t="str">
        <x:v>Forecasts and scenario assistance intended outcome</x:v>
      </x:c>
      <x:c r="E437" s="11" t="str">
        <x:v>Synthetic tenant A; tenant B hidden markers; eligible actor with explicit capability, scope, purpose and current assurance. Set up the source acceptance fixture: Export actuals and a projection together and verify distinct series, horizon, uncertainty and no automatic overwrite of approved targets.</x:v>
      </x:c>
      <x:c r="F437" s="11" t="str">
        <x:v>1. Record current object revisions, policy and safe audit cursor. 2. Perform the specified interaction: Forecasting selects approved input versions, forecast horizon, method, assumptions and validation history. Outputs include uncertainty and scenario label and remain separate from actuals and committed targets. Review controls any adoption as a planning assumption. 3. Inspect UI, canonical API read and audit/receipt for the resulting version. 4. Apply the acceptance example: Export actuals and a projection together and verify distinct series, horizon, uncertainty and no automatic overwrite of approved targets.</x:v>
      </x:c>
      <x:c r="G437" s="11" t="str">
        <x:v>Export actuals and a projection together and verify distinct series, horizon, uncertainty and no automatic overwrite of approved targets. Required behaviour is preserved: Forecasting selects approved input versions, forecast horizon, method, assumptions and validation history. Outputs include uncertainty and scenario label and remain separate from actuals and committed targets. Review controls any adoption as a planning assumption.</x:v>
      </x:c>
      <x:c r="H437" s="13" t="str">
        <x:v>Not run</x:v>
      </x:c>
      <x:c r="I437" s="13" t="str"/>
      <x:c r="J437" s="13" t="str">
        <x:v>Primary owning component C12. Execute relevant channels; record actual fixture IDs and observed evidence.</x:v>
      </x:c>
    </x:row>
    <x:row r="438" ht="77" customHeight="1">
      <x:c r="A438" s="11" t="str">
        <x:v>TC-AI-017-02</x:v>
      </x:c>
      <x:c r="B438" s="11" t="str">
        <x:v>FR-AI-017 / BR-AI-017 / SC01–SC08</x:v>
      </x:c>
      <x:c r="C438" s="11" t="str">
        <x:v>P2 / R3</x:v>
      </x:c>
      <x:c r="D438" s="11" t="str">
        <x:v>Forecasts and scenario assistance validation and recovery</x:v>
      </x:c>
      <x:c r="E438" s="11" t="str">
        <x:v>Start from the same eligible fixture and retain the submitted draft; record the last committed head and receipt. Introduce the boundary or failure stated below.</x:v>
      </x:c>
      <x:c r="F438" s="11" t="str">
        <x:v>1. Exercise each independent condition in the validation contract, as separate recorded variants: Insufficient evidence produces a withheld forecast or explicitly bounded exploratory output. Changing model or assumptions creates a new scenario version. 2. Inspect the safe error/state and authorised recovery actions. 3. Correct the condition and retry under current authority and expected revision. 4. Compare durable effects and audit history with the original baseline.</x:v>
      </x:c>
      <x:c r="G438" s="11" t="str">
        <x:v>Insufficient evidence produces a withheld forecast or explicitly bounded exploratory output. Changing model or assumptions creates a new scenario version. Ordinary failed saves have no partial effect. Explicit bulk partial modes account for committed and unprocessed items. A retry does not duplicate the intended business effect.</x:v>
      </x:c>
      <x:c r="H438" s="13" t="str">
        <x:v>Not run</x:v>
      </x:c>
      <x:c r="I438" s="13" t="str"/>
      <x:c r="J438" s="13" t="str">
        <x:v>Expand multi-condition variants in the run record. Required negative coverage, not a claim that one assertion covers every security attack.</x:v>
      </x:c>
    </x:row>
    <x:row r="439" ht="103" customHeight="1">
      <x:c r="A439" s="11" t="str">
        <x:v>TC-AI-018-01</x:v>
      </x:c>
      <x:c r="B439" s="11" t="str">
        <x:v>FR-AI-018 / BR-AI-018</x:v>
      </x:c>
      <x:c r="C439" s="11" t="str">
        <x:v>P0 / R1</x:v>
      </x:c>
      <x:c r="D439" s="11" t="str">
        <x:v>Safety feedback and shutdown intended outcome</x:v>
      </x:c>
      <x:c r="E439" s="11" t="str">
        <x:v>Synthetic tenant A; tenant B hidden markers; eligible actor with explicit capability, scope, purpose and current assurance. Set up the source acceptance fixture: Simulate an exposed sensitive citation, stop the use case and identify every affected saved answer while manual report workflows continue.</x:v>
      </x:c>
      <x:c r="F439" s="11" t="str">
        <x:v>1. Record current object revisions, policy and safe audit cursor. 2. Perform the specified interaction: Feedback captures affected output, category, safe supporting detail and reviewer. Administrators may disable a use case, configuration or destination immediately. Shutdown stops new affected jobs, identifies queued work and lists generated artifacts for review. 3. Inspect UI, canonical API read and audit/receipt for the resulting version. 4. Apply the acceptance example: Simulate an exposed sensitive citation, stop the use case and identify every affected saved answer while manual report workflows continue.</x:v>
      </x:c>
      <x:c r="G439" s="11" t="str">
        <x:v>Simulate an exposed sensitive citation, stop the use case and identify every affected saved answer while manual report workflows continue. Required behaviour is preserved: Feedback captures affected output, category, safe supporting detail and reviewer. Administrators may disable a use case, configuration or destination immediately. Shutdown stops new affected jobs, identifies queued work and lists generated artifacts for review.</x:v>
      </x:c>
      <x:c r="H439" s="13" t="str">
        <x:v>Not run</x:v>
      </x:c>
      <x:c r="I439" s="13" t="str"/>
      <x:c r="J439" s="13" t="str">
        <x:v>Primary owning component C12. Execute relevant channels; record actual fixture IDs and observed evidence.</x:v>
      </x:c>
    </x:row>
    <x:row r="440" ht="90" customHeight="1">
      <x:c r="A440" s="11" t="str">
        <x:v>TC-AI-018-02</x:v>
      </x:c>
      <x:c r="B440" s="11" t="str">
        <x:v>FR-AI-018 / BR-AI-018 / SC01–SC08</x:v>
      </x:c>
      <x:c r="C440" s="11" t="str">
        <x:v>P0 / R1</x:v>
      </x:c>
      <x:c r="D440" s="11" t="str">
        <x:v>Safety feedback and shutdown validation and recovery</x:v>
      </x:c>
      <x:c r="E440" s="11" t="str">
        <x:v>Start from the same eligible fixture and retain the submitted draft; record the last committed head and receipt. Introduce the boundary or failure stated below.</x:v>
      </x:c>
      <x:c r="F440" s="11" t="str">
        <x:v>1. Exercise each independent condition in the validation contract, as separate recorded variants: Preserve lawful incident evidence without retaining prohibited source payloads. Disabling AI must not disable independent core workflows. Reenable requires fix evidence and regression approval. 2. Inspect the safe error/state and authorised recovery actions. 3. Correct the condition and retry under current authority and expected revision. 4. Compare durable effects and audit history with the original baseline.</x:v>
      </x:c>
      <x:c r="G440" s="11" t="str">
        <x:v>Preserve lawful incident evidence without retaining prohibited source payloads. Disabling AI must not disable independent core workflows. Reenable requires fix evidence and regression approval. Ordinary failed saves have no partial effect. Explicit bulk partial modes account for committed and unprocessed items. A retry does not duplicate the intended business effect.</x:v>
      </x:c>
      <x:c r="H440" s="13" t="str">
        <x:v>Not run</x:v>
      </x:c>
      <x:c r="I440" s="13" t="str"/>
      <x:c r="J440" s="13" t="str">
        <x:v>Expand multi-condition variants in the run record. Required negative coverage, not a claim that one assertion covers every security attack.</x:v>
      </x:c>
    </x:row>
    <x:row r="441" ht="103" customHeight="1">
      <x:c r="A441" s="11" t="str">
        <x:v>TC-SEC-001-01</x:v>
      </x:c>
      <x:c r="B441" s="11" t="str">
        <x:v>FR-SEC-001 / BR-SEC-001</x:v>
      </x:c>
      <x:c r="C441" s="11" t="str">
        <x:v>P0 / R1</x:v>
      </x:c>
      <x:c r="D441" s="11" t="str">
        <x:v>Security threat assessment intended outcome</x:v>
      </x:c>
      <x:c r="E441" s="11" t="str">
        <x:v>Synthetic tenant A; tenant B hidden markers; eligible actor with explicit capability, scope, purpose and current assurance. Set up the source acceptance fixture: Review a document injection leading to export and a support access escalation; identify the independent controls and verification evidence for both paths.</x:v>
      </x:c>
      <x:c r="F441" s="11" t="str">
        <x:v>1. Record current object revisions, policy and safe audit cursor. 2. Perform the specified interaction: The release review records threat scenarios for identity, tenant boundaries, source data, files, offline devices, publication, AI and support. Each threat links to a functional control, owner, test and residual decision. Material feature changes trigger an impact review. 3. Inspect UI, canonical API read and audit/receipt for the resulting version. 4. Apply the acceptance example: Review a document injection leading to export and a support access escalation; identify the independent controls and verification evidence for both paths.</x:v>
      </x:c>
      <x:c r="G441" s="11" t="str">
        <x:v>Review a document injection leading to export and a support access escalation; identify the independent controls and verification evidence for both paths. Required behaviour is preserved: The release review records threat scenarios for identity, tenant boundaries, source data, files, offline devices, publication, AI and support. Each threat links to a functional control, owner, test and residual decision. Material feature changes trigger an impact review.</x:v>
      </x:c>
      <x:c r="H441" s="13" t="str">
        <x:v>Not run</x:v>
      </x:c>
      <x:c r="I441" s="13" t="str"/>
      <x:c r="J441" s="13" t="str">
        <x:v>Primary owning component C02. Execute relevant channels; record actual fixture IDs and observed evidence.</x:v>
      </x:c>
    </x:row>
    <x:row r="442" ht="77" customHeight="1">
      <x:c r="A442" s="11" t="str">
        <x:v>TC-SEC-001-02</x:v>
      </x:c>
      <x:c r="B442" s="11" t="str">
        <x:v>FR-SEC-001 / BR-SEC-001 / SC01–SC08</x:v>
      </x:c>
      <x:c r="C442" s="11" t="str">
        <x:v>P0 / R1</x:v>
      </x:c>
      <x:c r="D442" s="11" t="str">
        <x:v>Security threat assessment validation and recovery</x:v>
      </x:c>
      <x:c r="E442" s="11" t="str">
        <x:v>Start from the same eligible fixture and retain the submitted draft; record the last committed head and receipt. Introduce the boundary or failure stated below.</x:v>
      </x:c>
      <x:c r="F442" s="11" t="str">
        <x:v>1. Exercise each independent condition in the validation contract, as separate recorded variants: An unresolved critical path cannot be hidden by a general security signoff. Tests must include chained abuse across modules, not only isolated input checks. 2. Inspect the safe error/state and authorised recovery actions. 3. Correct the condition and retry under current authority and expected revision. 4. Compare durable effects and audit history with the original baseline.</x:v>
      </x:c>
      <x:c r="G442" s="11" t="str">
        <x:v>An unresolved critical path cannot be hidden by a general security signoff. Tests must include chained abuse across modules, not only isolated input checks. Ordinary failed saves have no partial effect. Explicit bulk partial modes account for committed and unprocessed items. A retry does not duplicate the intended business effect.</x:v>
      </x:c>
      <x:c r="H442" s="13" t="str">
        <x:v>Not run</x:v>
      </x:c>
      <x:c r="I442" s="13" t="str"/>
      <x:c r="J442" s="13" t="str">
        <x:v>Expand multi-condition variants in the run record. Required negative coverage, not a claim that one assertion covers every security attack.</x:v>
      </x:c>
    </x:row>
    <x:row r="443" ht="103" customHeight="1">
      <x:c r="A443" s="11" t="str">
        <x:v>TC-SEC-002-01</x:v>
      </x:c>
      <x:c r="B443" s="11" t="str">
        <x:v>FR-SEC-002 / BR-SEC-002</x:v>
      </x:c>
      <x:c r="C443" s="11" t="str">
        <x:v>P0 / R1</x:v>
      </x:c>
      <x:c r="D443" s="11" t="str">
        <x:v>Encryption and key governance intended outcome</x:v>
      </x:c>
      <x:c r="E443" s="11" t="str">
        <x:v>Synthetic tenant A; tenant B hidden markers; eligible actor with explicit capability, scope, purpose and current assurance. Set up the source acceptance fixture: Rotate a test data protection key and verify approved records and backups remain accessible only through authorised paths, with no exposed key values.</x:v>
      </x:c>
      <x:c r="F443" s="11" t="str">
        <x:v>1. Record current object revisions, policy and safe audit cursor. 2. Perform the specified interaction: The security inventory covers every permitted data location and transport, including temporary artifacts, backups and offline packages. Operational interfaces expose key ownership, status, expiry and rotation evidence without displaying key material. 3. Inspect UI, canonical API read and audit/receipt for the resulting version. 4. Apply the acceptance example: Rotate a test data protection key and verify approved records and backups remain accessible only through authorised paths, with no exposed key values.</x:v>
      </x:c>
      <x:c r="G443" s="11" t="str">
        <x:v>Rotate a test data protection key and verify approved records and backups remain accessible only through authorised paths, with no exposed key values. Required behaviour is preserved: The security inventory covers every permitted data location and transport, including temporary artifacts, backups and offline packages. Operational interfaces expose key ownership, status, expiry and rotation evidence without displaying key material.</x:v>
      </x:c>
      <x:c r="H443" s="13" t="str">
        <x:v>Not run</x:v>
      </x:c>
      <x:c r="I443" s="13" t="str"/>
      <x:c r="J443" s="13" t="str">
        <x:v>Primary owning component C02. Execute relevant channels; record actual fixture IDs and observed evidence.</x:v>
      </x:c>
    </x:row>
    <x:row r="444" ht="90" customHeight="1">
      <x:c r="A444" s="11" t="str">
        <x:v>TC-SEC-002-02</x:v>
      </x:c>
      <x:c r="B444" s="11" t="str">
        <x:v>FR-SEC-002 / BR-SEC-002 / SC01–SC08</x:v>
      </x:c>
      <x:c r="C444" s="11" t="str">
        <x:v>P0 / R1</x:v>
      </x:c>
      <x:c r="D444" s="11" t="str">
        <x:v>Encryption and key governance validation and recovery</x:v>
      </x:c>
      <x:c r="E444" s="11" t="str">
        <x:v>Start from the same eligible fixture and retain the submitted draft; record the last committed head and receipt. Introduce the boundary or failure stated below.</x:v>
      </x:c>
      <x:c r="F444" s="11" t="str">
        <x:v>1. Exercise each independent condition in the validation contract, as separate recorded variants: HLD selects qualified cryptography and key custody. Loss or revocation of a required key returns controlled unavailable state, never a plaintext fallback. Rotation preserves authorised recoverability. 2. Inspect the safe error/state and authorised recovery actions. 3. Correct the condition and retry under current authority and expected revision. 4. Compare durable effects and audit history with the original baseline.</x:v>
      </x:c>
      <x:c r="G444" s="11" t="str">
        <x:v>HLD selects qualified cryptography and key custody. Loss or revocation of a required key returns controlled unavailable state, never a plaintext fallback. Rotation preserves authorised recoverability. Ordinary failed saves have no partial effect. Explicit bulk partial modes account for committed and unprocessed items. A retry does not duplicate the intended business effect.</x:v>
      </x:c>
      <x:c r="H444" s="13" t="str">
        <x:v>Not run</x:v>
      </x:c>
      <x:c r="I444" s="13" t="str"/>
      <x:c r="J444" s="13" t="str">
        <x:v>Expand multi-condition variants in the run record. Required negative coverage, not a claim that one assertion covers every security attack.</x:v>
      </x:c>
    </x:row>
    <x:row r="445" ht="103" customHeight="1">
      <x:c r="A445" s="11" t="str">
        <x:v>TC-SEC-003-01</x:v>
      </x:c>
      <x:c r="B445" s="11" t="str">
        <x:v>FR-SEC-003 / BR-SEC-003</x:v>
      </x:c>
      <x:c r="C445" s="11" t="str">
        <x:v>P0 / R1</x:v>
      </x:c>
      <x:c r="D445" s="11" t="str">
        <x:v>Tenant isolation verification intended outcome</x:v>
      </x:c>
      <x:c r="E445" s="11" t="str">
        <x:v>Synthetic tenant A; tenant B hidden markers; eligible actor with explicit capability, scope, purpose and current assurance. Set up the source acceptance fixture: Guess another tenant's artifact, request it through a background job and ask AI for its contents; no path returns the synthetic marker.</x:v>
      </x:c>
      <x:c r="F445" s="11" t="str">
        <x:v>1. Record current object revisions, policy and safe audit cursor. 2. Perform the specified interaction: Every release affecting tenancy runs isolation fixtures across records, attachments, async jobs, caches, search, AI and support. Each fixture uses distinct synthetic tenant markers and principals with differing roles. Findings record the specific exposed path. 3. Inspect UI, canonical API read and audit/receipt for the resulting version. 4. Apply the acceptance example: Guess another tenant's artifact, request it through a background job and ask AI for its contents; no path returns the synthetic marker.</x:v>
      </x:c>
      <x:c r="G445" s="11" t="str">
        <x:v>Guess another tenant's artifact, request it through a background job and ask AI for its contents; no path returns the synthetic marker. Required behaviour is preserved: Every release affecting tenancy runs isolation fixtures across records, attachments, async jobs, caches, search, AI and support. Each fixture uses distinct synthetic tenant markers and principals with differing roles. Findings record the specific exposed path.</x:v>
      </x:c>
      <x:c r="H445" s="13" t="str">
        <x:v>Not run</x:v>
      </x:c>
      <x:c r="I445" s="13" t="str"/>
      <x:c r="J445" s="13" t="str">
        <x:v>Primary owning component C02. Execute relevant channels; record actual fixture IDs and observed evidence.</x:v>
      </x:c>
    </x:row>
    <x:row r="446" ht="77" customHeight="1">
      <x:c r="A446" s="11" t="str">
        <x:v>TC-SEC-003-02</x:v>
      </x:c>
      <x:c r="B446" s="11" t="str">
        <x:v>FR-SEC-003 / BR-SEC-003 / SC01–SC08</x:v>
      </x:c>
      <x:c r="C446" s="11" t="str">
        <x:v>P0 / R1</x:v>
      </x:c>
      <x:c r="D446" s="11" t="str">
        <x:v>Tenant isolation verification validation and recovery</x:v>
      </x:c>
      <x:c r="E446" s="11" t="str">
        <x:v>Start from the same eligible fixture and retain the submitted draft; record the last committed head and receipt. Introduce the boundary or failure stated below.</x:v>
      </x:c>
      <x:c r="F446" s="11" t="str">
        <x:v>1. Exercise each independent condition in the validation contract, as separate recorded variants: Shared infrastructure or reused cache entries cannot imply shared authorisation. Isolation failure blocks the affected release regardless of a successful ordinary workflow. 2. Inspect the safe error/state and authorised recovery actions. 3. Correct the condition and retry under current authority and expected revision. 4. Compare durable effects and audit history with the original baseline.</x:v>
      </x:c>
      <x:c r="G446" s="11" t="str">
        <x:v>Shared infrastructure or reused cache entries cannot imply shared authorisation. Isolation failure blocks the affected release regardless of a successful ordinary workflow. Ordinary failed saves have no partial effect. Explicit bulk partial modes account for committed and unprocessed items. A retry does not duplicate the intended business effect.</x:v>
      </x:c>
      <x:c r="H446" s="13" t="str">
        <x:v>Not run</x:v>
      </x:c>
      <x:c r="I446" s="13" t="str"/>
      <x:c r="J446" s="13" t="str">
        <x:v>Expand multi-condition variants in the run record. Required negative coverage, not a claim that one assertion covers every security attack.</x:v>
      </x:c>
    </x:row>
    <x:row r="447" ht="103" customHeight="1">
      <x:c r="A447" s="11" t="str">
        <x:v>TC-SEC-004-01</x:v>
      </x:c>
      <x:c r="B447" s="11" t="str">
        <x:v>FR-SEC-004 / BR-SEC-004</x:v>
      </x:c>
      <x:c r="C447" s="11" t="str">
        <x:v>P0 / R1</x:v>
      </x:c>
      <x:c r="D447" s="11" t="str">
        <x:v>Application and API protection intended outcome</x:v>
      </x:c>
      <x:c r="E447" s="11" t="str">
        <x:v>Synthetic tenant A; tenant B hidden markers; eligible actor with explicit capability, scope, purpose and current assurance. Set up the source acceptance fixture: Submit script-like text, a cross tenant object reference and an internal network URL; each is safely rendered or rejected at the relevant boundary.</x:v>
      </x:c>
      <x:c r="F447" s="11" t="str">
        <x:v>1. Record current object revisions, policy and safe audit cursor. 2. Perform the specified interaction: The product validates bounded typed input, safely renders text, protects authenticated mutations and verifies outbound destinations. Public and authenticated surfaces share domain authorisation and safe error contracts. Security verification maps applicable ASVS 5.0 controls through Level 2 including Level 1. 3. Inspect UI, canonical API read and audit/receipt for the resulting version. 4. Apply the acceptance example: Submit script-like text, a cross tenant object reference and an internal network URL; each is safely rendered or rejected at the relevant boundary.</x:v>
      </x:c>
      <x:c r="G447" s="11" t="str">
        <x:v>Submit script-like text, a cross tenant object reference and an internal network URL; each is safely rendered or rejected at the relevant boundary. Required behaviour is preserved: The product validates bounded typed input, safely renders text, protects authenticated mutations and verifies outbound destinations. Public and authenticated surfaces share domain authorisation and safe error contracts. Security verification maps applicable ASVS 5.0 controls through Level 2 including Level 1.</x:v>
      </x:c>
      <x:c r="H447" s="13" t="str">
        <x:v>Not run</x:v>
      </x:c>
      <x:c r="I447" s="13" t="str"/>
      <x:c r="J447" s="13" t="str">
        <x:v>Primary owning component C02. Execute relevant channels; record actual fixture IDs and observed evidence.</x:v>
      </x:c>
    </x:row>
    <x:row r="448" ht="77" customHeight="1">
      <x:c r="A448" s="11" t="str">
        <x:v>TC-SEC-004-02</x:v>
      </x:c>
      <x:c r="B448" s="11" t="str">
        <x:v>FR-SEC-004 / BR-SEC-004 / SC01–SC08</x:v>
      </x:c>
      <x:c r="C448" s="11" t="str">
        <x:v>P0 / R1</x:v>
      </x:c>
      <x:c r="D448" s="11" t="str">
        <x:v>Application and API protection validation and recovery</x:v>
      </x:c>
      <x:c r="E448" s="11" t="str">
        <x:v>Start from the same eligible fixture and retain the submitted draft; record the last committed head and receipt. Introduce the boundary or failure stated below.</x:v>
      </x:c>
      <x:c r="F448" s="11" t="str">
        <x:v>1. Exercise each independent condition in the validation contract, as separate recorded variants: Security tests cover uploads, rich text, links, filtering, exports and API references. No broad assertion of immunity replaces passing evidence and independent review. 2. Inspect the safe error/state and authorised recovery actions. 3. Correct the condition and retry under current authority and expected revision. 4. Compare durable effects and audit history with the original baseline.</x:v>
      </x:c>
      <x:c r="G448" s="11" t="str">
        <x:v>Security tests cover uploads, rich text, links, filtering, exports and API references. No broad assertion of immunity replaces passing evidence and independent review. Ordinary failed saves have no partial effect. Explicit bulk partial modes account for committed and unprocessed items. A retry does not duplicate the intended business effect.</x:v>
      </x:c>
      <x:c r="H448" s="13" t="str">
        <x:v>Not run</x:v>
      </x:c>
      <x:c r="I448" s="13" t="str"/>
      <x:c r="J448" s="13" t="str">
        <x:v>Expand multi-condition variants in the run record. Required negative coverage, not a claim that one assertion covers every security attack.</x:v>
      </x:c>
    </x:row>
    <x:row r="449" ht="103" customHeight="1">
      <x:c r="A449" s="11" t="str">
        <x:v>TC-SEC-005-01</x:v>
      </x:c>
      <x:c r="B449" s="11" t="str">
        <x:v>FR-SEC-005 / BR-SEC-005</x:v>
      </x:c>
      <x:c r="C449" s="11" t="str">
        <x:v>P0 / R1</x:v>
      </x:c>
      <x:c r="D449" s="11" t="str">
        <x:v>File and content safety intended outcome</x:v>
      </x:c>
      <x:c r="E449" s="11" t="str">
        <x:v>Synthetic tenant A; tenant B hidden markers; eligible actor with explicit capability, scope, purpose and current assurance. Set up the source acceptance fixture: Upload a misleading extension, malicious document and archive expansion fixture; none reaches normal preview or satisfies mandatory evidence requirements.</x:v>
      </x:c>
      <x:c r="F449" s="11" t="str">
        <x:v>1. Record current object revisions, policy and safe audit cursor. 2. Perform the specified interaction: File receipt identifies actual content type, size, expansion limits and permitted processing. Files remain quarantined until checks complete. Previews execute no active content. External fetches validate destination before request and after redirects. 3. Inspect UI, canonical API read and audit/receipt for the resulting version. 4. Apply the acceptance example: Upload a misleading extension, malicious document and archive expansion fixture; none reaches normal preview or satisfies mandatory evidence requirements.</x:v>
      </x:c>
      <x:c r="G449" s="11" t="str">
        <x:v>Upload a misleading extension, malicious document and archive expansion fixture; none reaches normal preview or satisfies mandatory evidence requirements. Required behaviour is preserved: File receipt identifies actual content type, size, expansion limits and permitted processing. Files remain quarantined until checks complete. Previews execute no active content. External fetches validate destination before request and after redirects.</x:v>
      </x:c>
      <x:c r="H449" s="13" t="str">
        <x:v>Not run</x:v>
      </x:c>
      <x:c r="I449" s="13" t="str"/>
      <x:c r="J449" s="13" t="str">
        <x:v>Primary owning component C02. Execute relevant channels; record actual fixture IDs and observed evidence.</x:v>
      </x:c>
    </x:row>
    <x:row r="450" ht="77" customHeight="1">
      <x:c r="A450" s="11" t="str">
        <x:v>TC-SEC-005-02</x:v>
      </x:c>
      <x:c r="B450" s="11" t="str">
        <x:v>FR-SEC-005 / BR-SEC-005 / SC01–SC08</x:v>
      </x:c>
      <x:c r="C450" s="11" t="str">
        <x:v>P0 / R1</x:v>
      </x:c>
      <x:c r="D450" s="11" t="str">
        <x:v>File and content safety validation and recovery</x:v>
      </x:c>
      <x:c r="E450" s="11" t="str">
        <x:v>Start from the same eligible fixture and retain the submitted draft; record the last committed head and receipt. Introduce the boundary or failure stated below.</x:v>
      </x:c>
      <x:c r="F450" s="11" t="str">
        <x:v>1. Exercise each independent condition in the validation contract, as separate recorded variants: R1 excludes executables and macro enabled documents. Password protected unscannable files remain quarantined or are rejected; archives need a specifically qualified bounded profile. 2. Inspect the safe error/state and authorised recovery actions. 3. Correct the condition and retry under current authority and expected revision. 4. Compare durable effects and audit history with the original baseline.</x:v>
      </x:c>
      <x:c r="G450" s="11" t="str">
        <x:v>R1 excludes executables and macro enabled documents. Password protected unscannable files remain quarantined or are rejected; archives need a specifically qualified bounded profile. Ordinary failed saves have no partial effect. Explicit bulk partial modes account for committed and unprocessed items. A retry does not duplicate the intended business effect.</x:v>
      </x:c>
      <x:c r="H450" s="13" t="str">
        <x:v>Not run</x:v>
      </x:c>
      <x:c r="I450" s="13" t="str"/>
      <x:c r="J450" s="13" t="str">
        <x:v>Expand multi-condition variants in the run record. Required negative coverage, not a claim that one assertion covers every security attack.</x:v>
      </x:c>
    </x:row>
    <x:row r="451" ht="90" customHeight="1">
      <x:c r="A451" s="11" t="str">
        <x:v>TC-SEC-006-01</x:v>
      </x:c>
      <x:c r="B451" s="11" t="str">
        <x:v>FR-SEC-006 / BR-SEC-006</x:v>
      </x:c>
      <x:c r="C451" s="11" t="str">
        <x:v>P0 / R1</x:v>
      </x:c>
      <x:c r="D451" s="11" t="str">
        <x:v>Secrets management intended outcome</x:v>
      </x:c>
      <x:c r="E451" s="11" t="str">
        <x:v>Synthetic tenant A; tenant B hidden markers; eligible actor with explicit capability, scope, purpose and current assurance. Set up the source acceptance fixture: Rotate a connector credential, export its configuration and inspect permitted logs; the old credential is rejected and neither secret is present in the artifacts.</x:v>
      </x:c>
      <x:c r="F451" s="11" t="str">
        <x:v>1. Record current object revisions, policy and safe audit cursor. 2. Perform the specified interaction: Secret entry returns only a credential reference and safe fingerprint. Rotation and revocation are explicit operations with owner, scope and audit. Configuration export omits values and marks required reconfiguration on import. 3. Inspect UI, canonical API read and audit/receipt for the resulting version. 4. Apply the acceptance example: Rotate a connector credential, export its configuration and inspect permitted logs; the old credential is rejected and neither secret is present in the artifacts.</x:v>
      </x:c>
      <x:c r="G451" s="11" t="str">
        <x:v>Rotate a connector credential, export its configuration and inspect permitted logs; the old credential is rejected and neither secret is present in the artifacts. Required behaviour is preserved: Secret entry returns only a credential reference and safe fingerprint. Rotation and revocation are explicit operations with owner, scope and audit. Configuration export omits values and marks required reconfiguration on import.</x:v>
      </x:c>
      <x:c r="H451" s="13" t="str">
        <x:v>Not run</x:v>
      </x:c>
      <x:c r="I451" s="13" t="str"/>
      <x:c r="J451" s="13" t="str">
        <x:v>Primary owning component C02. Execute relevant channels; record actual fixture IDs and observed evidence.</x:v>
      </x:c>
    </x:row>
    <x:row r="452" ht="77" customHeight="1">
      <x:c r="A452" s="11" t="str">
        <x:v>TC-SEC-006-02</x:v>
      </x:c>
      <x:c r="B452" s="11" t="str">
        <x:v>FR-SEC-006 / BR-SEC-006 / SC01–SC08</x:v>
      </x:c>
      <x:c r="C452" s="11" t="str">
        <x:v>P0 / R1</x:v>
      </x:c>
      <x:c r="D452" s="11" t="str">
        <x:v>Secrets management validation and recovery</x:v>
      </x:c>
      <x:c r="E452" s="11" t="str">
        <x:v>Start from the same eligible fixture and retain the submitted draft; record the last committed head and receipt. Introduce the boundary or failure stated below.</x:v>
      </x:c>
      <x:c r="F452" s="11" t="str">
        <x:v>1. Exercise each independent condition in the validation contract, as separate recorded variants: Secrets cannot appear in ordinary admin views, client storage, generated reports or diagnostics. An export of a connection never exports a reusable credential. 2. Inspect the safe error/state and authorised recovery actions. 3. Correct the condition and retry under current authority and expected revision. 4. Compare durable effects and audit history with the original baseline.</x:v>
      </x:c>
      <x:c r="G452" s="11" t="str">
        <x:v>Secrets cannot appear in ordinary admin views, client storage, generated reports or diagnostics. An export of a connection never exports a reusable credential. Ordinary failed saves have no partial effect. Explicit bulk partial modes account for committed and unprocessed items. A retry does not duplicate the intended business effect.</x:v>
      </x:c>
      <x:c r="H452" s="13" t="str">
        <x:v>Not run</x:v>
      </x:c>
      <x:c r="I452" s="13" t="str"/>
      <x:c r="J452" s="13" t="str">
        <x:v>Expand multi-condition variants in the run record. Required negative coverage, not a claim that one assertion covers every security attack.</x:v>
      </x:c>
    </x:row>
    <x:row r="453" ht="90" customHeight="1">
      <x:c r="A453" s="11" t="str">
        <x:v>TC-SEC-007-01</x:v>
      </x:c>
      <x:c r="B453" s="11" t="str">
        <x:v>FR-SEC-007 / BR-SEC-007</x:v>
      </x:c>
      <x:c r="C453" s="11" t="str">
        <x:v>P0 / R1</x:v>
      </x:c>
      <x:c r="D453" s="11" t="str">
        <x:v>Tamper evident audit intended outcome</x:v>
      </x:c>
      <x:c r="E453" s="11" t="str">
        <x:v>Synthetic tenant A; tenant B hidden markers; eligible actor with explicit capability, scope, purpose and current assurance. Set up the source acceptance fixture: Attempt to change an approval event through ordinary administration; it fails, and the attempt plus original decision remain attributable.</x:v>
      </x:c>
      <x:c r="F453" s="11" t="str">
        <x:v>1. Record current object revisions, policy and safe audit cursor. 2. Perform the specified interaction: Audit events follow the event catalogue and contain real actor, delegated capacity, tenant, action, object version, outcome, time and correlation. Privileged reads and decisions are covered. Search and export are restricted to authorised audit scopes. 3. Inspect UI, canonical API read and audit/receipt for the resulting version. 4. Apply the acceptance example: Attempt to change an approval event through ordinary administration; it fails, and the attempt plus original decision remain attributable.</x:v>
      </x:c>
      <x:c r="G453" s="11" t="str">
        <x:v>Attempt to change an approval event through ordinary administration; it fails, and the attempt plus original decision remain attributable. Required behaviour is preserved: Audit events follow the event catalogue and contain real actor, delegated capacity, tenant, action, object version, outcome, time and correlation. Privileged reads and decisions are covered. Search and export are restricted to authorised audit scopes.</x:v>
      </x:c>
      <x:c r="H453" s="13" t="str">
        <x:v>Not run</x:v>
      </x:c>
      <x:c r="I453" s="13" t="str"/>
      <x:c r="J453" s="13" t="str">
        <x:v>Primary owning component C02. Execute relevant channels; record actual fixture IDs and observed evidence.</x:v>
      </x:c>
    </x:row>
    <x:row r="454" ht="77" customHeight="1">
      <x:c r="A454" s="11" t="str">
        <x:v>TC-SEC-007-02</x:v>
      </x:c>
      <x:c r="B454" s="11" t="str">
        <x:v>FR-SEC-007 / BR-SEC-007 / SC01–SC08</x:v>
      </x:c>
      <x:c r="C454" s="11" t="str">
        <x:v>P0 / R1</x:v>
      </x:c>
      <x:c r="D454" s="11" t="str">
        <x:v>Tamper evident audit validation and recovery</x:v>
      </x:c>
      <x:c r="E454" s="11" t="str">
        <x:v>Start from the same eligible fixture and retain the submitted draft; record the last committed head and receipt. Introduce the boundary or failure stated below.</x:v>
      </x:c>
      <x:c r="F454" s="11" t="str">
        <x:v>1. Exercise each independent condition in the validation contract, as separate recorded variants: Audit correction is an additional event, not an edit of past history. Retention and lawful minimisation are governed processes; administrators cannot erase inconvenient entries. 2. Inspect the safe error/state and authorised recovery actions. 3. Correct the condition and retry under current authority and expected revision. 4. Compare durable effects and audit history with the original baseline.</x:v>
      </x:c>
      <x:c r="G454" s="11" t="str">
        <x:v>Audit correction is an additional event, not an edit of past history. Retention and lawful minimisation are governed processes; administrators cannot erase inconvenient entries. Ordinary failed saves have no partial effect. Explicit bulk partial modes account for committed and unprocessed items. A retry does not duplicate the intended business effect.</x:v>
      </x:c>
      <x:c r="H454" s="13" t="str">
        <x:v>Not run</x:v>
      </x:c>
      <x:c r="I454" s="13" t="str"/>
      <x:c r="J454" s="13" t="str">
        <x:v>Expand multi-condition variants in the run record. Required negative coverage, not a claim that one assertion covers every security attack.</x:v>
      </x:c>
    </x:row>
    <x:row r="455" ht="90" customHeight="1">
      <x:c r="A455" s="11" t="str">
        <x:v>TC-SEC-008-01</x:v>
      </x:c>
      <x:c r="B455" s="11" t="str">
        <x:v>FR-SEC-008 / BR-SEC-008</x:v>
      </x:c>
      <x:c r="C455" s="11" t="str">
        <x:v>P0 / R1</x:v>
      </x:c>
      <x:c r="D455" s="11" t="str">
        <x:v>Secure engineering lifecycle intended outcome</x:v>
      </x:c>
      <x:c r="E455" s="11" t="str">
        <x:v>Synthetic tenant A; tenant B hidden markers; eligible actor with explicit capability, scope, purpose and current assurance. Set up the source acceptance fixture: Select a production version and trace a changed export rule to its FSD parent, reviewed change, negative tests and release approval.</x:v>
      </x:c>
      <x:c r="F455" s="11" t="str">
        <x:v>1. Record current object revisions, policy and safe audit cursor. 2. Perform the specified interaction: A release record links requirement and specification changes, reviewed code, dependency and licence inventory, security checks, migration results and approvers. Security relevant changes identify their affected threat and regression cases. 3. Inspect UI, canonical API read and audit/receipt for the resulting version. 4. Apply the acceptance example: Select a production version and trace a changed export rule to its FSD parent, reviewed change, negative tests and release approval.</x:v>
      </x:c>
      <x:c r="G455" s="11" t="str">
        <x:v>Select a production version and trace a changed export rule to its FSD parent, reviewed change, negative tests and release approval. Required behaviour is preserved: A release record links requirement and specification changes, reviewed code, dependency and licence inventory, security checks, migration results and approvers. Security relevant changes identify their affected threat and regression cases.</x:v>
      </x:c>
      <x:c r="H455" s="13" t="str">
        <x:v>Not run</x:v>
      </x:c>
      <x:c r="I455" s="13" t="str"/>
      <x:c r="J455" s="13" t="str">
        <x:v>Primary owning component C02. Execute relevant channels; record actual fixture IDs and observed evidence.</x:v>
      </x:c>
    </x:row>
    <x:row r="456" ht="77" customHeight="1">
      <x:c r="A456" s="11" t="str">
        <x:v>TC-SEC-008-02</x:v>
      </x:c>
      <x:c r="B456" s="11" t="str">
        <x:v>FR-SEC-008 / BR-SEC-008 / SC01–SC08</x:v>
      </x:c>
      <x:c r="C456" s="11" t="str">
        <x:v>P0 / R1</x:v>
      </x:c>
      <x:c r="D456" s="11" t="str">
        <x:v>Secure engineering lifecycle validation and recovery</x:v>
      </x:c>
      <x:c r="E456" s="11" t="str">
        <x:v>Start from the same eligible fixture and retain the submitted draft; record the last committed head and receipt. Introduce the boundary or failure stated below.</x:v>
      </x:c>
      <x:c r="F456" s="11" t="str">
        <x:v>1. Exercise each independent condition in the validation contract, as separate recorded variants: A feature flag is not a security exemption. Production promotion requires the declared gate evidence; unsupported dependencies receive an owned risk and resolution decision. 2. Inspect the safe error/state and authorised recovery actions. 3. Correct the condition and retry under current authority and expected revision. 4. Compare durable effects and audit history with the original baseline.</x:v>
      </x:c>
      <x:c r="G456" s="11" t="str">
        <x:v>A feature flag is not a security exemption. Production promotion requires the declared gate evidence; unsupported dependencies receive an owned risk and resolution decision. Ordinary failed saves have no partial effect. Explicit bulk partial modes account for committed and unprocessed items. A retry does not duplicate the intended business effect.</x:v>
      </x:c>
      <x:c r="H456" s="13" t="str">
        <x:v>Not run</x:v>
      </x:c>
      <x:c r="I456" s="13" t="str"/>
      <x:c r="J456" s="13" t="str">
        <x:v>Expand multi-condition variants in the run record. Required negative coverage, not a claim that one assertion covers every security attack.</x:v>
      </x:c>
    </x:row>
    <x:row r="457" ht="103" customHeight="1">
      <x:c r="A457" s="11" t="str">
        <x:v>TC-SEC-009-01</x:v>
      </x:c>
      <x:c r="B457" s="11" t="str">
        <x:v>FR-SEC-009 / BR-SEC-009</x:v>
      </x:c>
      <x:c r="C457" s="11" t="str">
        <x:v>P0 / R1</x:v>
      </x:c>
      <x:c r="D457" s="11" t="str">
        <x:v>Vulnerability management intended outcome</x:v>
      </x:c>
      <x:c r="E457" s="11" t="str">
        <x:v>Synthetic tenant A; tenant B hidden markers; eligible actor with explicit capability, scope, purpose and current assurance. Set up the source acceptance fixture: Simulate a credential exposure and record report, acknowledgement, containment, rotation, fix and retest times against the applicable targets.</x:v>
      </x:c>
      <x:c r="F457" s="11" t="str">
        <x:v>1. Record current object revisions, policy and safe audit cursor. 2. Perform the specified interaction: Vulnerability intake creates a restricted case with reported scope, severity, affected versions, owner and timing targets. Triage distinguishes confirmed exposure from suspected risk; mitigation, fix, independent retest and closure are separate milestones. 3. Inspect UI, canonical API read and audit/receipt for the resulting version. 4. Apply the acceptance example: Simulate a credential exposure and record report, acknowledgement, containment, rotation, fix and retest times against the applicable targets.</x:v>
      </x:c>
      <x:c r="G457" s="11" t="str">
        <x:v>Simulate a credential exposure and record report, acknowledgement, containment, rotation, fix and retest times against the applicable targets. Required behaviour is preserved: Vulnerability intake creates a restricted case with reported scope, severity, affected versions, owner and timing targets. Triage distinguishes confirmed exposure from suspected risk; mitigation, fix, independent retest and closure are separate milestones.</x:v>
      </x:c>
      <x:c r="H457" s="13" t="str">
        <x:v>Not run</x:v>
      </x:c>
      <x:c r="I457" s="13" t="str"/>
      <x:c r="J457" s="13" t="str">
        <x:v>Primary owning component C02. Execute relevant channels; record actual fixture IDs and observed evidence.</x:v>
      </x:c>
    </x:row>
    <x:row r="458" ht="77" customHeight="1">
      <x:c r="A458" s="11" t="str">
        <x:v>TC-SEC-009-02</x:v>
      </x:c>
      <x:c r="B458" s="11" t="str">
        <x:v>FR-SEC-009 / BR-SEC-009 / SC01–SC08</x:v>
      </x:c>
      <x:c r="C458" s="11" t="str">
        <x:v>P0 / R1</x:v>
      </x:c>
      <x:c r="D458" s="11" t="str">
        <x:v>Vulnerability management validation and recovery</x:v>
      </x:c>
      <x:c r="E458" s="11" t="str">
        <x:v>Start from the same eligible fixture and retain the submitted draft; record the last committed head and receipt. Introduce the boundary or failure stated below.</x:v>
      </x:c>
      <x:c r="F458" s="11" t="str">
        <x:v>1. Exercise each independent condition in the validation contract, as separate recorded variants: Critical and high findings affecting confidentiality, integrity or access follow the BRD release block and timing targets. Exceptions never silently downgrade severity. 2. Inspect the safe error/state and authorised recovery actions. 3. Correct the condition and retry under current authority and expected revision. 4. Compare durable effects and audit history with the original baseline.</x:v>
      </x:c>
      <x:c r="G458" s="11" t="str">
        <x:v>Critical and high findings affecting confidentiality, integrity or access follow the BRD release block and timing targets. Exceptions never silently downgrade severity. Ordinary failed saves have no partial effect. Explicit bulk partial modes account for committed and unprocessed items. A retry does not duplicate the intended business effect.</x:v>
      </x:c>
      <x:c r="H458" s="13" t="str">
        <x:v>Not run</x:v>
      </x:c>
      <x:c r="I458" s="13" t="str"/>
      <x:c r="J458" s="13" t="str">
        <x:v>Expand multi-condition variants in the run record. Required negative coverage, not a claim that one assertion covers every security attack.</x:v>
      </x:c>
    </x:row>
    <x:row r="459" ht="103" customHeight="1">
      <x:c r="A459" s="11" t="str">
        <x:v>TC-SEC-010-01</x:v>
      </x:c>
      <x:c r="B459" s="11" t="str">
        <x:v>FR-SEC-010 / BR-SEC-010</x:v>
      </x:c>
      <x:c r="C459" s="11" t="str">
        <x:v>P0 / R1</x:v>
      </x:c>
      <x:c r="D459" s="11" t="str">
        <x:v>Independent assurance intended outcome</x:v>
      </x:c>
      <x:c r="E459" s="11" t="str">
        <x:v>Synthetic tenant A; tenant B hidden markers; eligible actor with explicit capability, scope, purpose and current assurance. Set up the source acceptance fixture: Attempt release with an unretired high object-authorisation finding; the gate remains blocked until independently retested mitigation is recorded.</x:v>
      </x:c>
      <x:c r="F459" s="11" t="str">
        <x:v>1. Record current object revisions, policy and safe audit cursor. 2. Perform the specified interaction: The assurance record names the assessment scope, deployment profile, assessor independence, dates, findings and retest evidence. General production release requires the defined independent assessment; material changes or annual recurrence create another obligation. 3. Inspect UI, canonical API read and audit/receipt for the resulting version. 4. Apply the acceptance example: Attempt release with an unretired high object-authorisation finding; the gate remains blocked until independently retested mitigation is recorded.</x:v>
      </x:c>
      <x:c r="G459" s="11" t="str">
        <x:v>Attempt release with an unretired high object-authorisation finding; the gate remains blocked until independently retested mitigation is recorded. Required behaviour is preserved: The assurance record names the assessment scope, deployment profile, assessor independence, dates, findings and retest evidence. General production release requires the defined independent assessment; material changes or annual recurrence create another obligation.</x:v>
      </x:c>
      <x:c r="H459" s="13" t="str">
        <x:v>Not run</x:v>
      </x:c>
      <x:c r="I459" s="13" t="str"/>
      <x:c r="J459" s="13" t="str">
        <x:v>Primary owning component C02. Execute relevant channels; record actual fixture IDs and observed evidence.</x:v>
      </x:c>
    </x:row>
    <x:row r="460" ht="77" customHeight="1">
      <x:c r="A460" s="11" t="str">
        <x:v>TC-SEC-010-02</x:v>
      </x:c>
      <x:c r="B460" s="11" t="str">
        <x:v>FR-SEC-010 / BR-SEC-010 / SC01–SC08</x:v>
      </x:c>
      <x:c r="C460" s="11" t="str">
        <x:v>P0 / R1</x:v>
      </x:c>
      <x:c r="D460" s="11" t="str">
        <x:v>Independent assurance validation and recovery</x:v>
      </x:c>
      <x:c r="E460" s="11" t="str">
        <x:v>Start from the same eligible fixture and retain the submitted draft; record the last committed head and receipt. Introduce the boundary or failure stated below.</x:v>
      </x:c>
      <x:c r="F460" s="11" t="str">
        <x:v>1. Exercise each independent condition in the validation contract, as separate recorded variants: Do not label a partial review as whole product certification. Unresolved critical or high exposure needs an effective verified mitigation before release. 2. Inspect the safe error/state and authorised recovery actions. 3. Correct the condition and retry under current authority and expected revision. 4. Compare durable effects and audit history with the original baseline.</x:v>
      </x:c>
      <x:c r="G460" s="11" t="str">
        <x:v>Do not label a partial review as whole product certification. Unresolved critical or high exposure needs an effective verified mitigation before release. Ordinary failed saves have no partial effect. Explicit bulk partial modes account for committed and unprocessed items. A retry does not duplicate the intended business effect.</x:v>
      </x:c>
      <x:c r="H460" s="13" t="str">
        <x:v>Not run</x:v>
      </x:c>
      <x:c r="I460" s="13" t="str"/>
      <x:c r="J460" s="13" t="str">
        <x:v>Expand multi-condition variants in the run record. Required negative coverage, not a claim that one assertion covers every security attack.</x:v>
      </x:c>
    </x:row>
    <x:row r="461" ht="116" customHeight="1">
      <x:c r="A461" s="11" t="str">
        <x:v>TC-SEC-011-01</x:v>
      </x:c>
      <x:c r="B461" s="11" t="str">
        <x:v>FR-SEC-011 / BR-SEC-011</x:v>
      </x:c>
      <x:c r="C461" s="11" t="str">
        <x:v>P0 / R1</x:v>
      </x:c>
      <x:c r="D461" s="11" t="str">
        <x:v>Detection and incident response intended outcome</x:v>
      </x:c>
      <x:c r="E461" s="11" t="str">
        <x:v>Synthetic tenant A; tenant B hidden markers; eligible actor with explicit capability, scope, purpose and current assurance. Set up the source acceptance fixture: A simulated compromised service identity triggers detection and revocation; the incident identifies affected jobs and potential disclosures without exposing payloads in general alerts.</x:v>
      </x:c>
      <x:c r="F461" s="11" t="str">
        <x:v>1. Record current object revisions, policy and safe audit cursor. 2. Perform the specified interaction: Detection rules generate restricted incident records for suspicious identity changes, bulk extraction, service misuse and failed controls. On call receives safe context and correlation references. Incident handling records containment, affected tenants, evidence preservation, recovery and communications decisions. 3. Inspect UI, canonical API read and audit/receipt for the resulting version. 4. Apply the acceptance example: A simulated compromised service identity triggers detection and revocation; the incident identifies affected jobs and potential disclosures without exposing payloads in general alerts.</x:v>
      </x:c>
      <x:c r="G461" s="11" t="str">
        <x:v>A simulated compromised service identity triggers detection and revocation; the incident identifies affected jobs and potential disclosures without exposing payloads in general alerts. Required behaviour is preserved: Detection rules generate restricted incident records for suspicious identity changes, bulk extraction, service misuse and failed controls. On call receives safe context and correlation references. Incident handling records containment, affected tenants, evidence preservation, recovery and communications decisions.</x:v>
      </x:c>
      <x:c r="H461" s="13" t="str">
        <x:v>Not run</x:v>
      </x:c>
      <x:c r="I461" s="13" t="str"/>
      <x:c r="J461" s="13" t="str">
        <x:v>Primary owning component C02. Execute relevant channels; record actual fixture IDs and observed evidence.</x:v>
      </x:c>
    </x:row>
    <x:row r="462" ht="77" customHeight="1">
      <x:c r="A462" s="11" t="str">
        <x:v>TC-SEC-011-02</x:v>
      </x:c>
      <x:c r="B462" s="11" t="str">
        <x:v>FR-SEC-011 / BR-SEC-011 / SC01–SC08</x:v>
      </x:c>
      <x:c r="C462" s="11" t="str">
        <x:v>P0 / R1</x:v>
      </x:c>
      <x:c r="D462" s="11" t="str">
        <x:v>Detection and incident response validation and recovery</x:v>
      </x:c>
      <x:c r="E462" s="11" t="str">
        <x:v>Start from the same eligible fixture and retain the submitted draft; record the last committed head and receipt. Introduce the boundary or failure stated below.</x:v>
      </x:c>
      <x:c r="F462" s="11" t="str">
        <x:v>1. Exercise each independent condition in the validation contract, as separate recorded variants: Notifications use the approved legal and contractual policy, not an invented universal deadline. Investigation access follows exceptional support controls. 2. Inspect the safe error/state and authorised recovery actions. 3. Correct the condition and retry under current authority and expected revision. 4. Compare durable effects and audit history with the original baseline.</x:v>
      </x:c>
      <x:c r="G462" s="11" t="str">
        <x:v>Notifications use the approved legal and contractual policy, not an invented universal deadline. Investigation access follows exceptional support controls. Ordinary failed saves have no partial effect. Explicit bulk partial modes account for committed and unprocessed items. A retry does not duplicate the intended business effect.</x:v>
      </x:c>
      <x:c r="H462" s="13" t="str">
        <x:v>Not run</x:v>
      </x:c>
      <x:c r="I462" s="13" t="str"/>
      <x:c r="J462" s="13" t="str">
        <x:v>Expand multi-condition variants in the run record. Required negative coverage, not a claim that one assertion covers every security attack.</x:v>
      </x:c>
    </x:row>
    <x:row r="463" ht="103" customHeight="1">
      <x:c r="A463" s="11" t="str">
        <x:v>TC-SEC-012-01</x:v>
      </x:c>
      <x:c r="B463" s="11" t="str">
        <x:v>FR-SEC-012 / BR-SEC-012</x:v>
      </x:c>
      <x:c r="C463" s="11" t="str">
        <x:v>P0 / R1</x:v>
      </x:c>
      <x:c r="D463" s="11" t="str">
        <x:v>Environment separation intended outcome</x:v>
      </x:c>
      <x:c r="E463" s="11" t="str">
        <x:v>Synthetic tenant A; tenant B hidden markers; eligible actor with explicit capability, scope, purpose and current assurance. Set up the source acceptance fixture: Use a test credential against production and attempt to activate copied report schedules in a sandbox; both are prevented.</x:v>
      </x:c>
      <x:c r="F463" s="11" t="str">
        <x:v>1. Record current object revisions, policy and safe audit cursor. 2. Perform the specified interaction: Environment identity is visible to operators and integration developers. Test and production credentials are distinct and cannot cross authenticate. Synthetic data is the default for lower environments; exceptional production samples require approved minimisation and expiry. 3. Inspect UI, canonical API read and audit/receipt for the resulting version. 4. Apply the acceptance example: Use a test credential against production and attempt to activate copied report schedules in a sandbox; both are prevented.</x:v>
      </x:c>
      <x:c r="G463" s="11" t="str">
        <x:v>Use a test credential against production and attempt to activate copied report schedules in a sandbox; both are prevented. Required behaviour is preserved: Environment identity is visible to operators and integration developers. Test and production credentials are distinct and cannot cross authenticate. Synthetic data is the default for lower environments; exceptional production samples require approved minimisation and expiry.</x:v>
      </x:c>
      <x:c r="H463" s="13" t="str">
        <x:v>Not run</x:v>
      </x:c>
      <x:c r="I463" s="13" t="str"/>
      <x:c r="J463" s="13" t="str">
        <x:v>Primary owning component C02. Execute relevant channels; record actual fixture IDs and observed evidence.</x:v>
      </x:c>
    </x:row>
    <x:row r="464" ht="77" customHeight="1">
      <x:c r="A464" s="11" t="str">
        <x:v>TC-SEC-012-02</x:v>
      </x:c>
      <x:c r="B464" s="11" t="str">
        <x:v>FR-SEC-012 / BR-SEC-012 / SC01–SC08</x:v>
      </x:c>
      <x:c r="C464" s="11" t="str">
        <x:v>P0 / R1</x:v>
      </x:c>
      <x:c r="D464" s="11" t="str">
        <x:v>Environment separation validation and recovery</x:v>
      </x:c>
      <x:c r="E464" s="11" t="str">
        <x:v>Start from the same eligible fixture and retain the submitted draft; record the last committed head and receipt. Introduce the boundary or failure stated below.</x:v>
      </x:c>
      <x:c r="F464" s="11" t="str">
        <x:v>1. Exercise each independent condition in the validation contract, as separate recorded variants: No hidden production test users or bypass roles. A copied configuration omits production secrets, external recipients and active schedules. 2. Inspect the safe error/state and authorised recovery actions. 3. Correct the condition and retry under current authority and expected revision. 4. Compare durable effects and audit history with the original baseline.</x:v>
      </x:c>
      <x:c r="G464" s="11" t="str">
        <x:v>No hidden production test users or bypass roles. A copied configuration omits production secrets, external recipients and active schedules. Ordinary failed saves have no partial effect. Explicit bulk partial modes account for committed and unprocessed items. A retry does not duplicate the intended business effect.</x:v>
      </x:c>
      <x:c r="H464" s="13" t="str">
        <x:v>Not run</x:v>
      </x:c>
      <x:c r="I464" s="13" t="str"/>
      <x:c r="J464" s="13" t="str">
        <x:v>Expand multi-condition variants in the run record. Required negative coverage, not a claim that one assertion covers every security attack.</x:v>
      </x:c>
    </x:row>
    <x:row r="465" ht="103" customHeight="1">
      <x:c r="A465" s="11" t="str">
        <x:v>TC-SEC-013-01</x:v>
      </x:c>
      <x:c r="B465" s="11" t="str">
        <x:v>FR-SEC-013 / BR-SEC-013</x:v>
      </x:c>
      <x:c r="C465" s="11" t="str">
        <x:v>P0 / R1</x:v>
      </x:c>
      <x:c r="D465" s="11" t="str">
        <x:v>Privileged operations intended outcome</x:v>
      </x:c>
      <x:c r="E465" s="11" t="str">
        <x:v>Synthetic tenant A; tenant B hidden markers; eligible actor with explicit capability, scope, purpose and current assurance. Set up the source acceptance fixture: Elevate an operator for recovery diagnostics, expire the grant and verify further reads and queued sensitive operations are denied.</x:v>
      </x:c>
      <x:c r="F465" s="11" t="str">
        <x:v>1. Record current object revisions, policy and safe audit cursor. 2. Perform the specified interaction: Operators request elevation for a named incident or maintenance task, exact capability scope and duration. A distinct reviewer approves where required; emergency activation creates mandatory retrospective review. Sessions retain real actor and expire automatically. 3. Inspect UI, canonical API read and audit/receipt for the resulting version. 4. Apply the acceptance example: Elevate an operator for recovery diagnostics, expire the grant and verify further reads and queued sensitive operations are denied.</x:v>
      </x:c>
      <x:c r="G465" s="11" t="str">
        <x:v>Elevate an operator for recovery diagnostics, expire the grant and verify further reads and queued sensitive operations are denied. Required behaviour is preserved: Operators request elevation for a named incident or maintenance task, exact capability scope and duration. A distinct reviewer approves where required; emergency activation creates mandatory retrospective review. Sessions retain real actor and expire automatically.</x:v>
      </x:c>
      <x:c r="H465" s="13" t="str">
        <x:v>Not run</x:v>
      </x:c>
      <x:c r="I465" s="13" t="str"/>
      <x:c r="J465" s="13" t="str">
        <x:v>Primary owning component C02. Execute relevant channels; record actual fixture IDs and observed evidence.</x:v>
      </x:c>
    </x:row>
    <x:row r="466" ht="77" customHeight="1">
      <x:c r="A466" s="11" t="str">
        <x:v>TC-SEC-013-02</x:v>
      </x:c>
      <x:c r="B466" s="11" t="str">
        <x:v>FR-SEC-013 / BR-SEC-013 / SC01–SC08</x:v>
      </x:c>
      <x:c r="C466" s="11" t="str">
        <x:v>P0 / R1</x:v>
      </x:c>
      <x:c r="D466" s="11" t="str">
        <x:v>Privileged operations validation and recovery</x:v>
      </x:c>
      <x:c r="E466" s="11" t="str">
        <x:v>Start from the same eligible fixture and retain the submitted draft; record the last committed head and receipt. Introduce the boundary or failure stated below.</x:v>
      </x:c>
      <x:c r="F466" s="11" t="str">
        <x:v>1. Exercise each independent condition in the validation contract, as separate recorded variants: Standing broad content access is prohibited by default. A privileged operation rechecks current elevation and cannot continue from an expired job credential. 2. Inspect the safe error/state and authorised recovery actions. 3. Correct the condition and retry under current authority and expected revision. 4. Compare durable effects and audit history with the original baseline.</x:v>
      </x:c>
      <x:c r="G466" s="11" t="str">
        <x:v>Standing broad content access is prohibited by default. A privileged operation rechecks current elevation and cannot continue from an expired job credential. Ordinary failed saves have no partial effect. Explicit bulk partial modes account for committed and unprocessed items. A retry does not duplicate the intended business effect.</x:v>
      </x:c>
      <x:c r="H466" s="13" t="str">
        <x:v>Not run</x:v>
      </x:c>
      <x:c r="I466" s="13" t="str"/>
      <x:c r="J466" s="13" t="str">
        <x:v>Expand multi-condition variants in the run record. Required negative coverage, not a claim that one assertion covers every security attack.</x:v>
      </x:c>
    </x:row>
    <x:row r="467" ht="90" customHeight="1">
      <x:c r="A467" s="11" t="str">
        <x:v>TC-SEC-014-01</x:v>
      </x:c>
      <x:c r="B467" s="11" t="str">
        <x:v>FR-SEC-014 / BR-SEC-014</x:v>
      </x:c>
      <x:c r="C467" s="11" t="str">
        <x:v>P0 / R1</x:v>
      </x:c>
      <x:c r="D467" s="11" t="str">
        <x:v>Resilience to abusive traffic intended outcome</x:v>
      </x:c>
      <x:c r="E467" s="11" t="str">
        <x:v>Synthetic tenant A; tenant B hidden markers; eligible actor with explicit capability, scope, purpose and current assurance. Set up the source acceptance fixture: Apply a burst to one public form and verify bounded rejection there while other tenants continue collecting and approving records.</x:v>
      </x:c>
      <x:c r="F467" s="11" t="str">
        <x:v>1. Record current object revisions, policy and safe audit cursor. 2. Perform the specified interaction: Abuse controls separately govern login, public collection, search, exports and AI. Affected users see a safe wait or recovery route. Limits use tenant and credential context so one abusive source does not indiscriminately lock out unrelated organisations. 3. Inspect UI, canonical API read and audit/receipt for the resulting version. 4. Apply the acceptance example: Apply a burst to one public form and verify bounded rejection there while other tenants continue collecting and approving records.</x:v>
      </x:c>
      <x:c r="G467" s="11" t="str">
        <x:v>Apply a burst to one public form and verify bounded rejection there while other tenants continue collecting and approving records. Required behaviour is preserved: Abuse controls separately govern login, public collection, search, exports and AI. Affected users see a safe wait or recovery route. Limits use tenant and credential context so one abusive source does not indiscriminately lock out unrelated organisations.</x:v>
      </x:c>
      <x:c r="H467" s="13" t="str">
        <x:v>Not run</x:v>
      </x:c>
      <x:c r="I467" s="13" t="str"/>
      <x:c r="J467" s="13" t="str">
        <x:v>Primary owning component C02. Execute relevant channels; record actual fixture IDs and observed evidence.</x:v>
      </x:c>
    </x:row>
    <x:row r="468" ht="77" customHeight="1">
      <x:c r="A468" s="11" t="str">
        <x:v>TC-SEC-014-02</x:v>
      </x:c>
      <x:c r="B468" s="11" t="str">
        <x:v>FR-SEC-014 / BR-SEC-014 / SC01–SC08</x:v>
      </x:c>
      <x:c r="C468" s="11" t="str">
        <x:v>P0 / R1</x:v>
      </x:c>
      <x:c r="D468" s="11" t="str">
        <x:v>Resilience to abusive traffic validation and recovery</x:v>
      </x:c>
      <x:c r="E468" s="11" t="str">
        <x:v>Start from the same eligible fixture and retain the submitted draft; record the last committed head and receipt. Introduce the boundary or failure stated below.</x:v>
      </x:c>
      <x:c r="F468" s="11" t="str">
        <x:v>1. Exercise each independent condition in the validation contract, as separate recorded variants: Accessible challenges and assisted recovery are available where needed. Denial controls cannot expose account existence or participant lookup results. 2. Inspect the safe error/state and authorised recovery actions. 3. Correct the condition and retry under current authority and expected revision. 4. Compare durable effects and audit history with the original baseline.</x:v>
      </x:c>
      <x:c r="G468" s="11" t="str">
        <x:v>Accessible challenges and assisted recovery are available where needed. Denial controls cannot expose account existence or participant lookup results. Ordinary failed saves have no partial effect. Explicit bulk partial modes account for committed and unprocessed items. A retry does not duplicate the intended business effect.</x:v>
      </x:c>
      <x:c r="H468" s="13" t="str">
        <x:v>Not run</x:v>
      </x:c>
      <x:c r="I468" s="13" t="str"/>
      <x:c r="J468" s="13" t="str">
        <x:v>Expand multi-condition variants in the run record. Required negative coverage, not a claim that one assertion covers every security attack.</x:v>
      </x:c>
    </x:row>
    <x:row r="469" ht="103" customHeight="1">
      <x:c r="A469" s="11" t="str">
        <x:v>TC-SEC-015-01</x:v>
      </x:c>
      <x:c r="B469" s="11" t="str">
        <x:v>FR-SEC-015 / BR-SEC-015</x:v>
      </x:c>
      <x:c r="C469" s="11" t="str">
        <x:v>P2 / R3</x:v>
      </x:c>
      <x:c r="D469" s="11" t="str">
        <x:v>Enterprise assurance options intended outcome</x:v>
      </x:c>
      <x:c r="E469" s="11" t="str">
        <x:v>Synthetic tenant A; tenant B hidden markers; eligible actor with explicit capability, scope, purpose and current assurance. Set up the source acceptance fixture: Qualify one dedicated profile, lose its customer controlled key and verify the documented unavailable and recovery behaviour without silently moving data elsewhere.</x:v>
      </x:c>
      <x:c r="F469" s="11" t="str">
        <x:v>1. Record current object revisions, policy and safe audit cursor. 2. Perform the specified interaction: A deployment variant has a named capability profile, region and recovery constraints, responsibilities, upgrade process, key custody and exit process. Product screens show supported and unsupported features for that qualified profile. 3. Inspect UI, canonical API read and audit/receipt for the resulting version. 4. Apply the acceptance example: Qualify one dedicated profile, lose its customer controlled key and verify the documented unavailable and recovery behaviour without silently moving data elsewhere.</x:v>
      </x:c>
      <x:c r="G469" s="11" t="str">
        <x:v>Qualify one dedicated profile, lose its customer controlled key and verify the documented unavailable and recovery behaviour without silently moving data elsewhere. Required behaviour is preserved: A deployment variant has a named capability profile, region and recovery constraints, responsibilities, upgrade process, key custody and exit process. Product screens show supported and unsupported features for that qualified profile.</x:v>
      </x:c>
      <x:c r="H469" s="13" t="str">
        <x:v>Not run</x:v>
      </x:c>
      <x:c r="I469" s="13" t="str"/>
      <x:c r="J469" s="13" t="str">
        <x:v>Primary owning component C02. Execute relevant channels; record actual fixture IDs and observed evidence.</x:v>
      </x:c>
    </x:row>
    <x:row r="470" ht="90" customHeight="1">
      <x:c r="A470" s="11" t="str">
        <x:v>TC-SEC-015-02</x:v>
      </x:c>
      <x:c r="B470" s="11" t="str">
        <x:v>FR-SEC-015 / BR-SEC-015 / SC01–SC08</x:v>
      </x:c>
      <x:c r="C470" s="11" t="str">
        <x:v>P2 / R3</x:v>
      </x:c>
      <x:c r="D470" s="11" t="str">
        <x:v>Enterprise assurance options validation and recovery</x:v>
      </x:c>
      <x:c r="E470" s="11" t="str">
        <x:v>Start from the same eligible fixture and retain the submitted draft; record the last committed head and receipt. Introduce the boundary or failure stated below.</x:v>
      </x:c>
      <x:c r="F470" s="11" t="str">
        <x:v>1. Exercise each independent condition in the validation contract, as separate recorded variants: Dedicated deployment and customer controlled keys are not available merely by selecting a commercial checkbox. Each offered variant must pass equivalent functional, isolation and recovery gates. 2. Inspect the safe error/state and authorised recovery actions. 3. Correct the condition and retry under current authority and expected revision. 4. Compare durable effects and audit history with the original baseline.</x:v>
      </x:c>
      <x:c r="G470" s="11" t="str">
        <x:v>Dedicated deployment and customer controlled keys are not available merely by selecting a commercial checkbox. Each offered variant must pass equivalent functional, isolation and recovery gates. Ordinary failed saves have no partial effect. Explicit bulk partial modes account for committed and unprocessed items. A retry does not duplicate the intended business effect.</x:v>
      </x:c>
      <x:c r="H470" s="13" t="str">
        <x:v>Not run</x:v>
      </x:c>
      <x:c r="I470" s="13" t="str"/>
      <x:c r="J470" s="13" t="str">
        <x:v>Expand multi-condition variants in the run record. Required negative coverage, not a claim that one assertion covers every security attack.</x:v>
      </x:c>
    </x:row>
    <x:row r="471" ht="90" customHeight="1">
      <x:c r="A471" s="11" t="str">
        <x:v>TC-PRV-001-01</x:v>
      </x:c>
      <x:c r="B471" s="11" t="str">
        <x:v>FR-PRV-001 / BR-PRV-001</x:v>
      </x:c>
      <x:c r="C471" s="11" t="str">
        <x:v>P0 / R1</x:v>
      </x:c>
      <x:c r="D471" s="11" t="str">
        <x:v>Data inventory and classification intended outcome</x:v>
      </x:c>
      <x:c r="E471" s="11" t="str">
        <x:v>Synthetic tenant A; tenant B hidden markers; eligible actor with explicit capability, scope, purpose and current assurance. Set up the source acceptance fixture: Add a restricted participant field and verify its values are absent from ordinary logs, analyst views, exports and unapproved model inputs.</x:v>
      </x:c>
      <x:c r="F471" s="11" t="str">
        <x:v>1. Record current object revisions, policy and safe audit cursor. 2. Perform the specified interaction: Every new data field and source receives classification, purpose, owner and retention. Default inheritance uses the stricter source classification; explicit reclassification requires review and shows affected forms, exports, indexes and AI policies. 3. Inspect UI, canonical API read and audit/receipt for the resulting version. 4. Apply the acceptance example: Add a restricted participant field and verify its values are absent from ordinary logs, analyst views, exports and unapproved model inputs.</x:v>
      </x:c>
      <x:c r="G471" s="11" t="str">
        <x:v>Add a restricted participant field and verify its values are absent from ordinary logs, analyst views, exports and unapproved model inputs. Required behaviour is preserved: Every new data field and source receives classification, purpose, owner and retention. Default inheritance uses the stricter source classification; explicit reclassification requires review and shows affected forms, exports, indexes and AI policies.</x:v>
      </x:c>
      <x:c r="H471" s="13" t="str">
        <x:v>Not run</x:v>
      </x:c>
      <x:c r="I471" s="13" t="str"/>
      <x:c r="J471" s="13" t="str">
        <x:v>Primary owning component C13. Execute relevant channels; record actual fixture IDs and observed evidence.</x:v>
      </x:c>
    </x:row>
    <x:row r="472" ht="77" customHeight="1">
      <x:c r="A472" s="11" t="str">
        <x:v>TC-PRV-001-02</x:v>
      </x:c>
      <x:c r="B472" s="11" t="str">
        <x:v>FR-PRV-001 / BR-PRV-001 / SC01–SC08</x:v>
      </x:c>
      <x:c r="C472" s="11" t="str">
        <x:v>P0 / R1</x:v>
      </x:c>
      <x:c r="D472" s="11" t="str">
        <x:v>Data inventory and classification validation and recovery</x:v>
      </x:c>
      <x:c r="E472" s="11" t="str">
        <x:v>Start from the same eligible fixture and retain the submitted draft; record the last committed head and receipt. Introduce the boundary or failure stated below.</x:v>
      </x:c>
      <x:c r="F472" s="11" t="str">
        <x:v>1. Exercise each independent condition in the validation contract, as separate recorded variants: Derived data cannot downgrade itself. Credentials are excluded from ordinary content classification and handled as secrets. Unclassified sensitive production collection is blocked. 2. Inspect the safe error/state and authorised recovery actions. 3. Correct the condition and retry under current authority and expected revision. 4. Compare durable effects and audit history with the original baseline.</x:v>
      </x:c>
      <x:c r="G472" s="11" t="str">
        <x:v>Derived data cannot downgrade itself. Credentials are excluded from ordinary content classification and handled as secrets. Unclassified sensitive production collection is blocked. Ordinary failed saves have no partial effect. Explicit bulk partial modes account for committed and unprocessed items. A retry does not duplicate the intended business effect.</x:v>
      </x:c>
      <x:c r="H472" s="13" t="str">
        <x:v>Not run</x:v>
      </x:c>
      <x:c r="I472" s="13" t="str"/>
      <x:c r="J472" s="13" t="str">
        <x:v>Expand multi-condition variants in the run record. Required negative coverage, not a claim that one assertion covers every security attack.</x:v>
      </x:c>
    </x:row>
    <x:row r="473" ht="90" customHeight="1">
      <x:c r="A473" s="11" t="str">
        <x:v>TC-PRV-002-01</x:v>
      </x:c>
      <x:c r="B473" s="11" t="str">
        <x:v>FR-PRV-002 / BR-PRV-002</x:v>
      </x:c>
      <x:c r="C473" s="11" t="str">
        <x:v>P0 / R1</x:v>
      </x:c>
      <x:c r="D473" s="11" t="str">
        <x:v>Minimisation and purpose controls intended outcome</x:v>
      </x:c>
      <x:c r="E473" s="11" t="str">
        <x:v>Synthetic tenant A; tenant B hidden markers; eligible actor with explicit capability, scope, purpose and current assurance. Set up the source acceptance fixture: Attempt to send service delivery identities for shared model training under a monitoring purpose; policy denies the transfer before transmission.</x:v>
      </x:c>
      <x:c r="F473" s="11" t="str">
        <x:v>1. Record current object revisions, policy and safe audit cursor. 2. Perform the specified interaction: Programme setup records why each personal field is necessary and which uses are allowed. New research, linkage or model improvement creates a separate purpose review and data scope selection. Optional fields remain optional in collection. 3. Inspect UI, canonical API read and audit/receipt for the resulting version. 4. Apply the acceptance example: Attempt to send service delivery identities for shared model training under a monitoring purpose; policy denies the transfer before transmission.</x:v>
      </x:c>
      <x:c r="G473" s="11" t="str">
        <x:v>Attempt to send service delivery identities for shared model training under a monitoring purpose; policy denies the transfer before transmission. Required behaviour is preserved: Programme setup records why each personal field is necessary and which uses are allowed. New research, linkage or model improvement creates a separate purpose review and data scope selection. Optional fields remain optional in collection.</x:v>
      </x:c>
      <x:c r="H473" s="13" t="str">
        <x:v>Not run</x:v>
      </x:c>
      <x:c r="I473" s="13" t="str"/>
      <x:c r="J473" s="13" t="str">
        <x:v>Primary owning component C13. Execute relevant channels; record actual fixture IDs and observed evidence.</x:v>
      </x:c>
    </x:row>
    <x:row r="474" ht="77" customHeight="1">
      <x:c r="A474" s="11" t="str">
        <x:v>TC-PRV-002-02</x:v>
      </x:c>
      <x:c r="B474" s="11" t="str">
        <x:v>FR-PRV-002 / BR-PRV-002 / SC01–SC08</x:v>
      </x:c>
      <x:c r="C474" s="11" t="str">
        <x:v>P0 / R1</x:v>
      </x:c>
      <x:c r="D474" s="11" t="str">
        <x:v>Minimisation and purpose controls validation and recovery</x:v>
      </x:c>
      <x:c r="E474" s="11" t="str">
        <x:v>Start from the same eligible fixture and retain the submitted draft; record the last committed head and receipt. Introduce the boundary or failure stated below.</x:v>
      </x:c>
      <x:c r="F474" s="11" t="str">
        <x:v>1. Exercise each independent condition in the validation contract, as separate recorded variants: A broad project permission does not authorise every reuse. Rejected purposes cannot be enabled by copying the dataset or changing its label. 2. Inspect the safe error/state and authorised recovery actions. 3. Correct the condition and retry under current authority and expected revision. 4. Compare durable effects and audit history with the original baseline.</x:v>
      </x:c>
      <x:c r="G474" s="11" t="str">
        <x:v>A broad project permission does not authorise every reuse. Rejected purposes cannot be enabled by copying the dataset or changing its label. Ordinary failed saves have no partial effect. Explicit bulk partial modes account for committed and unprocessed items. A retry does not duplicate the intended business effect.</x:v>
      </x:c>
      <x:c r="H474" s="13" t="str">
        <x:v>Not run</x:v>
      </x:c>
      <x:c r="I474" s="13" t="str"/>
      <x:c r="J474" s="13" t="str">
        <x:v>Expand multi-condition variants in the run record. Required negative coverage, not a claim that one assertion covers every security attack.</x:v>
      </x:c>
    </x:row>
    <x:row r="475" ht="103" customHeight="1">
      <x:c r="A475" s="11" t="str">
        <x:v>TC-PRV-003-01</x:v>
      </x:c>
      <x:c r="B475" s="11" t="str">
        <x:v>FR-PRV-003 / BR-PRV-003</x:v>
      </x:c>
      <x:c r="C475" s="11" t="str">
        <x:v>P0 / R1</x:v>
      </x:c>
      <x:c r="D475" s="11" t="str">
        <x:v>Hosting and transfer policy intended outcome</x:v>
      </x:c>
      <x:c r="E475" s="11" t="str">
        <x:v>Synthetic tenant A; tenant B hidden markers; eligible actor with explicit capability, scope, purpose and current assurance. Set up the source acceptance fixture: Fail the primary region and request recovery in a prohibited region; recovery is blocked and the incident records the approved alternative or continued outage.</x:v>
      </x:c>
      <x:c r="F475" s="11" t="str">
        <x:v>1. Record current object revisions, policy and safe audit cursor. 2. Perform the specified interaction: The tenant policy lists permitted regions and destinations for primary data, recovery, support and models. Adding a destination requires the applicable approval and impact notice. Processing checks destination eligibility before transfer. 3. Inspect UI, canonical API read and audit/receipt for the resulting version. 4. Apply the acceptance example: Fail the primary region and request recovery in a prohibited region; recovery is blocked and the incident records the approved alternative or continued outage.</x:v>
      </x:c>
      <x:c r="G475" s="11" t="str">
        <x:v>Fail the primary region and request recovery in a prohibited region; recovery is blocked and the incident records the approved alternative or continued outage. Required behaviour is preserved: The tenant policy lists permitted regions and destinations for primary data, recovery, support and models. Adding a destination requires the applicable approval and impact notice. Processing checks destination eligibility before transfer.</x:v>
      </x:c>
      <x:c r="H475" s="13" t="str">
        <x:v>Not run</x:v>
      </x:c>
      <x:c r="I475" s="13" t="str"/>
      <x:c r="J475" s="13" t="str">
        <x:v>Primary owning component C13. Execute relevant channels; record actual fixture IDs and observed evidence.</x:v>
      </x:c>
    </x:row>
    <x:row r="476" ht="77" customHeight="1">
      <x:c r="A476" s="11" t="str">
        <x:v>TC-PRV-003-02</x:v>
      </x:c>
      <x:c r="B476" s="11" t="str">
        <x:v>FR-PRV-003 / BR-PRV-003 / SC01–SC08</x:v>
      </x:c>
      <x:c r="C476" s="11" t="str">
        <x:v>P0 / R1</x:v>
      </x:c>
      <x:c r="D476" s="11" t="str">
        <x:v>Hosting and transfer policy validation and recovery</x:v>
      </x:c>
      <x:c r="E476" s="11" t="str">
        <x:v>Start from the same eligible fixture and retain the submitted draft; record the last committed head and receipt. Introduce the boundary or failure stated below.</x:v>
      </x:c>
      <x:c r="F476" s="11" t="str">
        <x:v>1. Exercise each independent condition in the validation contract, as separate recorded variants: Failover cannot override residency. If no permitted recovery destination is available, maintain a controlled outage and communicate the restriction rather than moving data silently. 2. Inspect the safe error/state and authorised recovery actions. 3. Correct the condition and retry under current authority and expected revision. 4. Compare durable effects and audit history with the original baseline.</x:v>
      </x:c>
      <x:c r="G476" s="11" t="str">
        <x:v>Failover cannot override residency. If no permitted recovery destination is available, maintain a controlled outage and communicate the restriction rather than moving data silently. Ordinary failed saves have no partial effect. Explicit bulk partial modes account for committed and unprocessed items. A retry does not duplicate the intended business effect.</x:v>
      </x:c>
      <x:c r="H476" s="13" t="str">
        <x:v>Not run</x:v>
      </x:c>
      <x:c r="I476" s="13" t="str"/>
      <x:c r="J476" s="13" t="str">
        <x:v>Expand multi-condition variants in the run record. Required negative coverage, not a claim that one assertion covers every security attack.</x:v>
      </x:c>
    </x:row>
    <x:row r="477" ht="103" customHeight="1">
      <x:c r="A477" s="11" t="str">
        <x:v>TC-PRV-004-01</x:v>
      </x:c>
      <x:c r="B477" s="11" t="str">
        <x:v>FR-PRV-004 / BR-PRV-004</x:v>
      </x:c>
      <x:c r="C477" s="11" t="str">
        <x:v>P0 / R1</x:v>
      </x:c>
      <x:c r="D477" s="11" t="str">
        <x:v>Retention schedules intended outcome</x:v>
      </x:c>
      <x:c r="E477" s="11" t="str">
        <x:v>Synthetic tenant A; tenant B hidden markers; eligible actor with explicit capability, scope, purpose and current assurance. Set up the source acceptance fixture: Configure 90 day diagnostic logs and a separate approved evidence term; each expires through its own schedule with accountable exceptions.</x:v>
      </x:c>
      <x:c r="F477" s="11" t="str">
        <x:v>1. Record current object revisions, policy and safe audit cursor. 2. Perform the specified interaction: Retention policies specify data class, purpose, trigger, duration, expiry action and owner. A preview calculates affected objects and holds. Collection activation requires approved record and evidence policies; operational defaults inherit the BRD bounds. 3. Inspect UI, canonical API read and audit/receipt for the resulting version. 4. Apply the acceptance example: Configure 90 day diagnostic logs and a separate approved evidence term; each expires through its own schedule with accountable exceptions.</x:v>
      </x:c>
      <x:c r="G477" s="11" t="str">
        <x:v>Configure 90 day diagnostic logs and a separate approved evidence term; each expires through its own schedule with accountable exceptions. Required behaviour is preserved: Retention policies specify data class, purpose, trigger, duration, expiry action and owner. A preview calculates affected objects and holds. Collection activation requires approved record and evidence policies; operational defaults inherit the BRD bounds.</x:v>
      </x:c>
      <x:c r="H477" s="13" t="str">
        <x:v>Not run</x:v>
      </x:c>
      <x:c r="I477" s="13" t="str"/>
      <x:c r="J477" s="13" t="str">
        <x:v>Primary owning component C13. Execute relevant channels; record actual fixture IDs and observed evidence.</x:v>
      </x:c>
    </x:row>
    <x:row r="478" ht="77" customHeight="1">
      <x:c r="A478" s="11" t="str">
        <x:v>TC-PRV-004-02</x:v>
      </x:c>
      <x:c r="B478" s="11" t="str">
        <x:v>FR-PRV-004 / BR-PRV-004 / SC01–SC08</x:v>
      </x:c>
      <x:c r="C478" s="11" t="str">
        <x:v>P0 / R1</x:v>
      </x:c>
      <x:c r="D478" s="11" t="str">
        <x:v>Retention schedules validation and recovery</x:v>
      </x:c>
      <x:c r="E478" s="11" t="str">
        <x:v>Start from the same eligible fixture and retain the submitted draft; record the last committed head and receipt. Introduce the boundary or failure stated below.</x:v>
      </x:c>
      <x:c r="F478" s="11" t="str">
        <x:v>1. Exercise each independent condition in the validation contract, as separate recorded variants: A generic tenant retention value cannot accidentally cover every class. Policy changes must disclose earlier or later deletion impact and preserve valid holds. 2. Inspect the safe error/state and authorised recovery actions. 3. Correct the condition and retry under current authority and expected revision. 4. Compare durable effects and audit history with the original baseline.</x:v>
      </x:c>
      <x:c r="G478" s="11" t="str">
        <x:v>A generic tenant retention value cannot accidentally cover every class. Policy changes must disclose earlier or later deletion impact and preserve valid holds. Ordinary failed saves have no partial effect. Explicit bulk partial modes account for committed and unprocessed items. A retry does not duplicate the intended business effect.</x:v>
      </x:c>
      <x:c r="H478" s="13" t="str">
        <x:v>Not run</x:v>
      </x:c>
      <x:c r="I478" s="13" t="str"/>
      <x:c r="J478" s="13" t="str">
        <x:v>Expand multi-condition variants in the run record. Required negative coverage, not a claim that one assertion covers every security attack.</x:v>
      </x:c>
    </x:row>
    <x:row r="479" ht="103" customHeight="1">
      <x:c r="A479" s="11" t="str">
        <x:v>TC-PRV-005-01</x:v>
      </x:c>
      <x:c r="B479" s="11" t="str">
        <x:v>FR-PRV-005 / BR-PRV-005</x:v>
      </x:c>
      <x:c r="C479" s="11" t="str">
        <x:v>P0 / R1</x:v>
      </x:c>
      <x:c r="D479" s="11" t="str">
        <x:v>Deletion restriction and holds intended outcome</x:v>
      </x:c>
      <x:c r="E479" s="11" t="str">
        <x:v>Synthetic tenant A; tenant B hidden markers; eligible actor with explicit capability, scope, purpose and current assurance. Set up the source acceptance fixture: Delete a participant record with one held attachment; active data disappears within the target and the case explicitly reports the held item and review date.</x:v>
      </x:c>
      <x:c r="F479" s="11" t="str">
        <x:v>1. Record current object revisions, policy and safe audit cursor. 2. Perform the specified interaction: An authorised request first restricts eligible content where needed, then enumerates primary records, derivatives, indexes, generated artifacts and disclosures. Execution records per store outcome, hold, retry and completion time. Anonymisation is a separately verified transformation. 3. Inspect UI, canonical API read and audit/receipt for the resulting version. 4. Apply the acceptance example: Delete a participant record with one held attachment; active data disappears within the target and the case explicitly reports the held item and review date.</x:v>
      </x:c>
      <x:c r="G479" s="11" t="str">
        <x:v>Delete a participant record with one held attachment; active data disappears within the target and the case explicitly reports the held item and review date. Required behaviour is preserved: An authorised request first restricts eligible content where needed, then enumerates primary records, derivatives, indexes, generated artifacts and disclosures. Execution records per store outcome, hold, retry and completion time. Anonymisation is a separately verified transformation.</x:v>
      </x:c>
      <x:c r="H479" s="13" t="str">
        <x:v>Not run</x:v>
      </x:c>
      <x:c r="I479" s="13" t="str"/>
      <x:c r="J479" s="13" t="str">
        <x:v>Primary owning component C13. Execute relevant channels; record actual fixture IDs and observed evidence.</x:v>
      </x:c>
    </x:row>
    <x:row r="480" ht="77" customHeight="1">
      <x:c r="A480" s="11" t="str">
        <x:v>TC-PRV-005-02</x:v>
      </x:c>
      <x:c r="B480" s="11" t="str">
        <x:v>FR-PRV-005 / BR-PRV-005 / SC01–SC08</x:v>
      </x:c>
      <x:c r="C480" s="11" t="str">
        <x:v>P0 / R1</x:v>
      </x:c>
      <x:c r="D480" s="11" t="str">
        <x:v>Deletion restriction and holds validation and recovery</x:v>
      </x:c>
      <x:c r="E480" s="11" t="str">
        <x:v>Start from the same eligible fixture and retain the submitted draft; record the last committed head and receipt. Introduce the boundary or failure stated below.</x:v>
      </x:c>
      <x:c r="F480" s="11" t="str">
        <x:v>1. Exercise each independent condition in the validation contract, as separate recorded variants: Deletion cannot be marked complete while active accessible copies remain. Held content is isolated for the approved purpose; a hold is not general continued operational use. 2. Inspect the safe error/state and authorised recovery actions. 3. Correct the condition and retry under current authority and expected revision. 4. Compare durable effects and audit history with the original baseline.</x:v>
      </x:c>
      <x:c r="G480" s="11" t="str">
        <x:v>Deletion cannot be marked complete while active accessible copies remain. Held content is isolated for the approved purpose; a hold is not general continued operational use. Ordinary failed saves have no partial effect. Explicit bulk partial modes account for committed and unprocessed items. A retry does not duplicate the intended business effect.</x:v>
      </x:c>
      <x:c r="H480" s="13" t="str">
        <x:v>Not run</x:v>
      </x:c>
      <x:c r="I480" s="13" t="str"/>
      <x:c r="J480" s="13" t="str">
        <x:v>Expand multi-condition variants in the run record. Required negative coverage, not a claim that one assertion covers every security attack.</x:v>
      </x:c>
    </x:row>
    <x:row r="481" ht="103" customHeight="1">
      <x:c r="A481" s="11" t="str">
        <x:v>TC-PRV-006-01</x:v>
      </x:c>
      <x:c r="B481" s="11" t="str">
        <x:v>FR-PRV-006 / BR-PRV-006</x:v>
      </x:c>
      <x:c r="C481" s="11" t="str">
        <x:v>P0 / R1</x:v>
      </x:c>
      <x:c r="D481" s="11" t="str">
        <x:v>Backup deletion handling intended outcome</x:v>
      </x:c>
      <x:c r="E481" s="11" t="str">
        <x:v>Synthetic tenant A; tenant B hidden markers; eligible actor with explicit capability, scope, purpose and current assurance. Set up the source acceptance fixture: Restore a backup from before a deletion and verify the participant is still unavailable before any user or AI query is admitted.</x:v>
      </x:c>
      <x:c r="F481" s="11" t="str">
        <x:v>1. Record current object revisions, policy and safe audit cursor. 2. Perform the specified interaction: The deletion ledger records minimal object identifiers and restriction instructions needed to prevent restoration. Restore remains closed to ordinary users until these instructions and current grants are reapplied and verified. Backup expiry is recorded separately. 3. Inspect UI, canonical API read and audit/receipt for the resulting version. 4. Apply the acceptance example: Restore a backup from before a deletion and verify the participant is still unavailable before any user or AI query is admitted.</x:v>
      </x:c>
      <x:c r="G481" s="11" t="str">
        <x:v>Restore a backup from before a deletion and verify the participant is still unavailable before any user or AI query is admitted. Required behaviour is preserved: The deletion ledger records minimal object identifiers and restriction instructions needed to prevent restoration. Restore remains closed to ordinary users until these instructions and current grants are reapplied and verified. Backup expiry is recorded separately.</x:v>
      </x:c>
      <x:c r="H481" s="13" t="str">
        <x:v>Not run</x:v>
      </x:c>
      <x:c r="I481" s="13" t="str"/>
      <x:c r="J481" s="13" t="str">
        <x:v>Primary owning component C13. Execute relevant channels; record actual fixture IDs and observed evidence.</x:v>
      </x:c>
    </x:row>
    <x:row r="482" ht="77" customHeight="1">
      <x:c r="A482" s="11" t="str">
        <x:v>TC-PRV-006-02</x:v>
      </x:c>
      <x:c r="B482" s="11" t="str">
        <x:v>FR-PRV-006 / BR-PRV-006 / SC01–SC08</x:v>
      </x:c>
      <x:c r="C482" s="11" t="str">
        <x:v>P0 / R1</x:v>
      </x:c>
      <x:c r="D482" s="11" t="str">
        <x:v>Backup deletion handling validation and recovery</x:v>
      </x:c>
      <x:c r="E482" s="11" t="str">
        <x:v>Start from the same eligible fixture and retain the submitted draft; record the last committed head and receipt. Introduce the boundary or failure stated below.</x:v>
      </x:c>
      <x:c r="F482" s="11" t="str">
        <x:v>1. Exercise each independent condition in the validation contract, as separate recorded variants: Do not claim instant physical erasure from immutable backups when only bounded expiry is supported. A restored historic grant cannot reopen revoked access. 2. Inspect the safe error/state and authorised recovery actions. 3. Correct the condition and retry under current authority and expected revision. 4. Compare durable effects and audit history with the original baseline.</x:v>
      </x:c>
      <x:c r="G482" s="11" t="str">
        <x:v>Do not claim instant physical erasure from immutable backups when only bounded expiry is supported. A restored historic grant cannot reopen revoked access. Ordinary failed saves have no partial effect. Explicit bulk partial modes account for committed and unprocessed items. A retry does not duplicate the intended business effect.</x:v>
      </x:c>
      <x:c r="H482" s="13" t="str">
        <x:v>Not run</x:v>
      </x:c>
      <x:c r="I482" s="13" t="str"/>
      <x:c r="J482" s="13" t="str">
        <x:v>Expand multi-condition variants in the run record. Required negative coverage, not a claim that one assertion covers every security attack.</x:v>
      </x:c>
    </x:row>
    <x:row r="483" ht="103" customHeight="1">
      <x:c r="A483" s="11" t="str">
        <x:v>TC-PRV-007-01</x:v>
      </x:c>
      <x:c r="B483" s="11" t="str">
        <x:v>FR-PRV-007 / BR-PRV-007</x:v>
      </x:c>
      <x:c r="C483" s="11" t="str">
        <x:v>P0 / R1</x:v>
      </x:c>
      <x:c r="D483" s="11" t="str">
        <x:v>Data subject request handling intended outcome</x:v>
      </x:c>
      <x:c r="E483" s="11" t="str">
        <x:v>Synthetic tenant A; tenant B hidden markers; eligible actor with explicit capability, scope, purpose and current assurance. Set up the source acceptance fixture: Process one household member's access request and deliver only their permitted information, excluding another member's confidential answers.</x:v>
      </x:c>
      <x:c r="F483" s="11" t="str">
        <x:v>1. Record current object revisions, policy and safe audit cursor. 2. Perform the specified interaction: A privacy case selects request type, verified subject scope, deadline policy and authorised handler. Search and response preparation exclude other persons' information. Outcome may be completed, partially completed, rejected or on hold with reason and review evidence. 3. Inspect UI, canonical API read and audit/receipt for the resulting version. 4. Apply the acceptance example: Process one household member's access request and deliver only their permitted information, excluding another member's confidential answers.</x:v>
      </x:c>
      <x:c r="G483" s="11" t="str">
        <x:v>Process one household member's access request and deliver only their permitted information, excluding another member's confidential answers. Required behaviour is preserved: A privacy case selects request type, verified subject scope, deadline policy and authorised handler. Search and response preparation exclude other persons' information. Outcome may be completed, partially completed, rejected or on hold with reason and review evidence.</x:v>
      </x:c>
      <x:c r="H483" s="13" t="str">
        <x:v>Not run</x:v>
      </x:c>
      <x:c r="I483" s="13" t="str"/>
      <x:c r="J483" s="13" t="str">
        <x:v>Primary owning component C13. Execute relevant channels; record actual fixture IDs and observed evidence.</x:v>
      </x:c>
    </x:row>
    <x:row r="484" ht="77" customHeight="1">
      <x:c r="A484" s="11" t="str">
        <x:v>TC-PRV-007-02</x:v>
      </x:c>
      <x:c r="B484" s="11" t="str">
        <x:v>FR-PRV-007 / BR-PRV-007 / SC01–SC08</x:v>
      </x:c>
      <x:c r="C484" s="11" t="str">
        <x:v>P0 / R1</x:v>
      </x:c>
      <x:c r="D484" s="11" t="str">
        <x:v>Data subject request handling validation and recovery</x:v>
      </x:c>
      <x:c r="E484" s="11" t="str">
        <x:v>Start from the same eligible fixture and retain the submitted draft; record the last committed head and receipt. Introduce the boundary or failure stated below.</x:v>
      </x:c>
      <x:c r="F484" s="11" t="str">
        <x:v>1. Exercise each independent condition in the validation contract, as separate recorded variants: Do not hardcode one jurisdiction's response deadline as universal. Verification collects minimal evidence and never creates a public participant lookup. 2. Inspect the safe error/state and authorised recovery actions. 3. Correct the condition and retry under current authority and expected revision. 4. Compare durable effects and audit history with the original baseline.</x:v>
      </x:c>
      <x:c r="G484" s="11" t="str">
        <x:v>Do not hardcode one jurisdiction's response deadline as universal. Verification collects minimal evidence and never creates a public participant lookup. Ordinary failed saves have no partial effect. Explicit bulk partial modes account for committed and unprocessed items. A retry does not duplicate the intended business effect.</x:v>
      </x:c>
      <x:c r="H484" s="13" t="str">
        <x:v>Not run</x:v>
      </x:c>
      <x:c r="I484" s="13" t="str"/>
      <x:c r="J484" s="13" t="str">
        <x:v>Expand multi-condition variants in the run record. Required negative coverage, not a claim that one assertion covers every security attack.</x:v>
      </x:c>
    </x:row>
    <x:row r="485" ht="103" customHeight="1">
      <x:c r="A485" s="11" t="str">
        <x:v>TC-PRV-008-01</x:v>
      </x:c>
      <x:c r="B485" s="11" t="str">
        <x:v>FR-PRV-008 / BR-PRV-008</x:v>
      </x:c>
      <x:c r="C485" s="11" t="str">
        <x:v>P1 / R1</x:v>
      </x:c>
      <x:c r="D485" s="11" t="str">
        <x:v>Sharing register and agreements intended outcome</x:v>
      </x:c>
      <x:c r="E485" s="11" t="str">
        <x:v>Synthetic tenant A; tenant B hidden markers; eligible actor with explicit capability, scope, purpose and current assurance. Set up the source acceptance fixture: Correct a shared dataset and identify its two partner disclosures, revoke live access where required and record each correction notice outcome.</x:v>
      </x:c>
      <x:c r="F485" s="11" t="str">
        <x:v>1. Record current object revisions, policy and safe audit cursor. 2. Perform the specified interaction: Every disclosure records recipient, purpose, source or artifact version, allowed reuse, expiry and owner. A selected source can list active disclosures within authorised scope. Correction or withdrawal starts recipient notice tasks and tracks acknowledgement where available. 3. Inspect UI, canonical API read and audit/receipt for the resulting version. 4. Apply the acceptance example: Correct a shared dataset and identify its two partner disclosures, revoke live access where required and record each correction notice outcome.</x:v>
      </x:c>
      <x:c r="G485" s="11" t="str">
        <x:v>Correct a shared dataset and identify its two partner disclosures, revoke live access where required and record each correction notice outcome. Required behaviour is preserved: Every disclosure records recipient, purpose, source or artifact version, allowed reuse, expiry and owner. A selected source can list active disclosures within authorised scope. Correction or withdrawal starts recipient notice tasks and tracks acknowledgement where available.</x:v>
      </x:c>
      <x:c r="H485" s="13" t="str">
        <x:v>Not run</x:v>
      </x:c>
      <x:c r="I485" s="13" t="str"/>
      <x:c r="J485" s="13" t="str">
        <x:v>Primary owning component C13. Execute relevant channels; record actual fixture IDs and observed evidence.</x:v>
      </x:c>
    </x:row>
    <x:row r="486" ht="77" customHeight="1">
      <x:c r="A486" s="11" t="str">
        <x:v>TC-PRV-008-02</x:v>
      </x:c>
      <x:c r="B486" s="11" t="str">
        <x:v>FR-PRV-008 / BR-PRV-008 / SC01–SC08</x:v>
      </x:c>
      <x:c r="C486" s="11" t="str">
        <x:v>P1 / R1</x:v>
      </x:c>
      <x:c r="D486" s="11" t="str">
        <x:v>Sharing register and agreements validation and recovery</x:v>
      </x:c>
      <x:c r="E486" s="11" t="str">
        <x:v>Start from the same eligible fixture and retain the submitted draft; record the last committed head and receipt. Introduce the boundary or failure stated below.</x:v>
      </x:c>
      <x:c r="F486" s="11" t="str">
        <x:v>1. Exercise each independent condition in the validation contract, as separate recorded variants: External data deletion is not asserted solely because a notice was sent. Live platform grants and retained external copies have separate statuses. 2. Inspect the safe error/state and authorised recovery actions. 3. Correct the condition and retry under current authority and expected revision. 4. Compare durable effects and audit history with the original baseline.</x:v>
      </x:c>
      <x:c r="G486" s="11" t="str">
        <x:v>External data deletion is not asserted solely because a notice was sent. Live platform grants and retained external copies have separate statuses. Ordinary failed saves have no partial effect. Explicit bulk partial modes account for committed and unprocessed items. A retry does not duplicate the intended business effect.</x:v>
      </x:c>
      <x:c r="H486" s="13" t="str">
        <x:v>Not run</x:v>
      </x:c>
      <x:c r="I486" s="13" t="str"/>
      <x:c r="J486" s="13" t="str">
        <x:v>Expand multi-condition variants in the run record. Required negative coverage, not a claim that one assertion covers every security attack.</x:v>
      </x:c>
    </x:row>
    <x:row r="487" ht="103" customHeight="1">
      <x:c r="A487" s="11" t="str">
        <x:v>TC-PRV-009-01</x:v>
      </x:c>
      <x:c r="B487" s="11" t="str">
        <x:v>FR-PRV-009 / BR-PRV-009</x:v>
      </x:c>
      <x:c r="C487" s="11" t="str">
        <x:v>P0 / R1</x:v>
      </x:c>
      <x:c r="D487" s="11" t="str">
        <x:v>Privacy review and country policy intended outcome</x:v>
      </x:c>
      <x:c r="E487" s="11" t="str">
        <x:v>Synthetic tenant A; tenant B hidden markers; eligible actor with explicit capability, scope, purpose and current assurance. Set up the source acceptance fixture: Enable a children's location programme without a guardian or safe-contact decision; the use case stays inactive until approved policy is supplied.</x:v>
      </x:c>
      <x:c r="F487" s="11" t="str">
        <x:v>1. Record current object revisions, policy and safe audit cursor. 2. Perform the specified interaction: New jurisdiction or high sensitivity use creates a policy review covering handling basis, transfers, notices, incident commitments, vulnerable populations and safeguards. Approval records qualified policy inputs rather than an application-generated legal conclusion. 3. Inspect UI, canonical API read and audit/receipt for the resulting version. 4. Apply the acceptance example: Enable a children's location programme without a guardian or safe-contact decision; the use case stays inactive until approved policy is supplied.</x:v>
      </x:c>
      <x:c r="G487" s="11" t="str">
        <x:v>Enable a children's location programme without a guardian or safe-contact decision; the use case stays inactive until approved policy is supplied. Required behaviour is preserved: New jurisdiction or high sensitivity use creates a policy review covering handling basis, transfers, notices, incident commitments, vulnerable populations and safeguards. Approval records qualified policy inputs rather than an application-generated legal conclusion.</x:v>
      </x:c>
      <x:c r="H487" s="13" t="str">
        <x:v>Not run</x:v>
      </x:c>
      <x:c r="I487" s="13" t="str"/>
      <x:c r="J487" s="13" t="str">
        <x:v>Primary owning component C13. Execute relevant channels; record actual fixture IDs and observed evidence.</x:v>
      </x:c>
    </x:row>
    <x:row r="488" ht="77" customHeight="1">
      <x:c r="A488" s="11" t="str">
        <x:v>TC-PRV-009-02</x:v>
      </x:c>
      <x:c r="B488" s="11" t="str">
        <x:v>FR-PRV-009 / BR-PRV-009 / SC01–SC08</x:v>
      </x:c>
      <x:c r="C488" s="11" t="str">
        <x:v>P0 / R1</x:v>
      </x:c>
      <x:c r="D488" s="11" t="str">
        <x:v>Privacy review and country policy validation and recovery</x:v>
      </x:c>
      <x:c r="E488" s="11" t="str">
        <x:v>Start from the same eligible fixture and retain the submitted draft; record the last committed head and receipt. Introduce the boundary or failure stated below.</x:v>
      </x:c>
      <x:c r="F488" s="11" t="str">
        <x:v>1. Exercise each independent condition in the validation contract, as separate recorded variants: Activation is blocked when mandatory decisions are absent. Product controls enforce expressible restrictions; unautomated obligations receive owners and evidence tasks. 2. Inspect the safe error/state and authorised recovery actions. 3. Correct the condition and retry under current authority and expected revision. 4. Compare durable effects and audit history with the original baseline.</x:v>
      </x:c>
      <x:c r="G488" s="11" t="str">
        <x:v>Activation is blocked when mandatory decisions are absent. Product controls enforce expressible restrictions; unautomated obligations receive owners and evidence tasks. Ordinary failed saves have no partial effect. Explicit bulk partial modes account for committed and unprocessed items. A retry does not duplicate the intended business effect.</x:v>
      </x:c>
      <x:c r="H488" s="13" t="str">
        <x:v>Not run</x:v>
      </x:c>
      <x:c r="I488" s="13" t="str"/>
      <x:c r="J488" s="13" t="str">
        <x:v>Expand multi-condition variants in the run record. Required negative coverage, not a claim that one assertion covers every security attack.</x:v>
      </x:c>
    </x:row>
    <x:row r="489" ht="103" customHeight="1">
      <x:c r="A489" s="11" t="str">
        <x:v>TC-PRV-010-01</x:v>
      </x:c>
      <x:c r="B489" s="11" t="str">
        <x:v>FR-PRV-010 / BR-PRV-010</x:v>
      </x:c>
      <x:c r="C489" s="11" t="str">
        <x:v>P0 / R1</x:v>
      </x:c>
      <x:c r="D489" s="11" t="str">
        <x:v>Telemetry and analytics privacy intended outcome</x:v>
      </x:c>
      <x:c r="E489" s="11" t="str">
        <x:v>Synthetic tenant A; tenant B hidden markers; eligible actor with explicit capability, scope, purpose and current assurance. Set up the source acceptance fixture: Trigger import and AI failures containing synthetic personal markers and confirm none appears in general traces or analytics events.</x:v>
      </x:c>
      <x:c r="F489" s="11" t="str">
        <x:v>1. Record current object revisions, policy and safe audit cursor. 2. Perform the specified interaction: Telemetry schemas allow correlation, error category, timings and bounded operational metadata. Sensitive payload fields, credentials and unrestricted document text are excluded or redacted before general logging. Product analytics obey tenant opt-in or approved policy. 3. Inspect UI, canonical API read and audit/receipt for the resulting version. 4. Apply the acceptance example: Trigger import and AI failures containing synthetic personal markers and confirm none appears in general traces or analytics events.</x:v>
      </x:c>
      <x:c r="G489" s="11" t="str">
        <x:v>Trigger import and AI failures containing synthetic personal markers and confirm none appears in general traces or analytics events. Required behaviour is preserved: Telemetry schemas allow correlation, error category, timings and bounded operational metadata. Sensitive payload fields, credentials and unrestricted document text are excluded or redacted before general logging. Product analytics obey tenant opt-in or approved policy.</x:v>
      </x:c>
      <x:c r="H489" s="13" t="str">
        <x:v>Not run</x:v>
      </x:c>
      <x:c r="I489" s="13" t="str"/>
      <x:c r="J489" s="13" t="str">
        <x:v>Primary owning component C13. Execute relevant channels; record actual fixture IDs and observed evidence.</x:v>
      </x:c>
    </x:row>
    <x:row r="490" ht="77" customHeight="1">
      <x:c r="A490" s="11" t="str">
        <x:v>TC-PRV-010-02</x:v>
      </x:c>
      <x:c r="B490" s="11" t="str">
        <x:v>FR-PRV-010 / BR-PRV-010 / SC01–SC08</x:v>
      </x:c>
      <x:c r="C490" s="11" t="str">
        <x:v>P0 / R1</x:v>
      </x:c>
      <x:c r="D490" s="11" t="str">
        <x:v>Telemetry and analytics privacy validation and recovery</x:v>
      </x:c>
      <x:c r="E490" s="11" t="str">
        <x:v>Start from the same eligible fixture and retain the submitted draft; record the last committed head and receipt. Introduce the boundary or failure stated below.</x:v>
      </x:c>
      <x:c r="F490" s="11" t="str">
        <x:v>1. Exercise each independent condition in the validation contract, as separate recorded variants: Support diagnostics are a separate controlled export with expiry. Model evaluation samples do not inherit permission from routine operational logging. 2. Inspect the safe error/state and authorised recovery actions. 3. Correct the condition and retry under current authority and expected revision. 4. Compare durable effects and audit history with the original baseline.</x:v>
      </x:c>
      <x:c r="G490" s="11" t="str">
        <x:v>Support diagnostics are a separate controlled export with expiry. Model evaluation samples do not inherit permission from routine operational logging. Ordinary failed saves have no partial effect. Explicit bulk partial modes account for committed and unprocessed items. A retry does not duplicate the intended business effect.</x:v>
      </x:c>
      <x:c r="H490" s="13" t="str">
        <x:v>Not run</x:v>
      </x:c>
      <x:c r="I490" s="13" t="str"/>
      <x:c r="J490" s="13" t="str">
        <x:v>Expand multi-condition variants in the run record. Required negative coverage, not a claim that one assertion covers every security attack.</x:v>
      </x:c>
    </x:row>
    <x:row r="491" ht="90" customHeight="1">
      <x:c r="A491" s="11" t="str">
        <x:v>TC-OPS-001-01</x:v>
      </x:c>
      <x:c r="B491" s="11" t="str">
        <x:v>FR-OPS-001 / BR-OPS-001</x:v>
      </x:c>
      <x:c r="C491" s="11" t="str">
        <x:v>P0 / R1</x:v>
      </x:c>
      <x:c r="D491" s="11" t="str">
        <x:v>Service administration console intended outcome</x:v>
      </x:c>
      <x:c r="E491" s="11" t="str">
        <x:v>Synthetic tenant A; tenant B hidden markers; eligible actor with explicit capability, scope, purpose and current assurance. Set up the source acceptance fixture: Suspend the intended synthetic tenant after preview and verify only its permitted lifecycle effects occur.</x:v>
      </x:c>
      <x:c r="F491" s="11" t="str">
        <x:v>1. Record current object revisions, policy and safe audit cursor. 2. Perform the specified interaction: The operations console exposes tenant identity, lifecycle, plan, health and limits without programme content. High impact actions show exact tenant and effect, require reason and appropriate assurance, and record an operation receipt. 3. Inspect UI, canonical API read and audit/receipt for the resulting version. 4. Apply the acceptance example: Suspend the intended synthetic tenant after preview and verify only its permitted lifecycle effects occur.</x:v>
      </x:c>
      <x:c r="G491" s="11" t="str">
        <x:v>Suspend the intended synthetic tenant after preview and verify only its permitted lifecycle effects occur. Required behaviour is preserved: The operations console exposes tenant identity, lifecycle, plan, health and limits without programme content. High impact actions show exact tenant and effect, require reason and appropriate assurance, and record an operation receipt.</x:v>
      </x:c>
      <x:c r="H491" s="13" t="str">
        <x:v>Not run</x:v>
      </x:c>
      <x:c r="I491" s="13" t="str"/>
      <x:c r="J491" s="13" t="str">
        <x:v>Primary owning component C14. Execute relevant channels; record actual fixture IDs and observed evidence.</x:v>
      </x:c>
    </x:row>
    <x:row r="492" ht="77" customHeight="1">
      <x:c r="A492" s="11" t="str">
        <x:v>TC-OPS-001-02</x:v>
      </x:c>
      <x:c r="B492" s="11" t="str">
        <x:v>FR-OPS-001 / BR-OPS-001 / SC01–SC08</x:v>
      </x:c>
      <x:c r="C492" s="11" t="str">
        <x:v>P0 / R1</x:v>
      </x:c>
      <x:c r="D492" s="11" t="str">
        <x:v>Service administration console validation and recovery</x:v>
      </x:c>
      <x:c r="E492" s="11" t="str">
        <x:v>Start from the same eligible fixture and retain the submitted draft; record the last committed head and receipt. Introduce the boundary or failure stated below.</x:v>
      </x:c>
      <x:c r="F492" s="11" t="str">
        <x:v>1. Exercise each independent condition in the validation contract, as separate recorded variants: Searching operational metadata cannot reveal participant names. Suspending one tenant does not change another tenant's access or jobs. 2. Inspect the safe error/state and authorised recovery actions. 3. Correct the condition and retry under current authority and expected revision. 4. Compare durable effects and audit history with the original baseline.</x:v>
      </x:c>
      <x:c r="G492" s="11" t="str">
        <x:v>Searching operational metadata cannot reveal participant names. Suspending one tenant does not change another tenant's access or jobs. Ordinary failed saves have no partial effect. Explicit bulk partial modes account for committed and unprocessed items. A retry does not duplicate the intended business effect.</x:v>
      </x:c>
      <x:c r="H492" s="13" t="str">
        <x:v>Not run</x:v>
      </x:c>
      <x:c r="I492" s="13" t="str"/>
      <x:c r="J492" s="13" t="str">
        <x:v>Expand multi-condition variants in the run record. Required negative coverage, not a claim that one assertion covers every security attack.</x:v>
      </x:c>
    </x:row>
    <x:row r="493" ht="103" customHeight="1">
      <x:c r="A493" s="11" t="str">
        <x:v>TC-OPS-002-01</x:v>
      </x:c>
      <x:c r="B493" s="11" t="str">
        <x:v>FR-OPS-002 / BR-OPS-002</x:v>
      </x:c>
      <x:c r="C493" s="11" t="str">
        <x:v>P1 / R1</x:v>
      </x:c>
      <x:c r="D493" s="11" t="str">
        <x:v>Entitlements and limits intended outcome</x:v>
      </x:c>
      <x:c r="E493" s="11" t="str">
        <x:v>Synthetic tenant A; tenant B hidden markers; eligible actor with explicit capability, scope, purpose and current assurance. Set up the source acceptance fixture: Fill storage allowance, attempt a new media upload and then export existing data; the upload is blocked safely while permitted export remains available.</x:v>
      </x:c>
      <x:c r="F493" s="11" t="str">
        <x:v>1. Record current object revisions, policy and safe audit cursor. 2. Perform the specified interaction: Entitlement checks distinguish storage, seats, projects, connectors, API workload and AI budget. Warnings begin at 80 percent of a finite allowance and show usage basis. At the limit, block new excess work while preserving read, correction, security and authorised exit paths. 3. Inspect UI, canonical API read and audit/receipt for the resulting version. 4. Apply the acceptance example: Fill storage allowance, attempt a new media upload and then export existing data; the upload is blocked safely while permitted export remains available.</x:v>
      </x:c>
      <x:c r="G493" s="11" t="str">
        <x:v>Fill storage allowance, attempt a new media upload and then export existing data; the upload is blocked safely while permitted export remains available. Required behaviour is preserved: Entitlement checks distinguish storage, seats, projects, connectors, API workload and AI budget. Warnings begin at 80 percent of a finite allowance and show usage basis. At the limit, block new excess work while preserving read, correction, security and authorised exit paths.</x:v>
      </x:c>
      <x:c r="H493" s="13" t="str">
        <x:v>Not run</x:v>
      </x:c>
      <x:c r="I493" s="13" t="str"/>
      <x:c r="J493" s="13" t="str">
        <x:v>Primary owning component C14. Execute relevant channels; record actual fixture IDs and observed evidence.</x:v>
      </x:c>
    </x:row>
    <x:row r="494" ht="90" customHeight="1">
      <x:c r="A494" s="11" t="str">
        <x:v>TC-OPS-002-02</x:v>
      </x:c>
      <x:c r="B494" s="11" t="str">
        <x:v>FR-OPS-002 / BR-OPS-002 / SC01–SC08</x:v>
      </x:c>
      <x:c r="C494" s="11" t="str">
        <x:v>P1 / R1</x:v>
      </x:c>
      <x:c r="D494" s="11" t="str">
        <x:v>Entitlements and limits validation and recovery</x:v>
      </x:c>
      <x:c r="E494" s="11" t="str">
        <x:v>Start from the same eligible fixture and retain the submitted draft; record the last committed head and receipt. Introduce the boundary or failure stated below.</x:v>
      </x:c>
      <x:c r="F494" s="11" t="str">
        <x:v>1. Exercise each independent condition in the validation contract, as separate recorded variants: A commercial quota is not a data permission. Reaching a limit cannot remove MFA, delete stored data or expose protected information. Security repairs and privacy obligations remain executable. 2. Inspect the safe error/state and authorised recovery actions. 3. Correct the condition and retry under current authority and expected revision. 4. Compare durable effects and audit history with the original baseline.</x:v>
      </x:c>
      <x:c r="G494" s="11" t="str">
        <x:v>A commercial quota is not a data permission. Reaching a limit cannot remove MFA, delete stored data or expose protected information. Security repairs and privacy obligations remain executable. Ordinary failed saves have no partial effect. Explicit bulk partial modes account for committed and unprocessed items. A retry does not duplicate the intended business effect.</x:v>
      </x:c>
      <x:c r="H494" s="13" t="str">
        <x:v>Not run</x:v>
      </x:c>
      <x:c r="I494" s="13" t="str"/>
      <x:c r="J494" s="13" t="str">
        <x:v>Expand multi-condition variants in the run record. Required negative coverage, not a claim that one assertion covers every security attack.</x:v>
      </x:c>
    </x:row>
    <x:row r="495" ht="90" customHeight="1">
      <x:c r="A495" s="11" t="str">
        <x:v>TC-OPS-003-01</x:v>
      </x:c>
      <x:c r="B495" s="11" t="str">
        <x:v>FR-OPS-003 / BR-OPS-003</x:v>
      </x:c>
      <x:c r="C495" s="11" t="str">
        <x:v>P1 / R2</x:v>
      </x:c>
      <x:c r="D495" s="11" t="str">
        <x:v>Subscription administration intended outcome</x:v>
      </x:c>
      <x:c r="E495" s="11" t="str">
        <x:v>Synthetic tenant A; tenant B hidden markers; eligible actor with explicit capability, scope, purpose and current assurance. Set up the source acceptance fixture: Downgrade below current project count and verify existing records remain readable while creation beyond the new limit is controlled.</x:v>
      </x:c>
      <x:c r="F495" s="11" t="str">
        <x:v>1. Record current object revisions, policy and safe audit cursor. 2. Perform the specified interaction: Subscription changes preview plan limits, overage, renewal date and affected optional capabilities. Downgrade with excess usage creates a resolution plan and grace terms drawn from the contract. Billing contacts do not become programme administrators. 3. Inspect UI, canonical API read and audit/receipt for the resulting version. 4. Apply the acceptance example: Downgrade below current project count and verify existing records remain readable while creation beyond the new limit is controlled.</x:v>
      </x:c>
      <x:c r="G495" s="11" t="str">
        <x:v>Downgrade below current project count and verify existing records remain readable while creation beyond the new limit is controlled. Required behaviour is preserved: Subscription changes preview plan limits, overage, renewal date and affected optional capabilities. Downgrade with excess usage creates a resolution plan and grace terms drawn from the contract. Billing contacts do not become programme administrators.</x:v>
      </x:c>
      <x:c r="H495" s="13" t="str">
        <x:v>Not run</x:v>
      </x:c>
      <x:c r="I495" s="13" t="str"/>
      <x:c r="J495" s="13" t="str">
        <x:v>Primary owning component C14. Execute relevant channels; record actual fixture IDs and observed evidence.</x:v>
      </x:c>
    </x:row>
    <x:row r="496" ht="77" customHeight="1">
      <x:c r="A496" s="11" t="str">
        <x:v>TC-OPS-003-02</x:v>
      </x:c>
      <x:c r="B496" s="11" t="str">
        <x:v>FR-OPS-003 / BR-OPS-003 / SC01–SC08</x:v>
      </x:c>
      <x:c r="C496" s="11" t="str">
        <x:v>P1 / R2</x:v>
      </x:c>
      <x:c r="D496" s="11" t="str">
        <x:v>Subscription administration validation and recovery</x:v>
      </x:c>
      <x:c r="E496" s="11" t="str">
        <x:v>Start from the same eligible fixture and retain the submitted draft; record the last committed head and receipt. Introduce the boundary or failure stated below.</x:v>
      </x:c>
      <x:c r="F496" s="11" t="str">
        <x:v>1. Exercise each independent condition in the validation contract, as separate recorded variants: Payment provider failure does not alter approved results. Tenant closure and deletion require their own authorised workflow; no payment secret is retained unnecessarily. 2. Inspect the safe error/state and authorised recovery actions. 3. Correct the condition and retry under current authority and expected revision. 4. Compare durable effects and audit history with the original baseline.</x:v>
      </x:c>
      <x:c r="G496" s="11" t="str">
        <x:v>Payment provider failure does not alter approved results. Tenant closure and deletion require their own authorised workflow; no payment secret is retained unnecessarily. Ordinary failed saves have no partial effect. Explicit bulk partial modes account for committed and unprocessed items. A retry does not duplicate the intended business effect.</x:v>
      </x:c>
      <x:c r="H496" s="13" t="str">
        <x:v>Not run</x:v>
      </x:c>
      <x:c r="I496" s="13" t="str"/>
      <x:c r="J496" s="13" t="str">
        <x:v>Expand multi-condition variants in the run record. Required negative coverage, not a claim that one assertion covers every security attack.</x:v>
      </x:c>
    </x:row>
    <x:row r="497" ht="103" customHeight="1">
      <x:c r="A497" s="11" t="str">
        <x:v>TC-OPS-004-01</x:v>
      </x:c>
      <x:c r="B497" s="11" t="str">
        <x:v>FR-OPS-004 / BR-OPS-004</x:v>
      </x:c>
      <x:c r="C497" s="11" t="str">
        <x:v>P1 / R1</x:v>
      </x:c>
      <x:c r="D497" s="11" t="str">
        <x:v>Support case management intended outcome</x:v>
      </x:c>
      <x:c r="E497" s="11" t="str">
        <x:v>Synthetic tenant A; tenant B hidden markers; eligible actor with explicit capability, scope, purpose and current assurance. Set up the source acceptance fixture: Resolve a failed import using safe error references; if content inspection becomes necessary, retain the explicit approved access grant and its expiry.</x:v>
      </x:c>
      <x:c r="F497" s="11" t="str">
        <x:v>1. Record current object revisions, policy and safe audit cursor. 2. Perform the specified interaction: Support cases capture tenant, problem category, severity, safe correlation IDs, owner and communication history. Attaching diagnostics shows classification and scope. Content access, when necessary, starts a separate approved support session. 3. Inspect UI, canonical API read and audit/receipt for the resulting version. 4. Apply the acceptance example: Resolve a failed import using safe error references; if content inspection becomes necessary, retain the explicit approved access grant and its expiry.</x:v>
      </x:c>
      <x:c r="G497" s="11" t="str">
        <x:v>Resolve a failed import using safe error references; if content inspection becomes necessary, retain the explicit approved access grant and its expiry. Required behaviour is preserved: Support cases capture tenant, problem category, severity, safe correlation IDs, owner and communication history. Attaching diagnostics shows classification and scope. Content access, when necessary, starts a separate approved support session.</x:v>
      </x:c>
      <x:c r="H497" s="13" t="str">
        <x:v>Not run</x:v>
      </x:c>
      <x:c r="I497" s="13" t="str"/>
      <x:c r="J497" s="13" t="str">
        <x:v>Primary owning component C14. Execute relevant channels; record actual fixture IDs and observed evidence.</x:v>
      </x:c>
    </x:row>
    <x:row r="498" ht="77" customHeight="1">
      <x:c r="A498" s="11" t="str">
        <x:v>TC-OPS-004-02</x:v>
      </x:c>
      <x:c r="B498" s="11" t="str">
        <x:v>FR-OPS-004 / BR-OPS-004 / SC01–SC08</x:v>
      </x:c>
      <x:c r="C498" s="11" t="str">
        <x:v>P1 / R1</x:v>
      </x:c>
      <x:c r="D498" s="11" t="str">
        <x:v>Support case management validation and recovery</x:v>
      </x:c>
      <x:c r="E498" s="11" t="str">
        <x:v>Start from the same eligible fixture and retain the submitted draft; record the last committed head and receipt. Introduce the boundary or failure stated below.</x:v>
      </x:c>
      <x:c r="F498" s="11" t="str">
        <x:v>1. Exercise each independent condition in the validation contract, as separate recorded variants: A support ticket does not itself authorise unrestricted data browsing. Closed case attachments expire under the applicable retention policy. 2. Inspect the safe error/state and authorised recovery actions. 3. Correct the condition and retry under current authority and expected revision. 4. Compare durable effects and audit history with the original baseline.</x:v>
      </x:c>
      <x:c r="G498" s="11" t="str">
        <x:v>A support ticket does not itself authorise unrestricted data browsing. Closed case attachments expire under the applicable retention policy. Ordinary failed saves have no partial effect. Explicit bulk partial modes account for committed and unprocessed items. A retry does not duplicate the intended business effect.</x:v>
      </x:c>
      <x:c r="H498" s="13" t="str">
        <x:v>Not run</x:v>
      </x:c>
      <x:c r="I498" s="13" t="str"/>
      <x:c r="J498" s="13" t="str">
        <x:v>Expand multi-condition variants in the run record. Required negative coverage, not a claim that one assertion covers every security attack.</x:v>
      </x:c>
    </x:row>
    <x:row r="499" ht="90" customHeight="1">
      <x:c r="A499" s="11" t="str">
        <x:v>TC-OPS-005-01</x:v>
      </x:c>
      <x:c r="B499" s="11" t="str">
        <x:v>FR-OPS-005 / BR-OPS-005</x:v>
      </x:c>
      <x:c r="C499" s="11" t="str">
        <x:v>P0 / R1</x:v>
      </x:c>
      <x:c r="D499" s="11" t="str">
        <x:v>Monitoring and service visibility intended outcome</x:v>
      </x:c>
      <x:c r="E499" s="11" t="str">
        <x:v>Synthetic tenant A; tenant B hidden markers; eligible actor with explicit capability, scope, purpose and current assurance. Set up the source acceptance fixture: Fail a connector while the core remains healthy; show integration delay and stale results without falsely declaring all programme operations unavailable.</x:v>
      </x:c>
      <x:c r="F499" s="11" t="str">
        <x:v>1. Record current object revisions, policy and safe audit cursor. 2. Perform the specified interaction: Health views separate core service, connectors, asynchronous processing and AI. Monitor journey success, latency, backlog, freshness and quota pressure by permitted tenant cohort. Incidents link affected function and owner. 3. Inspect UI, canonical API read and audit/receipt for the resulting version. 4. Apply the acceptance example: Fail a connector while the core remains healthy; show integration delay and stale results without falsely declaring all programme operations unavailable.</x:v>
      </x:c>
      <x:c r="G499" s="11" t="str">
        <x:v>Fail a connector while the core remains healthy; show integration delay and stale results without falsely declaring all programme operations unavailable. Required behaviour is preserved: Health views separate core service, connectors, asynchronous processing and AI. Monitor journey success, latency, backlog, freshness and quota pressure by permitted tenant cohort. Incidents link affected function and owner.</x:v>
      </x:c>
      <x:c r="H499" s="13" t="str">
        <x:v>Not run</x:v>
      </x:c>
      <x:c r="I499" s="13" t="str"/>
      <x:c r="J499" s="13" t="str">
        <x:v>Primary owning component C14. Execute relevant channels; record actual fixture IDs and observed evidence.</x:v>
      </x:c>
    </x:row>
    <x:row r="500" ht="77" customHeight="1">
      <x:c r="A500" s="11" t="str">
        <x:v>TC-OPS-005-02</x:v>
      </x:c>
      <x:c r="B500" s="11" t="str">
        <x:v>FR-OPS-005 / BR-OPS-005 / SC01–SC08</x:v>
      </x:c>
      <x:c r="C500" s="11" t="str">
        <x:v>P0 / R1</x:v>
      </x:c>
      <x:c r="D500" s="11" t="str">
        <x:v>Monitoring and service visibility validation and recovery</x:v>
      </x:c>
      <x:c r="E500" s="11" t="str">
        <x:v>Start from the same eligible fixture and retain the submitted draft; record the last committed head and receipt. Introduce the boundary or failure stated below.</x:v>
      </x:c>
      <x:c r="F500" s="11" t="str">
        <x:v>1. Exercise each independent condition in the validation contract, as separate recorded variants: Do not report core outage solely because one model provider failed, or healthy data freshness because the web interface is responsive. Tenant views expose only relevant incident details. 2. Inspect the safe error/state and authorised recovery actions. 3. Correct the condition and retry under current authority and expected revision. 4. Compare durable effects and audit history with the original baseline.</x:v>
      </x:c>
      <x:c r="G500" s="11" t="str">
        <x:v>Do not report core outage solely because one model provider failed, or healthy data freshness because the web interface is responsive. Tenant views expose only relevant incident details. Ordinary failed saves have no partial effect. Explicit bulk partial modes account for committed and unprocessed items. A retry does not duplicate the intended business effect.</x:v>
      </x:c>
      <x:c r="H500" s="13" t="str">
        <x:v>Not run</x:v>
      </x:c>
      <x:c r="I500" s="13" t="str"/>
      <x:c r="J500" s="13" t="str">
        <x:v>Expand multi-condition variants in the run record. Required negative coverage, not a claim that one assertion covers every security attack.</x:v>
      </x:c>
    </x:row>
    <x:row r="501" ht="103" customHeight="1">
      <x:c r="A501" s="11" t="str">
        <x:v>TC-OPS-006-01</x:v>
      </x:c>
      <x:c r="B501" s="11" t="str">
        <x:v>FR-OPS-006 / BR-OPS-006</x:v>
      </x:c>
      <x:c r="C501" s="11" t="str">
        <x:v>P0 / R1</x:v>
      </x:c>
      <x:c r="D501" s="11" t="str">
        <x:v>Backup and recovery operations intended outcome</x:v>
      </x:c>
      <x:c r="E501" s="11" t="str">
        <x:v>Synthetic tenant A; tenant B hidden markers; eligible actor with explicit capability, scope, purpose and current assurance. Set up the source acceptance fixture: Recover a representative tenant and compare structured records, attachment integrity, report snapshots and effective grants before allowing normal access.</x:v>
      </x:c>
      <x:c r="F501" s="11" t="str">
        <x:v>1. Record current object revisions, policy and safe audit cursor. 2. Perform the specified interaction: Recovery inventory includes records, files, configuration, definitions, approvals, snapshots, audit and deletion instructions. Restore validates a mutually consistent checkpoint, reapplies current restrictions and reconciles accepted writes before controlled reopening. 3. Inspect UI, canonical API read and audit/receipt for the resulting version. 4. Apply the acceptance example: Recover a representative tenant and compare structured records, attachment integrity, report snapshots and effective grants before allowing normal access.</x:v>
      </x:c>
      <x:c r="G501" s="11" t="str">
        <x:v>Recover a representative tenant and compare structured records, attachment integrity, report snapshots and effective grants before allowing normal access. Required behaviour is preserved: Recovery inventory includes records, files, configuration, definitions, approvals, snapshots, audit and deletion instructions. Restore validates a mutually consistent checkpoint, reapplies current restrictions and reconciles accepted writes before controlled reopening.</x:v>
      </x:c>
      <x:c r="H501" s="13" t="str">
        <x:v>Not run</x:v>
      </x:c>
      <x:c r="I501" s="13" t="str"/>
      <x:c r="J501" s="13" t="str">
        <x:v>Primary owning component C14. Execute relevant channels; record actual fixture IDs and observed evidence.</x:v>
      </x:c>
    </x:row>
    <x:row r="502" ht="77" customHeight="1">
      <x:c r="A502" s="11" t="str">
        <x:v>TC-OPS-006-02</x:v>
      </x:c>
      <x:c r="B502" s="11" t="str">
        <x:v>FR-OPS-006 / BR-OPS-006 / SC01–SC08</x:v>
      </x:c>
      <x:c r="C502" s="11" t="str">
        <x:v>P0 / R1</x:v>
      </x:c>
      <x:c r="D502" s="11" t="str">
        <x:v>Backup and recovery operations validation and recovery</x:v>
      </x:c>
      <x:c r="E502" s="11" t="str">
        <x:v>Start from the same eligible fixture and retain the submitted draft; record the last committed head and receipt. Introduce the boundary or failure stated below.</x:v>
      </x:c>
      <x:c r="F502" s="11" t="str">
        <x:v>1. Exercise each independent condition in the validation contract, as separate recorded variants: Missing required evidence files or governance state prevents declaring a complete restore. Recovery region and key policy remain enforced. 2. Inspect the safe error/state and authorised recovery actions. 3. Correct the condition and retry under current authority and expected revision. 4. Compare durable effects and audit history with the original baseline.</x:v>
      </x:c>
      <x:c r="G502" s="11" t="str">
        <x:v>Missing required evidence files or governance state prevents declaring a complete restore. Recovery region and key policy remain enforced. Ordinary failed saves have no partial effect. Explicit bulk partial modes account for committed and unprocessed items. A retry does not duplicate the intended business effect.</x:v>
      </x:c>
      <x:c r="H502" s="13" t="str">
        <x:v>Not run</x:v>
      </x:c>
      <x:c r="I502" s="13" t="str"/>
      <x:c r="J502" s="13" t="str">
        <x:v>Expand multi-condition variants in the run record. Required negative coverage, not a claim that one assertion covers every security attack.</x:v>
      </x:c>
    </x:row>
    <x:row r="503" ht="90" customHeight="1">
      <x:c r="A503" s="11" t="str">
        <x:v>TC-OPS-007-01</x:v>
      </x:c>
      <x:c r="B503" s="11" t="str">
        <x:v>FR-OPS-007 / BR-OPS-007</x:v>
      </x:c>
      <x:c r="C503" s="11" t="str">
        <x:v>P0 / R1</x:v>
      </x:c>
      <x:c r="D503" s="11" t="str">
        <x:v>Safe release and rollback intended outcome</x:v>
      </x:c>
      <x:c r="E503" s="11" t="str">
        <x:v>Synthetic tenant A; tenant B hidden markers; eligible actor with explicit capability, scope, purpose and current assurance. Set up the source acceptance fixture: Fail a release after valid submissions were accepted and verify they remain accounted for under the recovery plan.</x:v>
      </x:c>
      <x:c r="F503" s="11" t="str">
        <x:v>1. Record current object revisions, policy and safe audit cursor. 2. Perform the specified interaction: Release preparation validates compatibility, data migration, required gates and rollback or roll-forward path. Controlled exposure records cohort and feature configuration. Failure stops expansion and executes the rehearsed recovery path. 3. Inspect UI, canonical API read and audit/receipt for the resulting version. 4. Apply the acceptance example: Fail a release after valid submissions were accepted and verify they remain accounted for under the recovery plan.</x:v>
      </x:c>
      <x:c r="G503" s="11" t="str">
        <x:v>Fail a release after valid submissions were accepted and verify they remain accounted for under the recovery plan. Required behaviour is preserved: Release preparation validates compatibility, data migration, required gates and rollback or roll-forward path. Controlled exposure records cohort and feature configuration. Failure stops expansion and executes the rehearsed recovery path.</x:v>
      </x:c>
      <x:c r="H503" s="13" t="str">
        <x:v>Not run</x:v>
      </x:c>
      <x:c r="I503" s="13" t="str"/>
      <x:c r="J503" s="13" t="str">
        <x:v>Primary owning component C14. Execute relevant channels; record actual fixture IDs and observed evidence.</x:v>
      </x:c>
    </x:row>
    <x:row r="504" ht="77" customHeight="1">
      <x:c r="A504" s="11" t="str">
        <x:v>TC-OPS-007-02</x:v>
      </x:c>
      <x:c r="B504" s="11" t="str">
        <x:v>FR-OPS-007 / BR-OPS-007 / SC01–SC08</x:v>
      </x:c>
      <x:c r="C504" s="11" t="str">
        <x:v>P0 / R1</x:v>
      </x:c>
      <x:c r="D504" s="11" t="str">
        <x:v>Safe release and rollback validation and recovery</x:v>
      </x:c>
      <x:c r="E504" s="11" t="str">
        <x:v>Start from the same eligible fixture and retain the submitted draft; record the last committed head and receipt. Introduce the boundary or failure stated below.</x:v>
      </x:c>
      <x:c r="F504" s="11" t="str">
        <x:v>1. Exercise each independent condition in the validation contract, as separate recorded variants: Rollback cannot silently discard accepted writes or revert a privacy deletion. Irreversible migration needs an approved forward recovery procedure, not a fictitious rollback switch. 2. Inspect the safe error/state and authorised recovery actions. 3. Correct the condition and retry under current authority and expected revision. 4. Compare durable effects and audit history with the original baseline.</x:v>
      </x:c>
      <x:c r="G504" s="11" t="str">
        <x:v>Rollback cannot silently discard accepted writes or revert a privacy deletion. Irreversible migration needs an approved forward recovery procedure, not a fictitious rollback switch. Ordinary failed saves have no partial effect. Explicit bulk partial modes account for committed and unprocessed items. A retry does not duplicate the intended business effect.</x:v>
      </x:c>
      <x:c r="H504" s="13" t="str">
        <x:v>Not run</x:v>
      </x:c>
      <x:c r="I504" s="13" t="str"/>
      <x:c r="J504" s="13" t="str">
        <x:v>Expand multi-condition variants in the run record. Required negative coverage, not a claim that one assertion covers every security attack.</x:v>
      </x:c>
    </x:row>
    <x:row r="505" ht="103" customHeight="1">
      <x:c r="A505" s="11" t="str">
        <x:v>TC-OPS-008-01</x:v>
      </x:c>
      <x:c r="B505" s="11" t="str">
        <x:v>FR-OPS-008 / BR-OPS-008</x:v>
      </x:c>
      <x:c r="C505" s="11" t="str">
        <x:v>P1 / R1</x:v>
      </x:c>
      <x:c r="D505" s="11" t="str">
        <x:v>Capacity and cost management intended outcome</x:v>
      </x:c>
      <x:c r="E505" s="11" t="str">
        <x:v>Synthetic tenant A; tenant B hidden markers; eligible actor with explicit capability, scope, purpose and current assurance. Set up the source acceptance fixture: Run an expensive AI workload to its allowance and verify bounded queuing, usage attribution and unaffected ordinary approvals.</x:v>
      </x:c>
      <x:c r="F505" s="11" t="str">
        <x:v>1. Record current object revisions, policy and safe audit cursor. 2. Perform the specified interaction: Usage views track admitted work, completed jobs, storage, source runs and model consumption without payloads. Thresholds identify projected capacity pressure and expensive workloads. Cleanup targets temporary or orphan objects only after dependency and retention checks. 3. Inspect UI, canonical API read and audit/receipt for the resulting version. 4. Apply the acceptance example: Run an expensive AI workload to its allowance and verify bounded queuing, usage attribution and unaffected ordinary approvals.</x:v>
      </x:c>
      <x:c r="G505" s="11" t="str">
        <x:v>Run an expensive AI workload to its allowance and verify bounded queuing, usage attribution and unaffected ordinary approvals. Required behaviour is preserved: Usage views track admitted work, completed jobs, storage, source runs and model consumption without payloads. Thresholds identify projected capacity pressure and expensive workloads. Cleanup targets temporary or orphan objects only after dependency and retention checks.</x:v>
      </x:c>
      <x:c r="H505" s="13" t="str">
        <x:v>Not run</x:v>
      </x:c>
      <x:c r="I505" s="13" t="str"/>
      <x:c r="J505" s="13" t="str">
        <x:v>Primary owning component C14. Execute relevant channels; record actual fixture IDs and observed evidence.</x:v>
      </x:c>
    </x:row>
    <x:row r="506" ht="77" customHeight="1">
      <x:c r="A506" s="11" t="str">
        <x:v>TC-OPS-008-02</x:v>
      </x:c>
      <x:c r="B506" s="11" t="str">
        <x:v>FR-OPS-008 / BR-OPS-008 / SC01–SC08</x:v>
      </x:c>
      <x:c r="C506" s="11" t="str">
        <x:v>P1 / R1</x:v>
      </x:c>
      <x:c r="D506" s="11" t="str">
        <x:v>Capacity and cost management validation and recovery</x:v>
      </x:c>
      <x:c r="E506" s="11" t="str">
        <x:v>Start from the same eligible fixture and retain the submitted draft; record the last committed head and receipt. Introduce the boundary or failure stated below.</x:v>
      </x:c>
      <x:c r="F506" s="11" t="str">
        <x:v>1. Exercise each independent condition in the validation contract, as separate recorded variants: Do not cancel another tenant's critical jobs to hide one tenant's cost spike. Approved budgets and operational limits are visible before restrictive changes. 2. Inspect the safe error/state and authorised recovery actions. 3. Correct the condition and retry under current authority and expected revision. 4. Compare durable effects and audit history with the original baseline.</x:v>
      </x:c>
      <x:c r="G506" s="11" t="str">
        <x:v>Do not cancel another tenant's critical jobs to hide one tenant's cost spike. Approved budgets and operational limits are visible before restrictive changes. Ordinary failed saves have no partial effect. Explicit bulk partial modes account for committed and unprocessed items. A retry does not duplicate the intended business effect.</x:v>
      </x:c>
      <x:c r="H506" s="13" t="str">
        <x:v>Not run</x:v>
      </x:c>
      <x:c r="I506" s="13" t="str"/>
      <x:c r="J506" s="13" t="str">
        <x:v>Expand multi-condition variants in the run record. Required negative coverage, not a claim that one assertion covers every security attack.</x:v>
      </x:c>
    </x:row>
    <x:row r="507" ht="90" customHeight="1">
      <x:c r="A507" s="11" t="str">
        <x:v>TC-OPS-009-01</x:v>
      </x:c>
      <x:c r="B507" s="11" t="str">
        <x:v>FR-OPS-009 / BR-OPS-009</x:v>
      </x:c>
      <x:c r="C507" s="11" t="str">
        <x:v>P1 / R2</x:v>
      </x:c>
      <x:c r="D507" s="11" t="str">
        <x:v>Operational automation intended outcome</x:v>
      </x:c>
      <x:c r="E507" s="11" t="str">
        <x:v>Synthetic tenant A; tenant B hidden markers; eligible actor with explicit capability, scope, purpose and current assurance. Set up the source acceptance fixture: Retry a partially failed retention run; held evidence remains intact and already sent notifications are not duplicated.</x:v>
      </x:c>
      <x:c r="F507" s="11" t="str">
        <x:v>1. Record current object revisions, policy and safe audit cursor. 2. Perform the specified interaction: Operational jobs declare owner, schedule, policy scope, idempotent identity, checkpoints and stop control. The run manifest records completed, held, skipped and failed items. Retry resumes eligible work under current policy. 3. Inspect UI, canonical API read and audit/receipt for the resulting version. 4. Apply the acceptance example: Retry a partially failed retention run; held evidence remains intact and already sent notifications are not duplicated.</x:v>
      </x:c>
      <x:c r="G507" s="11" t="str">
        <x:v>Retry a partially failed retention run; held evidence remains intact and already sent notifications are not duplicated. Required behaviour is preserved: Operational jobs declare owner, schedule, policy scope, idempotent identity, checkpoints and stop control. The run manifest records completed, held, skipped and failed items. Retry resumes eligible work under current policy.</x:v>
      </x:c>
      <x:c r="H507" s="13" t="str">
        <x:v>Not run</x:v>
      </x:c>
      <x:c r="I507" s="13" t="str"/>
      <x:c r="J507" s="13" t="str">
        <x:v>Primary owning component C14. Execute relevant channels; record actual fixture IDs and observed evidence.</x:v>
      </x:c>
    </x:row>
    <x:row r="508" ht="77" customHeight="1">
      <x:c r="A508" s="11" t="str">
        <x:v>TC-OPS-009-02</x:v>
      </x:c>
      <x:c r="B508" s="11" t="str">
        <x:v>FR-OPS-009 / BR-OPS-009 / SC01–SC08</x:v>
      </x:c>
      <x:c r="C508" s="11" t="str">
        <x:v>P1 / R2</x:v>
      </x:c>
      <x:c r="D508" s="11" t="str">
        <x:v>Operational automation validation and recovery</x:v>
      </x:c>
      <x:c r="E508" s="11" t="str">
        <x:v>Start from the same eligible fixture and retain the submitted draft; record the last committed head and receipt. Introduce the boundary or failure stated below.</x:v>
      </x:c>
      <x:c r="F508" s="11" t="str">
        <x:v>1. Exercise each independent condition in the validation contract, as separate recorded variants: Destructive tasks recheck holds immediately before execution. A stopped schedule does not imply reversal of already completed actions. 2. Inspect the safe error/state and authorised recovery actions. 3. Correct the condition and retry under current authority and expected revision. 4. Compare durable effects and audit history with the original baseline.</x:v>
      </x:c>
      <x:c r="G508" s="11" t="str">
        <x:v>Destructive tasks recheck holds immediately before execution. A stopped schedule does not imply reversal of already completed actions. Ordinary failed saves have no partial effect. Explicit bulk partial modes account for committed and unprocessed items. A retry does not duplicate the intended business effect.</x:v>
      </x:c>
      <x:c r="H508" s="13" t="str">
        <x:v>Not run</x:v>
      </x:c>
      <x:c r="I508" s="13" t="str"/>
      <x:c r="J508" s="13" t="str">
        <x:v>Expand multi-condition variants in the run record. Required negative coverage, not a claim that one assertion covers every security attack.</x:v>
      </x:c>
    </x:row>
    <x:row r="509" ht="90" customHeight="1">
      <x:c r="A509" s="11" t="str">
        <x:v>TC-OPS-010-01</x:v>
      </x:c>
      <x:c r="B509" s="11" t="str">
        <x:v>FR-OPS-010 / BR-OPS-010</x:v>
      </x:c>
      <x:c r="C509" s="11" t="str">
        <x:v>P1 / R2</x:v>
      </x:c>
      <x:c r="D509" s="11" t="str">
        <x:v>Trust and assurance information intended outcome</x:v>
      </x:c>
      <x:c r="E509" s="11" t="str">
        <x:v>Synthetic tenant A; tenant B hidden markers; eligible actor with explicit capability, scope, purpose and current assurance. Set up the source acceptance fixture: Compare a published assurance claim to its scoped assessment and remove or qualify any claim whose evidence no longer applies.</x:v>
      </x:c>
      <x:c r="F509" s="11" t="str">
        <x:v>1. Record current object revisions, policy and safe audit cursor. 2. Perform the specified interaction: The trust package versions approved security, privacy, subprocessor, service objective and incident-process statements with evidence owner and review date. Tenants see the package applicable to their deployment profile and contract. 3. Inspect UI, canonical API read and audit/receipt for the resulting version. 4. Apply the acceptance example: Compare a published assurance claim to its scoped assessment and remove or qualify any claim whose evidence no longer applies.</x:v>
      </x:c>
      <x:c r="G509" s="11" t="str">
        <x:v>Compare a published assurance claim to its scoped assessment and remove or qualify any claim whose evidence no longer applies. Required behaviour is preserved: The trust package versions approved security, privacy, subprocessor, service objective and incident-process statements with evidence owner and review date. Tenants see the package applicable to their deployment profile and contract.</x:v>
      </x:c>
      <x:c r="H509" s="13" t="str">
        <x:v>Not run</x:v>
      </x:c>
      <x:c r="I509" s="13" t="str"/>
      <x:c r="J509" s="13" t="str">
        <x:v>Primary owning component C14. Execute relevant channels; record actual fixture IDs and observed evidence.</x:v>
      </x:c>
    </x:row>
    <x:row r="510" ht="77" customHeight="1">
      <x:c r="A510" s="11" t="str">
        <x:v>TC-OPS-010-02</x:v>
      </x:c>
      <x:c r="B510" s="11" t="str">
        <x:v>FR-OPS-010 / BR-OPS-010 / SC01–SC08</x:v>
      </x:c>
      <x:c r="C510" s="11" t="str">
        <x:v>P1 / R2</x:v>
      </x:c>
      <x:c r="D510" s="11" t="str">
        <x:v>Trust and assurance information validation and recovery</x:v>
      </x:c>
      <x:c r="E510" s="11" t="str">
        <x:v>Start from the same eligible fixture and retain the submitted draft; record the last committed head and receipt. Introduce the boundary or failure stated below.</x:v>
      </x:c>
      <x:c r="F510" s="11" t="str">
        <x:v>1. Exercise each independent condition in the validation contract, as separate recorded variants: Expired assessments or unqualified variants cannot inherit a blanket certification claim. Restricted assurance evidence has a controlled sharing path. 2. Inspect the safe error/state and authorised recovery actions. 3. Correct the condition and retry under current authority and expected revision. 4. Compare durable effects and audit history with the original baseline.</x:v>
      </x:c>
      <x:c r="G510" s="11" t="str">
        <x:v>Expired assessments or unqualified variants cannot inherit a blanket certification claim. Restricted assurance evidence has a controlled sharing path. Ordinary failed saves have no partial effect. Explicit bulk partial modes account for committed and unprocessed items. A retry does not duplicate the intended business effect.</x:v>
      </x:c>
      <x:c r="H510" s="13" t="str">
        <x:v>Not run</x:v>
      </x:c>
      <x:c r="I510" s="13" t="str"/>
      <x:c r="J510" s="13" t="str">
        <x:v>Expand multi-condition variants in the run record. Required negative coverage, not a claim that one assertion covers every security attack.</x:v>
      </x:c>
    </x:row>
    <x:row r="511" ht="90" customHeight="1">
      <x:c r="A511" s="11" t="str">
        <x:v>TC-MIG-001-01</x:v>
      </x:c>
      <x:c r="B511" s="11" t="str">
        <x:v>FR-MIG-001 / BR-MIG-001</x:v>
      </x:c>
      <x:c r="C511" s="11" t="str">
        <x:v>P0 / R1</x:v>
      </x:c>
      <x:c r="D511" s="11" t="str">
        <x:v>Source discovery and mapping intended outcome</x:v>
      </x:c>
      <x:c r="E511" s="11" t="str">
        <x:v>Synthetic tenant A; tenant B hidden markers; eligible actor with explicit capability, scope, purpose and current assurance. Set up the source acceptance fixture: Map an indicator with unknown historic formula and identify the limitation explicitly rather than inventing a deterministic approval history.</x:v>
      </x:c>
      <x:c r="F511" s="11" t="str">
        <x:v>1. Record current object revisions, policy and safe audit cursor. 2. Perform the specified interaction: Discovery inventories source entities, keys, volumes, semantics, attachments, users, grants and reports. Mapping classifies each element as preserved, transformed, excluded or unavailable and identifies owner, method and expected reconciliation. 3. Inspect UI, canonical API read and audit/receipt for the resulting version. 4. Apply the acceptance example: Map an indicator with unknown historic formula and identify the limitation explicitly rather than inventing a deterministic approval history.</x:v>
      </x:c>
      <x:c r="G511" s="11" t="str">
        <x:v>Map an indicator with unknown historic formula and identify the limitation explicitly rather than inventing a deterministic approval history. Required behaviour is preserved: Discovery inventories source entities, keys, volumes, semantics, attachments, users, grants and reports. Mapping classifies each element as preserved, transformed, excluded or unavailable and identifies owner, method and expected reconciliation.</x:v>
      </x:c>
      <x:c r="H511" s="13" t="str">
        <x:v>Not run</x:v>
      </x:c>
      <x:c r="I511" s="13" t="str"/>
      <x:c r="J511" s="13" t="str">
        <x:v>Primary owning component C06. Execute relevant channels; record actual fixture IDs and observed evidence.</x:v>
      </x:c>
    </x:row>
    <x:row r="512" ht="77" customHeight="1">
      <x:c r="A512" s="11" t="str">
        <x:v>TC-MIG-001-02</x:v>
      </x:c>
      <x:c r="B512" s="11" t="str">
        <x:v>FR-MIG-001 / BR-MIG-001 / SC01–SC08</x:v>
      </x:c>
      <x:c r="C512" s="11" t="str">
        <x:v>P0 / R1</x:v>
      </x:c>
      <x:c r="D512" s="11" t="str">
        <x:v>Source discovery and mapping validation and recovery</x:v>
      </x:c>
      <x:c r="E512" s="11" t="str">
        <x:v>Start from the same eligible fixture and retain the submitted draft; record the last committed head and receipt. Introduce the boundary or failure stated below.</x:v>
      </x:c>
      <x:c r="F512" s="11" t="str">
        <x:v>1. Exercise each independent condition in the validation contract, as separate recorded variants: No assumption that TolaData provides every historical event or field through export. Unsupported source semantics require a documented decision before production load. 2. Inspect the safe error/state and authorised recovery actions. 3. Correct the condition and retry under current authority and expected revision. 4. Compare durable effects and audit history with the original baseline.</x:v>
      </x:c>
      <x:c r="G512" s="11" t="str">
        <x:v>No assumption that TolaData provides every historical event or field through export. Unsupported source semantics require a documented decision before production load. Ordinary failed saves have no partial effect. Explicit bulk partial modes account for committed and unprocessed items. A retry does not duplicate the intended business effect.</x:v>
      </x:c>
      <x:c r="H512" s="13" t="str">
        <x:v>Not run</x:v>
      </x:c>
      <x:c r="I512" s="13" t="str"/>
      <x:c r="J512" s="13" t="str">
        <x:v>Expand multi-condition variants in the run record. Required negative coverage, not a claim that one assertion covers every security attack.</x:v>
      </x:c>
    </x:row>
    <x:row r="513" ht="90" customHeight="1">
      <x:c r="A513" s="11" t="str">
        <x:v>TC-MIG-002-01</x:v>
      </x:c>
      <x:c r="B513" s="11" t="str">
        <x:v>FR-MIG-002 / BR-MIG-002</x:v>
      </x:c>
      <x:c r="C513" s="11" t="str">
        <x:v>P0 / R1</x:v>
      </x:c>
      <x:c r="D513" s="11" t="str">
        <x:v>Trial migrations intended outcome</x:v>
      </x:c>
      <x:c r="E513" s="11" t="str">
        <x:v>Synthetic tenant A; tenant B hidden markers; eligible actor with explicit capability, scope, purpose and current assurance. Set up the source acceptance fixture: Run two identical trials and compare intended records, errors and totals; no duplicate achievements or real recipient messages occur.</x:v>
      </x:c>
      <x:c r="F513" s="11" t="str">
        <x:v>1. Record current object revisions, policy and safe audit cursor. 2. Perform the specified interaction: A trial uses isolated tenant context, synthetic destinations and disabled external side effects. The same source snapshot and mapping version can be replayed into a clean or keyed trial with outcome comparison. 3. Inspect UI, canonical API read and audit/receipt for the resulting version. 4. Apply the acceptance example: Run two identical trials and compare intended records, errors and totals; no duplicate achievements or real recipient messages occur.</x:v>
      </x:c>
      <x:c r="G513" s="11" t="str">
        <x:v>Run two identical trials and compare intended records, errors and totals; no duplicate achievements or real recipient messages occur. Required behaviour is preserved: A trial uses isolated tenant context, synthetic destinations and disabled external side effects. The same source snapshot and mapping version can be replayed into a clean or keyed trial with outcome comparison.</x:v>
      </x:c>
      <x:c r="H513" s="13" t="str">
        <x:v>Not run</x:v>
      </x:c>
      <x:c r="I513" s="13" t="str"/>
      <x:c r="J513" s="13" t="str">
        <x:v>Primary owning component C06. Execute relevant channels; record actual fixture IDs and observed evidence.</x:v>
      </x:c>
    </x:row>
    <x:row r="514" ht="77" customHeight="1">
      <x:c r="A514" s="11" t="str">
        <x:v>TC-MIG-002-02</x:v>
      </x:c>
      <x:c r="B514" s="11" t="str">
        <x:v>FR-MIG-002 / BR-MIG-002 / SC01–SC08</x:v>
      </x:c>
      <x:c r="C514" s="11" t="str">
        <x:v>P0 / R1</x:v>
      </x:c>
      <x:c r="D514" s="11" t="str">
        <x:v>Trial migrations validation and recovery</x:v>
      </x:c>
      <x:c r="E514" s="11" t="str">
        <x:v>Start from the same eligible fixture and retain the submitted draft; record the last committed head and receipt. Introduce the boundary or failure stated below.</x:v>
      </x:c>
      <x:c r="F514" s="11" t="str">
        <x:v>1. Exercise each independent condition in the validation contract, as separate recorded variants: No live notifications, payment actions, connector writes or public reports from trial data. Trial credentials cannot access production. 2. Inspect the safe error/state and authorised recovery actions. 3. Correct the condition and retry under current authority and expected revision. 4. Compare durable effects and audit history with the original baseline.</x:v>
      </x:c>
      <x:c r="G514" s="11" t="str">
        <x:v>No live notifications, payment actions, connector writes or public reports from trial data. Trial credentials cannot access production. Ordinary failed saves have no partial effect. Explicit bulk partial modes account for committed and unprocessed items. A retry does not duplicate the intended business effect.</x:v>
      </x:c>
      <x:c r="H514" s="13" t="str">
        <x:v>Not run</x:v>
      </x:c>
      <x:c r="I514" s="13" t="str"/>
      <x:c r="J514" s="13" t="str">
        <x:v>Expand multi-condition variants in the run record. Required negative coverage, not a claim that one assertion covers every security attack.</x:v>
      </x:c>
    </x:row>
    <x:row r="515" ht="90" customHeight="1">
      <x:c r="A515" s="11" t="str">
        <x:v>TC-MIG-003-01</x:v>
      </x:c>
      <x:c r="B515" s="11" t="str">
        <x:v>FR-MIG-003 / BR-MIG-003</x:v>
      </x:c>
      <x:c r="C515" s="11" t="str">
        <x:v>P0 / R1</x:v>
      </x:c>
      <x:c r="D515" s="11" t="str">
        <x:v>Semantic reconciliation intended outcome</x:v>
      </x:c>
      <x:c r="E515" s="11" t="str">
        <x:v>Synthetic tenant A; tenant B hidden markers; eligible actor with explicit capability, scope, purpose and current assurance. Set up the source acceptance fixture: Migrate a pooled percentage and cumulative series, independently recompute both and resolve semantic differences before signoff.</x:v>
      </x:c>
      <x:c r="F515" s="11" t="str">
        <x:v>1. Record current object revisions, policy and safe audit cursor. 2. Perform the specified interaction: Reconciliation compares counts, keys, units, periods, targets, ratios, overlap, attachments and representative reports. Each variance records source value, destination value, cause, severity and decision. Critical unexplained result differences block cutover. 3. Inspect UI, canonical API read and audit/receipt for the resulting version. 4. Apply the acceptance example: Migrate a pooled percentage and cumulative series, independently recompute both and resolve semantic differences before signoff.</x:v>
      </x:c>
      <x:c r="G515" s="11" t="str">
        <x:v>Migrate a pooled percentage and cumulative series, independently recompute both and resolve semantic differences before signoff. Required behaviour is preserved: Reconciliation compares counts, keys, units, periods, targets, ratios, overlap, attachments and representative reports. Each variance records source value, destination value, cause, severity and decision. Critical unexplained result differences block cutover.</x:v>
      </x:c>
      <x:c r="H515" s="13" t="str">
        <x:v>Not run</x:v>
      </x:c>
      <x:c r="I515" s="13" t="str"/>
      <x:c r="J515" s="13" t="str">
        <x:v>Primary owning component C06. Execute relevant channels; record actual fixture IDs and observed evidence.</x:v>
      </x:c>
    </x:row>
    <x:row r="516" ht="77" customHeight="1">
      <x:c r="A516" s="11" t="str">
        <x:v>TC-MIG-003-02</x:v>
      </x:c>
      <x:c r="B516" s="11" t="str">
        <x:v>FR-MIG-003 / BR-MIG-003 / SC01–SC08</x:v>
      </x:c>
      <x:c r="C516" s="11" t="str">
        <x:v>P0 / R1</x:v>
      </x:c>
      <x:c r="D516" s="11" t="str">
        <x:v>Semantic reconciliation validation and recovery</x:v>
      </x:c>
      <x:c r="E516" s="11" t="str">
        <x:v>Start from the same eligible fixture and retain the submitted draft; record the last committed head and receipt. Introduce the boundary or failure stated below.</x:v>
      </x:c>
      <x:c r="F516" s="11" t="str">
        <x:v>1. Exercise each independent condition in the validation contract, as separate recorded variants: Record count agreement alone is insufficient. Accepted differences remain visible in migration metadata and user-facing limitations where material. 2. Inspect the safe error/state and authorised recovery actions. 3. Correct the condition and retry under current authority and expected revision. 4. Compare durable effects and audit history with the original baseline.</x:v>
      </x:c>
      <x:c r="G516" s="11" t="str">
        <x:v>Record count agreement alone is insufficient. Accepted differences remain visible in migration metadata and user-facing limitations where material. Ordinary failed saves have no partial effect. Explicit bulk partial modes account for committed and unprocessed items. A retry does not duplicate the intended business effect.</x:v>
      </x:c>
      <x:c r="H516" s="13" t="str">
        <x:v>Not run</x:v>
      </x:c>
      <x:c r="I516" s="13" t="str"/>
      <x:c r="J516" s="13" t="str">
        <x:v>Expand multi-condition variants in the run record. Required negative coverage, not a claim that one assertion covers every security attack.</x:v>
      </x:c>
    </x:row>
    <x:row r="517" ht="90" customHeight="1">
      <x:c r="A517" s="11" t="str">
        <x:v>TC-MIG-004-01</x:v>
      </x:c>
      <x:c r="B517" s="11" t="str">
        <x:v>FR-MIG-004 / BR-MIG-004</x:v>
      </x:c>
      <x:c r="C517" s="11" t="str">
        <x:v>P0 / R1</x:v>
      </x:c>
      <x:c r="D517" s="11" t="str">
        <x:v>Historical provenance intended outcome</x:v>
      </x:c>
      <x:c r="E517" s="11" t="str">
        <x:v>Synthetic tenant A; tenant B hidden markers; eligible actor with explicit capability, scope, purpose and current assurance. Set up the source acceptance fixture: Inspect a migrated report approval and identify whether it is a preserved source record, verified evidence or a new destination decision.</x:v>
      </x:c>
      <x:c r="F517" s="11" t="str">
        <x:v>1. Record current object revisions, policy and safe audit cursor. 2. Perform the specified interaction: Imported history stores original event values, source origin, available evidence and migration receipt separately. Unverified source decisions are labelled imported assertions; destination decisions have real current actors and timestamps. 3. Inspect UI, canonical API read and audit/receipt for the resulting version. 4. Apply the acceptance example: Inspect a migrated report approval and identify whether it is a preserved source record, verified evidence or a new destination decision.</x:v>
      </x:c>
      <x:c r="G517" s="11" t="str">
        <x:v>Inspect a migrated report approval and identify whether it is a preserved source record, verified evidence or a new destination decision. Required behaviour is preserved: Imported history stores original event values, source origin, available evidence and migration receipt separately. Unverified source decisions are labelled imported assertions; destination decisions have real current actors and timestamps.</x:v>
      </x:c>
      <x:c r="H517" s="13" t="str">
        <x:v>Not run</x:v>
      </x:c>
      <x:c r="I517" s="13" t="str"/>
      <x:c r="J517" s="13" t="str">
        <x:v>Primary owning component C06. Execute relevant channels; record actual fixture IDs and observed evidence.</x:v>
      </x:c>
    </x:row>
    <x:row r="518" ht="77" customHeight="1">
      <x:c r="A518" s="11" t="str">
        <x:v>TC-MIG-004-02</x:v>
      </x:c>
      <x:c r="B518" s="11" t="str">
        <x:v>FR-MIG-004 / BR-MIG-004 / SC01–SC08</x:v>
      </x:c>
      <x:c r="C518" s="11" t="str">
        <x:v>P0 / R1</x:v>
      </x:c>
      <x:c r="D518" s="11" t="str">
        <x:v>Historical provenance validation and recovery</x:v>
      </x:c>
      <x:c r="E518" s="11" t="str">
        <x:v>Start from the same eligible fixture and retain the submitted draft; record the last committed head and receipt. Introduce the boundary or failure stated below.</x:v>
      </x:c>
      <x:c r="F518" s="11" t="str">
        <x:v>1. Exercise each independent condition in the validation contract, as separate recorded variants: Never fabricate old approvals or use migration time as the original event date. Missing history is represented as unavailable rather than silently reconstructed. 2. Inspect the safe error/state and authorised recovery actions. 3. Correct the condition and retry under current authority and expected revision. 4. Compare durable effects and audit history with the original baseline.</x:v>
      </x:c>
      <x:c r="G518" s="11" t="str">
        <x:v>Never fabricate old approvals or use migration time as the original event date. Missing history is represented as unavailable rather than silently reconstructed. Ordinary failed saves have no partial effect. Explicit bulk partial modes account for committed and unprocessed items. A retry does not duplicate the intended business effect.</x:v>
      </x:c>
      <x:c r="H518" s="13" t="str">
        <x:v>Not run</x:v>
      </x:c>
      <x:c r="I518" s="13" t="str"/>
      <x:c r="J518" s="13" t="str">
        <x:v>Expand multi-condition variants in the run record. Required negative coverage, not a claim that one assertion covers every security attack.</x:v>
      </x:c>
    </x:row>
    <x:row r="519" ht="103" customHeight="1">
      <x:c r="A519" s="11" t="str">
        <x:v>TC-MIG-005-01</x:v>
      </x:c>
      <x:c r="B519" s="11" t="str">
        <x:v>FR-MIG-005 / BR-MIG-005</x:v>
      </x:c>
      <x:c r="C519" s="11" t="str">
        <x:v>P0 / R1</x:v>
      </x:c>
      <x:c r="D519" s="11" t="str">
        <x:v>Cutover and rollback intended outcome</x:v>
      </x:c>
      <x:c r="E519" s="11" t="str">
        <x:v>Synthetic tenant A; tenant B hidden markers; eligible actor with explicit capability, scope, purpose and current assurance. Set up the source acceptance fixture: Update one source record during the final transfer; the cutover captures it in the delta or reports a controlled exclusion requiring resolution.</x:v>
      </x:c>
      <x:c r="F519" s="11" t="str">
        <x:v>1. Record current object revisions, policy and safe audit cursor. 2. Perform the specified interaction: The cutover runbook selects authoritative system, freeze instant or delta method, final reconciliation, owners and rollback trigger. Late source updates receive stable keys and a final delta reconciliation. Destination writes begin only after authority switches. 3. Inspect UI, canonical API read and audit/receipt for the resulting version. 4. Apply the acceptance example: Update one source record during the final transfer; the cutover captures it in the delta or reports a controlled exclusion requiring resolution.</x:v>
      </x:c>
      <x:c r="G519" s="11" t="str">
        <x:v>Update one source record during the final transfer; the cutover captures it in the delta or reports a controlled exclusion requiring resolution. Required behaviour is preserved: The cutover runbook selects authoritative system, freeze instant or delta method, final reconciliation, owners and rollback trigger. Late source updates receive stable keys and a final delta reconciliation. Destination writes begin only after authority switches.</x:v>
      </x:c>
      <x:c r="H519" s="13" t="str">
        <x:v>Not run</x:v>
      </x:c>
      <x:c r="I519" s="13" t="str"/>
      <x:c r="J519" s="13" t="str">
        <x:v>Primary owning component C06. Execute relevant channels; record actual fixture IDs and observed evidence.</x:v>
      </x:c>
    </x:row>
    <x:row r="520" ht="77" customHeight="1">
      <x:c r="A520" s="11" t="str">
        <x:v>TC-MIG-005-02</x:v>
      </x:c>
      <x:c r="B520" s="11" t="str">
        <x:v>FR-MIG-005 / BR-MIG-005 / SC01–SC08</x:v>
      </x:c>
      <x:c r="C520" s="11" t="str">
        <x:v>P0 / R1</x:v>
      </x:c>
      <x:c r="D520" s="11" t="str">
        <x:v>Cutover and rollback validation and recovery</x:v>
      </x:c>
      <x:c r="E520" s="11" t="str">
        <x:v>Start from the same eligible fixture and retain the submitted draft; record the last committed head and receipt. Introduce the boundary or failure stated below.</x:v>
      </x:c>
      <x:c r="F520" s="11" t="str">
        <x:v>1. Exercise each independent condition in the validation contract, as separate recorded variants: Prevent both systems from independently publishing the same official period. Rollback identifies destination writes needing safe replay or reconciliation. 2. Inspect the safe error/state and authorised recovery actions. 3. Correct the condition and retry under current authority and expected revision. 4. Compare durable effects and audit history with the original baseline.</x:v>
      </x:c>
      <x:c r="G520" s="11" t="str">
        <x:v>Prevent both systems from independently publishing the same official period. Rollback identifies destination writes needing safe replay or reconciliation. Ordinary failed saves have no partial effect. Explicit bulk partial modes account for committed and unprocessed items. A retry does not duplicate the intended business effect.</x:v>
      </x:c>
      <x:c r="H520" s="13" t="str">
        <x:v>Not run</x:v>
      </x:c>
      <x:c r="I520" s="13" t="str"/>
      <x:c r="J520" s="13" t="str">
        <x:v>Expand multi-condition variants in the run record. Required negative coverage, not a claim that one assertion covers every security attack.</x:v>
      </x:c>
    </x:row>
    <x:row r="521" ht="103" customHeight="1">
      <x:c r="A521" s="11" t="str">
        <x:v>TC-MIG-006-01</x:v>
      </x:c>
      <x:c r="B521" s="11" t="str">
        <x:v>FR-MIG-006 / BR-MIG-006</x:v>
      </x:c>
      <x:c r="C521" s="11" t="str">
        <x:v>P1 / R1</x:v>
      </x:c>
      <x:c r="D521" s="11" t="str">
        <x:v>User enablement intended outcome</x:v>
      </x:c>
      <x:c r="E521" s="11" t="str">
        <x:v>Synthetic tenant A; tenant B hidden markers; eligible actor with explicit capability, scope, purpose and current assurance. Set up the source acceptance fixture: An enumerator completes offline practice, a reviewer returns and approves a correction, and neither can access real participant records in training.</x:v>
      </x:c>
      <x:c r="F521" s="11" t="str">
        <x:v>1. Record current object revisions, policy and safe audit cursor. 2. Perform the specified interaction: Onboarding assigns role specific practice tasks using safe sample programmes. Administrators verify scopes and users complete setup, collection, correction, review or viewing tasks relevant to their role. Help links explain both actions and measurement concepts. 3. Inspect UI, canonical API read and audit/receipt for the resulting version. 4. Apply the acceptance example: An enumerator completes offline practice, a reviewer returns and approves a correction, and neither can access real participant records in training.</x:v>
      </x:c>
      <x:c r="G521" s="11" t="str">
        <x:v>An enumerator completes offline practice, a reviewer returns and approves a correction, and neither can access real participant records in training. Required behaviour is preserved: Onboarding assigns role specific practice tasks using safe sample programmes. Administrators verify scopes and users complete setup, collection, correction, review or viewing tasks relevant to their role. Help links explain both actions and measurement concepts.</x:v>
      </x:c>
      <x:c r="H521" s="13" t="str">
        <x:v>Not run</x:v>
      </x:c>
      <x:c r="I521" s="13" t="str"/>
      <x:c r="J521" s="13" t="str">
        <x:v>Primary owning component C06. Execute relevant channels; record actual fixture IDs and observed evidence.</x:v>
      </x:c>
    </x:row>
    <x:row r="522" ht="77" customHeight="1">
      <x:c r="A522" s="11" t="str">
        <x:v>TC-MIG-006-02</x:v>
      </x:c>
      <x:c r="B522" s="11" t="str">
        <x:v>FR-MIG-006 / BR-MIG-006 / SC01–SC08</x:v>
      </x:c>
      <x:c r="C522" s="11" t="str">
        <x:v>P1 / R1</x:v>
      </x:c>
      <x:c r="D522" s="11" t="str">
        <x:v>User enablement validation and recovery</x:v>
      </x:c>
      <x:c r="E522" s="11" t="str">
        <x:v>Start from the same eligible fixture and retain the submitted draft; record the last committed head and receipt. Introduce the boundary or failure stated below.</x:v>
      </x:c>
      <x:c r="F522" s="11" t="str">
        <x:v>1. Exercise each independent condition in the validation contract, as separate recorded variants: Training does not grant production access by default. Completion evidence identifies task outcomes rather than mere attendance. 2. Inspect the safe error/state and authorised recovery actions. 3. Correct the condition and retry under current authority and expected revision. 4. Compare durable effects and audit history with the original baseline.</x:v>
      </x:c>
      <x:c r="G522" s="11" t="str">
        <x:v>Training does not grant production access by default. Completion evidence identifies task outcomes rather than mere attendance. Ordinary failed saves have no partial effect. Explicit bulk partial modes account for committed and unprocessed items. A retry does not duplicate the intended business effect.</x:v>
      </x:c>
      <x:c r="H522" s="13" t="str">
        <x:v>Not run</x:v>
      </x:c>
      <x:c r="I522" s="13" t="str"/>
      <x:c r="J522" s="13" t="str">
        <x:v>Expand multi-condition variants in the run record. Required negative coverage, not a claim that one assertion covers every security attack.</x:v>
      </x:c>
    </x:row>
    <x:row r="523" ht="103" customHeight="1">
      <x:c r="A523" s="11" t="str">
        <x:v>TC-MIG-007-01</x:v>
      </x:c>
      <x:c r="B523" s="11" t="str">
        <x:v>FR-MIG-007 / BR-MIG-007</x:v>
      </x:c>
      <x:c r="C523" s="11" t="str">
        <x:v>P0 / R1</x:v>
      </x:c>
      <x:c r="D523" s="11" t="str">
        <x:v>Full tenant export intended outcome</x:v>
      </x:c>
      <x:c r="E523" s="11" t="str">
        <x:v>Synthetic tenant A; tenant B hidden markers; eligible actor with explicit capability, scope, purpose and current assurance. Set up the source acceptance fixture: Reconstruct programme-to-indicator-to-result-to-report relationships and verify sample file integrity outside the application using the export package.</x:v>
      </x:c>
      <x:c r="F523" s="11" t="str">
        <x:v>1. Record current object revisions, policy and safe audit cursor. 2. Perform the specified interaction: Tenant export builds a machine readable object and relationship package, files, dictionaries, versions, permitted decisions and configuration. The manifest records counts, integrity references, exclusions and restoration instructions independent of internal infrastructure. 3. Inspect UI, canonical API read and audit/receipt for the resulting version. 4. Apply the acceptance example: Reconstruct programme-to-indicator-to-result-to-report relationships and verify sample file integrity outside the application using the export package.</x:v>
      </x:c>
      <x:c r="G523" s="11" t="str">
        <x:v>Reconstruct programme-to-indicator-to-result-to-report relationships and verify sample file integrity outside the application using the export package. Required behaviour is preserved: Tenant export builds a machine readable object and relationship package, files, dictionaries, versions, permitted decisions and configuration. The manifest records counts, integrity references, exclusions and restoration instructions independent of internal infrastructure.</x:v>
      </x:c>
      <x:c r="H523" s="13" t="str">
        <x:v>Not run</x:v>
      </x:c>
      <x:c r="I523" s="13" t="str"/>
      <x:c r="J523" s="13" t="str">
        <x:v>Primary owning component C06. Execute relevant channels; record actual fixture IDs and observed evidence.</x:v>
      </x:c>
    </x:row>
    <x:row r="524" ht="77" customHeight="1">
      <x:c r="A524" s="11" t="str">
        <x:v>TC-MIG-007-02</x:v>
      </x:c>
      <x:c r="B524" s="11" t="str">
        <x:v>FR-MIG-007 / BR-MIG-007 / SC01–SC08</x:v>
      </x:c>
      <x:c r="C524" s="11" t="str">
        <x:v>P0 / R1</x:v>
      </x:c>
      <x:c r="D524" s="11" t="str">
        <x:v>Full tenant export validation and recovery</x:v>
      </x:c>
      <x:c r="E524" s="11" t="str">
        <x:v>Start from the same eligible fixture and retain the submitted draft; record the last committed head and receipt. Introduce the boundary or failure stated below.</x:v>
      </x:c>
      <x:c r="F524" s="11" t="str">
        <x:v>1. Exercise each independent condition in the validation contract, as separate recorded variants: An owner may initiate exit but sensitive content access remains policy governed. Secret values are excluded and listed as requiring reconfiguration, not silently omitted from the manifest. 2. Inspect the safe error/state and authorised recovery actions. 3. Correct the condition and retry under current authority and expected revision. 4. Compare durable effects and audit history with the original baseline.</x:v>
      </x:c>
      <x:c r="G524" s="11" t="str">
        <x:v>An owner may initiate exit but sensitive content access remains policy governed. Secret values are excluded and listed as requiring reconfiguration, not silently omitted from the manifest. Ordinary failed saves have no partial effect. Explicit bulk partial modes account for committed and unprocessed items. A retry does not duplicate the intended business effect.</x:v>
      </x:c>
      <x:c r="H524" s="13" t="str">
        <x:v>Not run</x:v>
      </x:c>
      <x:c r="I524" s="13" t="str"/>
      <x:c r="J524" s="13" t="str">
        <x:v>Expand multi-condition variants in the run record. Required negative coverage, not a claim that one assertion covers every security attack.</x:v>
      </x:c>
    </x:row>
    <x:row r="525" ht="90" customHeight="1">
      <x:c r="A525" s="11" t="str">
        <x:v>TC-MIG-008-01</x:v>
      </x:c>
      <x:c r="B525" s="11" t="str">
        <x:v>FR-MIG-008 / BR-MIG-008</x:v>
      </x:c>
      <x:c r="C525" s="11" t="str">
        <x:v>P0 / R1</x:v>
      </x:c>
      <x:c r="D525" s="11" t="str">
        <x:v>Closure and deletion evidence intended outcome</x:v>
      </x:c>
      <x:c r="E525" s="11" t="str">
        <x:v>Synthetic tenant A; tenant B hidden markers; eligible actor with explicit capability, scope, purpose and current assurance. Set up the source acceptance fixture: Close a tenant after confirmed export; live credentials and deliveries stop while the record identifies one held item and its review date.</x:v>
      </x:c>
      <x:c r="F525" s="11" t="str">
        <x:v>1. Record current object revisions, policy and safe audit cursor. 2. Perform the specified interaction: Closure confirms retrieval window, export status, active integrations, credentials, jobs, holds and deletion schedule. The owner receives an outcome record showing access termination, completed deletion, backup expiry and outstanding lawful retention. 3. Inspect UI, canonical API read and audit/receipt for the resulting version. 4. Apply the acceptance example: Close a tenant after confirmed export; live credentials and deliveries stop while the record identifies one held item and its review date.</x:v>
      </x:c>
      <x:c r="G525" s="11" t="str">
        <x:v>Close a tenant after confirmed export; live credentials and deliveries stop while the record identifies one held item and its review date. Required behaviour is preserved: Closure confirms retrieval window, export status, active integrations, credentials, jobs, holds and deletion schedule. The owner receives an outcome record showing access termination, completed deletion, backup expiry and outstanding lawful retention.</x:v>
      </x:c>
      <x:c r="H525" s="13" t="str">
        <x:v>Not run</x:v>
      </x:c>
      <x:c r="I525" s="13" t="str"/>
      <x:c r="J525" s="13" t="str">
        <x:v>Primary owning component C06. Execute relevant channels; record actual fixture IDs and observed evidence.</x:v>
      </x:c>
    </x:row>
    <x:row r="526" ht="77" customHeight="1">
      <x:c r="A526" s="11" t="str">
        <x:v>TC-MIG-008-02</x:v>
      </x:c>
      <x:c r="B526" s="11" t="str">
        <x:v>FR-MIG-008 / BR-MIG-008 / SC01–SC08</x:v>
      </x:c>
      <x:c r="C526" s="11" t="str">
        <x:v>P0 / R1</x:v>
      </x:c>
      <x:c r="D526" s="11" t="str">
        <x:v>Closure and deletion evidence validation and recovery</x:v>
      </x:c>
      <x:c r="E526" s="11" t="str">
        <x:v>Start from the same eligible fixture and retain the submitted draft; record the last committed head and receipt. Introduce the boundary or failure stated below.</x:v>
      </x:c>
      <x:c r="F526" s="11" t="str">
        <x:v>1. Exercise each independent condition in the validation contract, as separate recorded variants: No closure shortcut can bypass a hold or silently erase unexported data before the agreed window. Reactivation after irreversible deletion is not offered as ordinary reopen. 2. Inspect the safe error/state and authorised recovery actions. 3. Correct the condition and retry under current authority and expected revision. 4. Compare durable effects and audit history with the original baseline.</x:v>
      </x:c>
      <x:c r="G526" s="11" t="str">
        <x:v>No closure shortcut can bypass a hold or silently erase unexported data before the agreed window. Reactivation after irreversible deletion is not offered as ordinary reopen. Ordinary failed saves have no partial effect. Explicit bulk partial modes account for committed and unprocessed items. A retry does not duplicate the intended business effect.</x:v>
      </x:c>
      <x:c r="H526" s="13" t="str">
        <x:v>Not run</x:v>
      </x:c>
      <x:c r="I526" s="13" t="str"/>
      <x:c r="J526" s="13" t="str">
        <x:v>Expand multi-condition variants in the run record. Required negative coverage, not a claim that one assertion covers every security attack.</x:v>
      </x:c>
    </x:row>
    <x:row r="527" ht="90" customHeight="1">
      <x:c r="A527" s="11" t="str">
        <x:v>TC-UX-001-01</x:v>
      </x:c>
      <x:c r="B527" s="11" t="str">
        <x:v>FR-UX-001 / BR-UX-001</x:v>
      </x:c>
      <x:c r="C527" s="11" t="str">
        <x:v>P0 / R1</x:v>
      </x:c>
      <x:c r="D527" s="11" t="str">
        <x:v>Role relevant workspaces intended outcome</x:v>
      </x:c>
      <x:c r="E527" s="11" t="str">
        <x:v>Synthetic tenant A; tenant B hidden markers; eligible actor with explicit capability, scope, purpose and current assurance. Set up the source acceptance fixture: A new enumerator opens an assigned form in two primary navigation actions and sees its due time, save status and sync requirement.</x:v>
      </x:c>
      <x:c r="F527" s="11" t="str">
        <x:v>1. Record current object revisions, policy and safe audit cursor. 2. Perform the specified interaction: The landing workspace is selected by effective role and recent permitted context: collectors see assignments, reviewers see queues, managers see obligations and viewers see disclosed results. Users can switch among their permitted workspaces. 3. Inspect UI, canonical API read and audit/receipt for the resulting version. 4. Apply the acceptance example: A new enumerator opens an assigned form in two primary navigation actions and sees its due time, save status and sync requirement.</x:v>
      </x:c>
      <x:c r="G527" s="11" t="str">
        <x:v>A new enumerator opens an assigned form in two primary navigation actions and sees its due time, save status and sync requirement. Required behaviour is preserved: The landing workspace is selected by effective role and recent permitted context: collectors see assignments, reviewers see queues, managers see obligations and viewers see disclosed results. Users can switch among their permitted workspaces.</x:v>
      </x:c>
      <x:c r="H527" s="13" t="str">
        <x:v>Not run</x:v>
      </x:c>
      <x:c r="I527" s="13" t="str"/>
      <x:c r="J527" s="13" t="str">
        <x:v>Primary owning component C15. Execute relevant channels; record actual fixture IDs and observed evidence.</x:v>
      </x:c>
    </x:row>
    <x:row r="528" ht="77" customHeight="1">
      <x:c r="A528" s="11" t="str">
        <x:v>TC-UX-001-02</x:v>
      </x:c>
      <x:c r="B528" s="11" t="str">
        <x:v>FR-UX-001 / BR-UX-001 / SC01–SC08</x:v>
      </x:c>
      <x:c r="C528" s="11" t="str">
        <x:v>P0 / R1</x:v>
      </x:c>
      <x:c r="D528" s="11" t="str">
        <x:v>Role relevant workspaces validation and recovery</x:v>
      </x:c>
      <x:c r="E528" s="11" t="str">
        <x:v>Start from the same eligible fixture and retain the submitted draft; record the last committed head and receipt. Introduce the boundary or failure stated below.</x:v>
      </x:c>
      <x:c r="F528" s="11" t="str">
        <x:v>1. Exercise each independent condition in the validation contract, as separate recorded variants: Do not expose technical administration to a field user as a prerequisite for collecting data. Role changes recompose navigation without stale private links. 2. Inspect the safe error/state and authorised recovery actions. 3. Correct the condition and retry under current authority and expected revision. 4. Compare durable effects and audit history with the original baseline.</x:v>
      </x:c>
      <x:c r="G528" s="11" t="str">
        <x:v>Do not expose technical administration to a field user as a prerequisite for collecting data. Role changes recompose navigation without stale private links. Ordinary failed saves have no partial effect. Explicit bulk partial modes account for committed and unprocessed items. A retry does not duplicate the intended business effect.</x:v>
      </x:c>
      <x:c r="H528" s="13" t="str">
        <x:v>Not run</x:v>
      </x:c>
      <x:c r="I528" s="13" t="str"/>
      <x:c r="J528" s="13" t="str">
        <x:v>Expand multi-condition variants in the run record. Required negative coverage, not a claim that one assertion covers every security attack.</x:v>
      </x:c>
    </x:row>
    <x:row r="529" ht="90" customHeight="1">
      <x:c r="A529" s="11" t="str">
        <x:v>TC-UX-002-01</x:v>
      </x:c>
      <x:c r="B529" s="11" t="str">
        <x:v>FR-UX-002 / BR-UX-002</x:v>
      </x:c>
      <x:c r="C529" s="11" t="str">
        <x:v>P1 / R1</x:v>
      </x:c>
      <x:c r="D529" s="11" t="str">
        <x:v>Progressive configuration intended outcome</x:v>
      </x:c>
      <x:c r="E529" s="11" t="str">
        <x:v>Synthetic tenant A; tenant B hidden markers; eligible actor with explicit capability, scope, purpose and current assurance. Set up the source acceptance fixture: Create a simple programme from a template and inspect the exact sum rule and reporting calendar that produce its first result.</x:v>
      </x:c>
      <x:c r="F529" s="11" t="str">
        <x:v>1. Record current object revisions, policy and safe audit cursor. 2. Perform the specified interaction: Programme setup offers a simple template and reveals advanced settings in relevant steps. Defaults for units, periods, aggregation, consent and audience are visible in a final summary and editable before submission. 3. Inspect UI, canonical API read and audit/receipt for the resulting version. 4. Apply the acceptance example: Create a simple programme from a template and inspect the exact sum rule and reporting calendar that produce its first result.</x:v>
      </x:c>
      <x:c r="G529" s="11" t="str">
        <x:v>Create a simple programme from a template and inspect the exact sum rule and reporting calendar that produce its first result. Required behaviour is preserved: Programme setup offers a simple template and reveals advanced settings in relevant steps. Defaults for units, periods, aggregation, consent and audience are visible in a final summary and editable before submission.</x:v>
      </x:c>
      <x:c r="H529" s="13" t="str">
        <x:v>Not run</x:v>
      </x:c>
      <x:c r="I529" s="13" t="str"/>
      <x:c r="J529" s="13" t="str">
        <x:v>Primary owning component C15. Execute relevant channels; record actual fixture IDs and observed evidence.</x:v>
      </x:c>
    </x:row>
    <x:row r="530" ht="77" customHeight="1">
      <x:c r="A530" s="11" t="str">
        <x:v>TC-UX-002-02</x:v>
      </x:c>
      <x:c r="B530" s="11" t="str">
        <x:v>FR-UX-002 / BR-UX-002 / SC01–SC08</x:v>
      </x:c>
      <x:c r="C530" s="11" t="str">
        <x:v>P1 / R1</x:v>
      </x:c>
      <x:c r="D530" s="11" t="str">
        <x:v>Progressive configuration validation and recovery</x:v>
      </x:c>
      <x:c r="E530" s="11" t="str">
        <x:v>Start from the same eligible fixture and retain the submitted draft; record the last committed head and receipt. Introduce the boundary or failure stated below.</x:v>
      </x:c>
      <x:c r="F530" s="11" t="str">
        <x:v>1. Exercise each independent condition in the validation contract, as separate recorded variants: No hidden automatic unique reach, broad sharing or assumed consent. Invalid defaults block progression rather than creating a superficially complete programme. 2. Inspect the safe error/state and authorised recovery actions. 3. Correct the condition and retry under current authority and expected revision. 4. Compare durable effects and audit history with the original baseline.</x:v>
      </x:c>
      <x:c r="G530" s="11" t="str">
        <x:v>No hidden automatic unique reach, broad sharing or assumed consent. Invalid defaults block progression rather than creating a superficially complete programme. Ordinary failed saves have no partial effect. Explicit bulk partial modes account for committed and unprocessed items. A retry does not duplicate the intended business effect.</x:v>
      </x:c>
      <x:c r="H530" s="13" t="str">
        <x:v>Not run</x:v>
      </x:c>
      <x:c r="I530" s="13" t="str"/>
      <x:c r="J530" s="13" t="str">
        <x:v>Expand multi-condition variants in the run record. Required negative coverage, not a claim that one assertion covers every security attack.</x:v>
      </x:c>
    </x:row>
    <x:row r="531" ht="90" customHeight="1">
      <x:c r="A531" s="11" t="str">
        <x:v>TC-UX-003-01</x:v>
      </x:c>
      <x:c r="B531" s="11" t="str">
        <x:v>FR-UX-003 / BR-UX-003</x:v>
      </x:c>
      <x:c r="C531" s="11" t="str">
        <x:v>P0 / R1</x:v>
      </x:c>
      <x:c r="D531" s="11" t="str">
        <x:v>Error recovery and work preservation intended outcome</x:v>
      </x:c>
      <x:c r="E531" s="11" t="str">
        <x:v>Synthetic tenant A; tenant B hidden markers; eligible actor with explicit capability, scope, purpose and current assurance. Set up the source acceptance fixture: Time out an import confirmation, reconnect and recover the existing job receipt without creating another load.</x:v>
      </x:c>
      <x:c r="F531" s="11" t="str">
        <x:v>1. Record current object revisions, policy and safe audit cursor. 2. Perform the specified interaction: Errors explain failed action, saved state and permitted next step. Drafts and operation IDs persist across recoverable failures. Destructive actions preview affected objects; reversible changes offer an explicit inverse operation where business semantics support it. 3. Inspect UI, canonical API read and audit/receipt for the resulting version. 4. Apply the acceptance example: Time out an import confirmation, reconnect and recover the existing job receipt without creating another load.</x:v>
      </x:c>
      <x:c r="G531" s="11" t="str">
        <x:v>Time out an import confirmation, reconnect and recover the existing job receipt without creating another load. Required behaviour is preserved: Errors explain failed action, saved state and permitted next step. Drafts and operation IDs persist across recoverable failures. Destructive actions preview affected objects; reversible changes offer an explicit inverse operation where business semantics support it.</x:v>
      </x:c>
      <x:c r="H531" s="13" t="str">
        <x:v>Not run</x:v>
      </x:c>
      <x:c r="I531" s="13" t="str"/>
      <x:c r="J531" s="13" t="str">
        <x:v>Primary owning component C15. Execute relevant channels; record actual fixture IDs and observed evidence.</x:v>
      </x:c>
    </x:row>
    <x:row r="532" ht="77" customHeight="1">
      <x:c r="A532" s="11" t="str">
        <x:v>TC-UX-003-02</x:v>
      </x:c>
      <x:c r="B532" s="11" t="str">
        <x:v>FR-UX-003 / BR-UX-003 / SC01–SC08</x:v>
      </x:c>
      <x:c r="C532" s="11" t="str">
        <x:v>P0 / R1</x:v>
      </x:c>
      <x:c r="D532" s="11" t="str">
        <x:v>Error recovery and work preservation validation and recovery</x:v>
      </x:c>
      <x:c r="E532" s="11" t="str">
        <x:v>Start from the same eligible fixture and retain the submitted draft; record the last committed head and receipt. Introduce the boundary or failure stated below.</x:v>
      </x:c>
      <x:c r="F532" s="11" t="str">
        <x:v>1. Exercise each independent condition in the validation contract, as separate recorded variants: Undo cannot erase audit, unpublish externally downloaded copies or restore lawfully deleted data. An unknown request outcome requires receipt reconciliation before repeat. 2. Inspect the safe error/state and authorised recovery actions. 3. Correct the condition and retry under current authority and expected revision. 4. Compare durable effects and audit history with the original baseline.</x:v>
      </x:c>
      <x:c r="G532" s="11" t="str">
        <x:v>Undo cannot erase audit, unpublish externally downloaded copies or restore lawfully deleted data. An unknown request outcome requires receipt reconciliation before repeat. Ordinary failed saves have no partial effect. Explicit bulk partial modes account for committed and unprocessed items. A retry does not duplicate the intended business effect.</x:v>
      </x:c>
      <x:c r="H532" s="13" t="str">
        <x:v>Not run</x:v>
      </x:c>
      <x:c r="I532" s="13" t="str"/>
      <x:c r="J532" s="13" t="str">
        <x:v>Expand multi-condition variants in the run record. Required negative coverage, not a claim that one assertion covers every security attack.</x:v>
      </x:c>
    </x:row>
    <x:row r="533" ht="103" customHeight="1">
      <x:c r="A533" s="11" t="str">
        <x:v>TC-UX-004-01</x:v>
      </x:c>
      <x:c r="B533" s="11" t="str">
        <x:v>FR-UX-004 / BR-UX-004</x:v>
      </x:c>
      <x:c r="C533" s="11" t="str">
        <x:v>P0 / R1</x:v>
      </x:c>
      <x:c r="D533" s="11" t="str">
        <x:v>Accessible interaction intended outcome</x:v>
      </x:c>
      <x:c r="E533" s="11" t="str">
        <x:v>Synthetic tenant A; tenant B hidden markers; eligible actor with explicit capability, scope, purpose and current assurance. Set up the source acceptance fixture: Complete collection, correction and approval with keyboard and a qualified screen reader, including an invalid field and a stale revision conflict.</x:v>
      </x:c>
      <x:c r="F533" s="11" t="str">
        <x:v>1. Record current object revisions, policy and safe audit cursor. 2. Perform the specified interaction: All supported controls have accessible labels, keyboard operation, visible focus and understandable errors. Drag actions provide buttons or ordered lists. Charts offer tables, and async state changes are announced without unexpectedly moving focus. 3. Inspect UI, canonical API read and audit/receipt for the resulting version. 4. Apply the acceptance example: Complete collection, correction and approval with keyboard and a qualified screen reader, including an invalid field and a stale revision conflict.</x:v>
      </x:c>
      <x:c r="G533" s="11" t="str">
        <x:v>Complete collection, correction and approval with keyboard and a qualified screen reader, including an invalid field and a stale revision conflict. Required behaviour is preserved: All supported controls have accessible labels, keyboard operation, visible focus and understandable errors. Drag actions provide buttons or ordered lists. Charts offer tables, and async state changes are announced without unexpectedly moving focus.</x:v>
      </x:c>
      <x:c r="H533" s="13" t="str">
        <x:v>Not run</x:v>
      </x:c>
      <x:c r="I533" s="13" t="str"/>
      <x:c r="J533" s="13" t="str">
        <x:v>Primary owning component C15. Execute relevant channels; record actual fixture IDs and observed evidence.</x:v>
      </x:c>
    </x:row>
    <x:row r="534" ht="77" customHeight="1">
      <x:c r="A534" s="11" t="str">
        <x:v>TC-UX-004-02</x:v>
      </x:c>
      <x:c r="B534" s="11" t="str">
        <x:v>FR-UX-004 / BR-UX-004 / SC01–SC08</x:v>
      </x:c>
      <x:c r="C534" s="11" t="str">
        <x:v>P0 / R1</x:v>
      </x:c>
      <x:c r="D534" s="11" t="str">
        <x:v>Accessible interaction validation and recovery</x:v>
      </x:c>
      <x:c r="E534" s="11" t="str">
        <x:v>Start from the same eligible fixture and retain the submitted draft; record the last committed head and receipt. Introduce the boundary or failure stated below.</x:v>
      </x:c>
      <x:c r="F534" s="11" t="str">
        <x:v>1. Exercise each independent condition in the validation contract, as separate recorded variants: Authentication supports password managers and accessible alternatives to challenges. User supplied content limitations are reported; they do not waive product process conformance. 2. Inspect the safe error/state and authorised recovery actions. 3. Correct the condition and retry under current authority and expected revision. 4. Compare durable effects and audit history with the original baseline.</x:v>
      </x:c>
      <x:c r="G534" s="11" t="str">
        <x:v>Authentication supports password managers and accessible alternatives to challenges. User supplied content limitations are reported; they do not waive product process conformance. Ordinary failed saves have no partial effect. Explicit bulk partial modes account for committed and unprocessed items. A retry does not duplicate the intended business effect.</x:v>
      </x:c>
      <x:c r="H534" s="13" t="str">
        <x:v>Not run</x:v>
      </x:c>
      <x:c r="I534" s="13" t="str"/>
      <x:c r="J534" s="13" t="str">
        <x:v>Expand multi-condition variants in the run record. Required negative coverage, not a claim that one assertion covers every security attack.</x:v>
      </x:c>
    </x:row>
    <x:row r="535" ht="103" customHeight="1">
      <x:c r="A535" s="11" t="str">
        <x:v>TC-UX-005-01</x:v>
      </x:c>
      <x:c r="B535" s="11" t="str">
        <x:v>FR-UX-005 / BR-UX-005</x:v>
      </x:c>
      <x:c r="C535" s="11" t="str">
        <x:v>P0 / R1</x:v>
      </x:c>
      <x:c r="D535" s="11" t="str">
        <x:v>Responsive operation intended outcome</x:v>
      </x:c>
      <x:c r="E535" s="11" t="str">
        <x:v>Synthetic tenant A; tenant B hidden markers; eligible actor with explicit capability, scope, purpose and current assurance. Set up the source acceptance fixture: Complete a form, review evidence and return a submission on the supported mobile profile without horizontal dependence for ordinary fields.</x:v>
      </x:c>
      <x:c r="F535" s="11" t="str">
        <x:v>1. Record current object revisions, policy and safe audit cursor. 2. Perform the specified interaction: Core mobile layouts support 360 CSS pixel width with readable fields and reachable actions. Wide analysis tables offer labelled scrolling or a simplified view without hiding critical meaning. Dense configuration declares its desktop requirement before editing begins. 3. Inspect UI, canonical API read and audit/receipt for the resulting version. 4. Apply the acceptance example: Complete a form, review evidence and return a submission on the supported mobile profile without horizontal dependence for ordinary fields.</x:v>
      </x:c>
      <x:c r="G535" s="11" t="str">
        <x:v>Complete a form, review evidence and return a submission on the supported mobile profile without horizontal dependence for ordinary fields. Required behaviour is preserved: Core mobile layouts support 360 CSS pixel width with readable fields and reachable actions. Wide analysis tables offer labelled scrolling or a simplified view without hiding critical meaning. Dense configuration declares its desktop requirement before editing begins.</x:v>
      </x:c>
      <x:c r="H535" s="13" t="str">
        <x:v>Not run</x:v>
      </x:c>
      <x:c r="I535" s="13" t="str"/>
      <x:c r="J535" s="13" t="str">
        <x:v>Primary owning component C15. Execute relevant channels; record actual fixture IDs and observed evidence.</x:v>
      </x:c>
    </x:row>
    <x:row r="536" ht="77" customHeight="1">
      <x:c r="A536" s="11" t="str">
        <x:v>TC-UX-005-02</x:v>
      </x:c>
      <x:c r="B536" s="11" t="str">
        <x:v>FR-UX-005 / BR-UX-005 / SC01–SC08</x:v>
      </x:c>
      <x:c r="C536" s="11" t="str">
        <x:v>P0 / R1</x:v>
      </x:c>
      <x:c r="D536" s="11" t="str">
        <x:v>Responsive operation validation and recovery</x:v>
      </x:c>
      <x:c r="E536" s="11" t="str">
        <x:v>Start from the same eligible fixture and retain the submitted draft; record the last committed head and receipt. Introduce the boundary or failure stated below.</x:v>
      </x:c>
      <x:c r="F536" s="11" t="str">
        <x:v>1. Exercise each independent condition in the validation contract, as separate recorded variants: No hover-only essential action or clipped submit button. Orientation changes preserve drafts, focus context and confirmation state. 2. Inspect the safe error/state and authorised recovery actions. 3. Correct the condition and retry under current authority and expected revision. 4. Compare durable effects and audit history with the original baseline.</x:v>
      </x:c>
      <x:c r="G536" s="11" t="str">
        <x:v>No hover-only essential action or clipped submit button. Orientation changes preserve drafts, focus context and confirmation state. Ordinary failed saves have no partial effect. Explicit bulk partial modes account for committed and unprocessed items. A retry does not duplicate the intended business effect.</x:v>
      </x:c>
      <x:c r="H536" s="13" t="str">
        <x:v>Not run</x:v>
      </x:c>
      <x:c r="I536" s="13" t="str"/>
      <x:c r="J536" s="13" t="str">
        <x:v>Expand multi-condition variants in the run record. Required negative coverage, not a claim that one assertion covers every security attack.</x:v>
      </x:c>
    </x:row>
    <x:row r="537" ht="90" customHeight="1">
      <x:c r="A537" s="11" t="str">
        <x:v>TC-UX-006-01</x:v>
      </x:c>
      <x:c r="B537" s="11" t="str">
        <x:v>FR-UX-006 / BR-UX-006</x:v>
      </x:c>
      <x:c r="C537" s="11" t="str">
        <x:v>P1 / R1</x:v>
      </x:c>
      <x:c r="D537" s="11" t="str">
        <x:v>Language and locale intended outcome</x:v>
      </x:c>
      <x:c r="E537" s="11" t="str">
        <x:v>Synthetic tenant A; tenant B hidden markers; eligible actor with explicit capability, scope, purpose and current assurance. Set up the source acceptance fixture: Import 1,25 under a decimal-comma locale, view in decimal-point locale and export; the underlying value stays 1.25.</x:v>
      </x:c>
      <x:c r="F537" s="11" t="str">
        <x:v>1. Record current object revisions, policy and safe audit cursor. 2. Perform the specified interaction: Profile locale controls display, while source locale and programme reporting zone govern interpretation. Import requires explicit ambiguous date and decimal handling. Unicode labels, names and codes survive export and search. 3. Inspect UI, canonical API read and audit/receipt for the resulting version. 4. Apply the acceptance example: Import 1,25 under a decimal-comma locale, view in decimal-point locale and export; the underlying value stays 1.25.</x:v>
      </x:c>
      <x:c r="G537" s="11" t="str">
        <x:v>Import 1,25 under a decimal-comma locale, view in decimal-point locale and export; the underlying value stays 1.25. Required behaviour is preserved: Profile locale controls display, while source locale and programme reporting zone govern interpretation. Import requires explicit ambiguous date and decimal handling. Unicode labels, names and codes survive export and search.</x:v>
      </x:c>
      <x:c r="H537" s="13" t="str">
        <x:v>Not run</x:v>
      </x:c>
      <x:c r="I537" s="13" t="str"/>
      <x:c r="J537" s="13" t="str">
        <x:v>Primary owning component C15. Execute relevant channels; record actual fixture IDs and observed evidence.</x:v>
      </x:c>
    </x:row>
    <x:row r="538" ht="77" customHeight="1">
      <x:c r="A538" s="11" t="str">
        <x:v>TC-UX-006-02</x:v>
      </x:c>
      <x:c r="B538" s="11" t="str">
        <x:v>FR-UX-006 / BR-UX-006 / SC01–SC08</x:v>
      </x:c>
      <x:c r="C538" s="11" t="str">
        <x:v>P1 / R1</x:v>
      </x:c>
      <x:c r="D538" s="11" t="str">
        <x:v>Language and locale validation and recovery</x:v>
      </x:c>
      <x:c r="E538" s="11" t="str">
        <x:v>Start from the same eligible fixture and retain the submitted draft; record the last committed head and receipt. Introduce the boundary or failure stated below.</x:v>
      </x:c>
      <x:c r="F538" s="11" t="str">
        <x:v>1. Exercise each independent condition in the validation contract, as separate recorded variants: Changing display language cannot recalculate dates, amounts or period membership. Stable codes remain separate from translated labels. 2. Inspect the safe error/state and authorised recovery actions. 3. Correct the condition and retry under current authority and expected revision. 4. Compare durable effects and audit history with the original baseline.</x:v>
      </x:c>
      <x:c r="G538" s="11" t="str">
        <x:v>Changing display language cannot recalculate dates, amounts or period membership. Stable codes remain separate from translated labels. Ordinary failed saves have no partial effect. Explicit bulk partial modes account for committed and unprocessed items. A retry does not duplicate the intended business effect.</x:v>
      </x:c>
      <x:c r="H538" s="13" t="str">
        <x:v>Not run</x:v>
      </x:c>
      <x:c r="I538" s="13" t="str"/>
      <x:c r="J538" s="13" t="str">
        <x:v>Expand multi-condition variants in the run record. Required negative coverage, not a claim that one assertion covers every security attack.</x:v>
      </x:c>
    </x:row>
    <x:row r="539" ht="103" customHeight="1">
      <x:c r="A539" s="11" t="str">
        <x:v>TC-UX-007-01</x:v>
      </x:c>
      <x:c r="B539" s="11" t="str">
        <x:v>FR-UX-007 / BR-UX-007</x:v>
      </x:c>
      <x:c r="C539" s="11" t="str">
        <x:v>P1 / R2</x:v>
      </x:c>
      <x:c r="D539" s="11" t="str">
        <x:v>Expanded localisation intended outcome</x:v>
      </x:c>
      <x:c r="E539" s="11" t="str">
        <x:v>Synthetic tenant A; tenant B hidden markers; eligible actor with explicit capability, scope, purpose and current assurance. Set up the source acceptance fixture: Complete the same core workflow in each released language and confirm no untranslated blocking message or reversed layout obscures an action.</x:v>
      </x:c>
      <x:c r="F539" s="11" t="str">
        <x:v>1. Record current object revisions, policy and safe audit cursor. 2. Perform the specified interaction: A language release contains navigation, help, validation, notifications, standard reports and critical consent text with professional review. Right to left presentation is qualified where relevant. Translation completeness blocks release of affected core workflows. 3. Inspect UI, canonical API read and audit/receipt for the resulting version. 4. Apply the acceptance example: Complete the same core workflow in each released language and confirm no untranslated blocking message or reversed layout obscures an action.</x:v>
      </x:c>
      <x:c r="G539" s="11" t="str">
        <x:v>Complete the same core workflow in each released language and confirm no untranslated blocking message or reversed layout obscures an action. Required behaviour is preserved: A language release contains navigation, help, validation, notifications, standard reports and critical consent text with professional review. Right to left presentation is qualified where relevant. Translation completeness blocks release of affected core workflows.</x:v>
      </x:c>
      <x:c r="H539" s="13" t="str">
        <x:v>Not run</x:v>
      </x:c>
      <x:c r="I539" s="13" t="str"/>
      <x:c r="J539" s="13" t="str">
        <x:v>Primary owning component C15. Execute relevant channels; record actual fixture IDs and observed evidence.</x:v>
      </x:c>
    </x:row>
    <x:row r="540" ht="77" customHeight="1">
      <x:c r="A540" s="11" t="str">
        <x:v>TC-UX-007-02</x:v>
      </x:c>
      <x:c r="B540" s="11" t="str">
        <x:v>FR-UX-007 / BR-UX-007 / SC01–SC08</x:v>
      </x:c>
      <x:c r="C540" s="11" t="str">
        <x:v>P1 / R2</x:v>
      </x:c>
      <x:c r="D540" s="11" t="str">
        <x:v>Expanded localisation validation and recovery</x:v>
      </x:c>
      <x:c r="E540" s="11" t="str">
        <x:v>Start from the same eligible fixture and retain the submitted draft; record the last committed head and receipt. Introduce the boundary or failure stated below.</x:v>
      </x:c>
      <x:c r="F540" s="11" t="str">
        <x:v>1. Exercise each independent condition in the validation contract, as separate recorded variants: Machine translation alone is not a completed interface qualification. Fallback language is explicit and never changes stored codes or numeric semantics. 2. Inspect the safe error/state and authorised recovery actions. 3. Correct the condition and retry under current authority and expected revision. 4. Compare durable effects and audit history with the original baseline.</x:v>
      </x:c>
      <x:c r="G540" s="11" t="str">
        <x:v>Machine translation alone is not a completed interface qualification. Fallback language is explicit and never changes stored codes or numeric semantics. Ordinary failed saves have no partial effect. Explicit bulk partial modes account for committed and unprocessed items. A retry does not duplicate the intended business effect.</x:v>
      </x:c>
      <x:c r="H540" s="13" t="str">
        <x:v>Not run</x:v>
      </x:c>
      <x:c r="I540" s="13" t="str"/>
      <x:c r="J540" s="13" t="str">
        <x:v>Expand multi-condition variants in the run record. Required negative coverage, not a claim that one assertion covers every security attack.</x:v>
      </x:c>
    </x:row>
    <x:row r="541" ht="90" customHeight="1">
      <x:c r="A541" s="11" t="str">
        <x:v>TC-UX-008-01</x:v>
      </x:c>
      <x:c r="B541" s="11" t="str">
        <x:v>FR-UX-008 / BR-UX-008</x:v>
      </x:c>
      <x:c r="C541" s="11" t="str">
        <x:v>P1 / R1</x:v>
      </x:c>
      <x:c r="D541" s="11" t="str">
        <x:v>Discoverability and help intended outcome</x:v>
      </x:c>
      <x:c r="E541" s="11" t="str">
        <x:v>Synthetic tenant A; tenant B hidden markers; eligible actor with explicit capability, scope, purpose and current assurance. Set up the source acceptance fixture: Find an assigned indicator, identify why approval is pending and reach the required evidence task without administrator intervention.</x:v>
      </x:c>
      <x:c r="F541" s="11" t="str">
        <x:v>1. Record current object revisions, policy and safe audit cursor. 2. Perform the specified interaction: Search, recent work and saved views use current permissions. Context help explains measurement states, approval blockers and recovery actions using product language. Users can move from a safe task notification to the exact permitted object and issue. 3. Inspect UI, canonical API read and audit/receipt for the resulting version. 4. Apply the acceptance example: Find an assigned indicator, identify why approval is pending and reach the required evidence task without administrator intervention.</x:v>
      </x:c>
      <x:c r="G541" s="11" t="str">
        <x:v>Find an assigned indicator, identify why approval is pending and reach the required evidence task without administrator intervention. Required behaviour is preserved: Search, recent work and saved views use current permissions. Context help explains measurement states, approval blockers and recovery actions using product language. Users can move from a safe task notification to the exact permitted object and issue.</x:v>
      </x:c>
      <x:c r="H541" s="13" t="str">
        <x:v>Not run</x:v>
      </x:c>
      <x:c r="I541" s="13" t="str"/>
      <x:c r="J541" s="13" t="str">
        <x:v>Primary owning component C15. Execute relevant channels; record actual fixture IDs and observed evidence.</x:v>
      </x:c>
    </x:row>
    <x:row r="542" ht="77" customHeight="1">
      <x:c r="A542" s="11" t="str">
        <x:v>TC-UX-008-02</x:v>
      </x:c>
      <x:c r="B542" s="11" t="str">
        <x:v>FR-UX-008 / BR-UX-008 / SC01–SC08</x:v>
      </x:c>
      <x:c r="C542" s="11" t="str">
        <x:v>P1 / R1</x:v>
      </x:c>
      <x:c r="D542" s="11" t="str">
        <x:v>Discoverability and help validation and recovery</x:v>
      </x:c>
      <x:c r="E542" s="11" t="str">
        <x:v>Start from the same eligible fixture and retain the submitted draft; record the last committed head and receipt. Introduce the boundary or failure stated below.</x:v>
      </x:c>
      <x:c r="F542" s="11" t="str">
        <x:v>1. Exercise each independent condition in the validation contract, as separate recorded variants: Help examples use synthetic data and do not reveal implementation secrets. A saved view with a retired definition prompts reviewed rebinding rather than silently changing meaning. 2. Inspect the safe error/state and authorised recovery actions. 3. Correct the condition and retry under current authority and expected revision. 4. Compare durable effects and audit history with the original baseline.</x:v>
      </x:c>
      <x:c r="G542" s="11" t="str">
        <x:v>Help examples use synthetic data and do not reveal implementation secrets. A saved view with a retired definition prompts reviewed rebinding rather than silently changing meaning. Ordinary failed saves have no partial effect. Explicit bulk partial modes account for committed and unprocessed items. A retry does not duplicate the intended business effect.</x:v>
      </x:c>
      <x:c r="H542" s="13" t="str">
        <x:v>Not run</x:v>
      </x:c>
      <x:c r="I542" s="13" t="str"/>
      <x:c r="J542" s="13" t="str">
        <x:v>Expand multi-condition variants in the run record. Required negative coverage, not a claim that one assertion covers every security attack.</x:v>
      </x:c>
    </x:row>
    <x:row r="543" ht="90" customHeight="1">
      <x:c r="A543" s="11" t="str">
        <x:v>TC-UX-009-01</x:v>
      </x:c>
      <x:c r="B543" s="11" t="str">
        <x:v>FR-UX-009 / BR-UX-009</x:v>
      </x:c>
      <x:c r="C543" s="11" t="str">
        <x:v>P0 / R1</x:v>
      </x:c>
      <x:c r="D543" s="11" t="str">
        <x:v>Status and trust cues intended outcome</x:v>
      </x:c>
      <x:c r="E543" s="11" t="str">
        <x:v>Synthetic tenant A; tenant B hidden markers; eligible actor with explicit capability, scope, purpose and current assurance. Set up the source acceptance fixture: Submit a large file and observe separate receipt, validation, review and calculation stages with no premature published result.</x:v>
      </x:c>
      <x:c r="F543" s="11" t="str">
        <x:v>1. Record current object revisions, policy and safe audit cursor. 2. Perform the specified interaction: Status labels consistently distinguish local save, received, validating, approved, published, stale, partial, suppressed and AI proposed. A background job receipt names the current stage and does not display complete until its actual completion event. 3. Inspect UI, canonical API read and audit/receipt for the resulting version. 4. Apply the acceptance example: Submit a large file and observe separate receipt, validation, review and calculation stages with no premature published result.</x:v>
      </x:c>
      <x:c r="G543" s="11" t="str">
        <x:v>Submit a large file and observe separate receipt, validation, review and calculation stages with no premature published result. Required behaviour is preserved: Status labels consistently distinguish local save, received, validating, approved, published, stale, partial, suppressed and AI proposed. A background job receipt names the current stage and does not display complete until its actual completion event.</x:v>
      </x:c>
      <x:c r="H543" s="13" t="str">
        <x:v>Not run</x:v>
      </x:c>
      <x:c r="I543" s="13" t="str"/>
      <x:c r="J543" s="13" t="str">
        <x:v>Primary owning component C15. Execute relevant channels; record actual fixture IDs and observed evidence.</x:v>
      </x:c>
    </x:row>
    <x:row r="544" ht="77" customHeight="1">
      <x:c r="A544" s="11" t="str">
        <x:v>TC-UX-009-02</x:v>
      </x:c>
      <x:c r="B544" s="11" t="str">
        <x:v>FR-UX-009 / BR-UX-009 / SC01–SC08</x:v>
      </x:c>
      <x:c r="C544" s="11" t="str">
        <x:v>P0 / R1</x:v>
      </x:c>
      <x:c r="D544" s="11" t="str">
        <x:v>Status and trust cues validation and recovery</x:v>
      </x:c>
      <x:c r="E544" s="11" t="str">
        <x:v>Start from the same eligible fixture and retain the submitted draft; record the last committed head and receipt. Introduce the boundary or failure stated below.</x:v>
      </x:c>
      <x:c r="F544" s="11" t="str">
        <x:v>1. Exercise each independent condition in the validation contract, as separate recorded variants: A generic green success banner cannot imply approval or external delivery. Numeric badges include text equivalents and uncertainty states. 2. Inspect the safe error/state and authorised recovery actions. 3. Correct the condition and retry under current authority and expected revision. 4. Compare durable effects and audit history with the original baseline.</x:v>
      </x:c>
      <x:c r="G544" s="11" t="str">
        <x:v>A generic green success banner cannot imply approval or external delivery. Numeric badges include text equivalents and uncertainty states. Ordinary failed saves have no partial effect. Explicit bulk partial modes account for committed and unprocessed items. A retry does not duplicate the intended business effect.</x:v>
      </x:c>
      <x:c r="H544" s="13" t="str">
        <x:v>Not run</x:v>
      </x:c>
      <x:c r="I544" s="13" t="str"/>
      <x:c r="J544" s="13" t="str">
        <x:v>Expand multi-condition variants in the run record. Required negative coverage, not a claim that one assertion covers every security attack.</x:v>
      </x:c>
    </x:row>
    <x:row r="545" ht="103" customHeight="1">
      <x:c r="A545" s="11" t="str">
        <x:v>TC-UX-010-01</x:v>
      </x:c>
      <x:c r="B545" s="11" t="str">
        <x:v>FR-UX-010 / BR-UX-010</x:v>
      </x:c>
      <x:c r="C545" s="11" t="str">
        <x:v>P1 / R1</x:v>
      </x:c>
      <x:c r="D545" s="11" t="str">
        <x:v>Usability evidence intended outcome</x:v>
      </x:c>
      <x:c r="E545" s="11" t="str">
        <x:v>Synthetic tenant A; tenant B hidden markers; eligible actor with explicit capability, scope, purpose and current assurance. Set up the source acceptance fixture: Run the six BRD core tasks with at least fifteen representative participants and document both the completion threshold and every critical error resolution.</x:v>
      </x:c>
      <x:c r="F545" s="11" t="str">
        <x:v>1. Record current object revisions, policy and safe audit cursor. 2. Perform the specified interaction: Usability qualification selects representative roles and accessibility needs, records standard onboarding and tasks, and measures completion, time and consequential errors. Failures are prioritised by data loss, disclosure and incorrect official result risk. 3. Inspect UI, canonical API read and audit/receipt for the resulting version. 4. Apply the acceptance example: Run the six BRD core tasks with at least fifteen representative participants and document both the completion threshold and every critical error resolution.</x:v>
      </x:c>
      <x:c r="G545" s="11" t="str">
        <x:v>Run the six BRD core tasks with at least fifteen representative participants and document both the completion threshold and every critical error resolution. Required behaviour is preserved: Usability qualification selects representative roles and accessibility needs, records standard onboarding and tasks, and measures completion, time and consequential errors. Failures are prioritised by data loss, disclosure and incorrect official result risk.</x:v>
      </x:c>
      <x:c r="H545" s="13" t="str">
        <x:v>Not run</x:v>
      </x:c>
      <x:c r="I545" s="13" t="str"/>
      <x:c r="J545" s="13" t="str">
        <x:v>Primary owning component C15. Execute relevant channels; record actual fixture IDs and observed evidence.</x:v>
      </x:c>
    </x:row>
    <x:row r="546" ht="77" customHeight="1">
      <x:c r="A546" s="11" t="str">
        <x:v>TC-UX-010-02</x:v>
      </x:c>
      <x:c r="B546" s="11" t="str">
        <x:v>FR-UX-010 / BR-UX-010 / SC01–SC08</x:v>
      </x:c>
      <x:c r="C546" s="11" t="str">
        <x:v>P1 / R1</x:v>
      </x:c>
      <x:c r="D546" s="11" t="str">
        <x:v>Usability evidence validation and recovery</x:v>
      </x:c>
      <x:c r="E546" s="11" t="str">
        <x:v>Start from the same eligible fixture and retain the submitted draft; record the last committed head and receipt. Introduce the boundary or failure stated below.</x:v>
      </x:c>
      <x:c r="F546" s="11" t="str">
        <x:v>1. Exercise each independent condition in the validation contract, as separate recorded variants: No critical observed workflow defect may be accepted as cosmetic. Facilitation is recorded and does not count as unaided task completion. 2. Inspect the safe error/state and authorised recovery actions. 3. Correct the condition and retry under current authority and expected revision. 4. Compare durable effects and audit history with the original baseline.</x:v>
      </x:c>
      <x:c r="G546" s="11" t="str">
        <x:v>No critical observed workflow defect may be accepted as cosmetic. Facilitation is recorded and does not count as unaided task completion. Ordinary failed saves have no partial effect. Explicit bulk partial modes account for committed and unprocessed items. A retry does not duplicate the intended business effect.</x:v>
      </x:c>
      <x:c r="H546" s="13" t="str">
        <x:v>Not run</x:v>
      </x:c>
      <x:c r="I546" s="13" t="str"/>
      <x:c r="J546" s="13" t="str">
        <x:v>Expand multi-condition variants in the run record. Required negative coverage, not a claim that one assertion covers every security attack.</x:v>
      </x:c>
    </x:row>
  </x:sheetData>
  <x:conditionalFormatting sqref="H7:H546">
    <x:cfRule type="cellIs" dxfId="0" priority="1" operator="equal">
      <x:formula>"Pass"</x:formula>
    </x:cfRule>
    <x:cfRule type="cellIs" dxfId="1" priority="2" operator="equal">
      <x:formula>"Fail"</x:formula>
    </x:cfRule>
    <x:cfRule type="cellIs" dxfId="2" priority="3" operator="equal">
      <x:formula>"Blocked"</x:formula>
    </x:cfRule>
  </x:conditionalFormatting>
  <x:dataValidations count="1">
    <x:dataValidation type="list" sqref="H7:H546">
      <x:formula1>"Not run,In progress,Pass,Fail,Blocked,Not applicable"</x:formula1>
    </x:dataValidation>
  </x:dataValidations>
  <x:pageMargins left="0.7" right="0.7" top="0.75" bottom="0.75" header="0.3" footer="0.3"/>
  <x:tableParts count="1">
    <x:tablePart xmlns:r="http://schemas.openxmlformats.org/officeDocument/2006/relationships" r:id="R652ef3230a5e40e3"/>
  </x:tableParts>
</x:worksheet>
</file>

<file path=xl/worksheets/sheet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24" hidden="0" customWidth="1"/>
    <x:col min="2" max="2" width="38" hidden="0" customWidth="1"/>
    <x:col min="3" max="3" width="20" hidden="0" customWidth="1"/>
    <x:col min="4" max="4" width="45" hidden="0" customWidth="1"/>
    <x:col min="5" max="5" width="75" hidden="0" customWidth="1"/>
    <x:col min="6" max="6" width="115" hidden="0" customWidth="1"/>
    <x:col min="7" max="7" width="115" hidden="0" customWidth="1"/>
    <x:col min="8" max="8" width="17" hidden="0" customWidth="1"/>
    <x:col min="9" max="9" width="60" hidden="0" customWidth="1"/>
    <x:col min="10" max="10" width="64" hidden="0" customWidth="1"/>
  </x:cols>
  <x:sheetData>
    <x:row r="1" ht="12" customHeight="1">
      <x:c r="A1" s="1"/>
      <x:c r="B1" s="1"/>
      <x:c r="C1" s="1"/>
      <x:c r="D1" s="1"/>
      <x:c r="E1" s="1"/>
      <x:c r="F1" s="1"/>
      <x:c r="G1" s="1"/>
      <x:c r="H1" s="1"/>
      <x:c r="I1" s="1"/>
      <x:c r="J1" s="1"/>
    </x:row>
    <x:row r="2" ht="32" customHeight="1">
      <x:c r="A2" s="2" t="str">
        <x:v>Nonfunctional qualification</x:v>
      </x:c>
      <x:c r="B2" s="1"/>
      <x:c r="C2" s="1"/>
      <x:c r="D2" s="1"/>
      <x:c r="E2" s="1"/>
      <x:c r="F2" s="1"/>
      <x:c r="G2" s="1"/>
      <x:c r="H2" s="1"/>
      <x:c r="I2" s="1"/>
      <x:c r="J2" s="1"/>
    </x:row>
    <x:row r="3">
      <x:c r="A3" s="1"/>
      <x:c r="B3" s="1"/>
      <x:c r="C3" s="1"/>
      <x:c r="D3" s="1"/>
      <x:c r="E3" s="1"/>
      <x:c r="F3" s="1"/>
      <x:c r="G3" s="1"/>
      <x:c r="H3" s="1"/>
      <x:c r="I3" s="1"/>
      <x:c r="J3" s="1"/>
    </x:row>
    <x:row r="4" ht="20" customHeight="1">
      <x:c r="A4" s="3" t="str">
        <x:v>37 cases • All product execution statuses start at Not run</x:v>
      </x:c>
      <x:c r="B4" s="1"/>
      <x:c r="C4" s="1"/>
      <x:c r="D4" s="1"/>
      <x:c r="E4" s="1"/>
      <x:c r="F4" s="1"/>
      <x:c r="G4" s="1"/>
      <x:c r="H4" s="1"/>
      <x:c r="I4" s="1"/>
      <x:c r="J4" s="1"/>
    </x:row>
    <x:row r="5">
      <x:c r="A5" s="4"/>
      <x:c r="B5" s="4"/>
      <x:c r="C5" s="4"/>
      <x:c r="D5" s="4"/>
      <x:c r="E5" s="4"/>
      <x:c r="F5" s="4"/>
      <x:c r="G5" s="4"/>
      <x:c r="H5" s="4"/>
      <x:c r="I5" s="4"/>
      <x:c r="J5" s="4"/>
    </x:row>
    <x:row r="6" ht="34" customHeight="1">
      <x:c r="A6" s="9" t="str">
        <x:v>Test ID</x:v>
      </x:c>
      <x:c r="B6" s="9" t="str">
        <x:v>FSD and BRD reference</x:v>
      </x:c>
      <x:c r="C6" s="9" t="str">
        <x:v>Priority and release</x:v>
      </x:c>
      <x:c r="D6" s="9" t="str">
        <x:v>Scenario</x:v>
      </x:c>
      <x:c r="E6" s="9" t="str">
        <x:v>Preconditions and data</x:v>
      </x:c>
      <x:c r="F6" s="9" t="str">
        <x:v>Steps</x:v>
      </x:c>
      <x:c r="G6" s="9" t="str">
        <x:v>Expected outcome</x:v>
      </x:c>
      <x:c r="H6" s="9" t="str">
        <x:v>Status</x:v>
      </x:c>
      <x:c r="I6" s="9" t="str">
        <x:v>Evidence or run ID</x:v>
      </x:c>
      <x:c r="J6" s="9" t="str">
        <x:v>Defect and notes</x:v>
      </x:c>
    </x:row>
    <x:row r="7" ht="77" customHeight="1">
      <x:c r="A7" s="11" t="str">
        <x:v>TC-VF-PER-001</x:v>
      </x:c>
      <x:c r="B7" s="11" t="str">
        <x:v>VF-PER-001 / NFR-PER-001</x:v>
      </x:c>
      <x:c r="C7" s="11" t="str">
        <x:v>P0 / R1</x:v>
      </x:c>
      <x:c r="D7" s="11" t="str">
        <x:v>Interactive response</x:v>
      </x:c>
      <x:c r="E7" s="11" t="str">
        <x:v>Qualified release candidate; immutable fixture/build/configuration manifest; baseline workload and current security checks enabled.</x:v>
      </x:c>
      <x:c r="F7" s="11" t="str">
        <x:v>Instrument action start, usable response and durable confirmation for reads, 100-row lists, saves and approvals separately. Run the complete peak and soak profile with concurrent background work; report per tenant p95, p99, timeout and error counts.</x:v>
      </x:c>
      <x:c r="G7" s="11" t="str">
        <x:v>Under the standard workload, ordinary record reads, list views with up to 100 returned rows, saves and approval actions shall complete at p95 within 2 seconds and p99 within 5 seconds measured from user action to usable confirmed response. Long jobs are excluded only if explicitly routed asynchronously. Failure rule: Fail any action class or material tenant cohort outside its bound; do not combine fast reads with slow approvals to hide a failure.</x:v>
      </x:c>
      <x:c r="H7" s="13" t="str">
        <x:v>Not run</x:v>
      </x:c>
      <x:c r="I7" s="13" t="str"/>
      <x:c r="J7" s="13" t="str">
        <x:v>Record measurements and environment. Targets are requirements, not measured results.</x:v>
      </x:c>
    </x:row>
    <x:row r="8" ht="64" customHeight="1">
      <x:c r="A8" s="11" t="str">
        <x:v>TC-VF-PER-002</x:v>
      </x:c>
      <x:c r="B8" s="11" t="str">
        <x:v>VF-PER-002 / NFR-PER-002</x:v>
      </x:c>
      <x:c r="C8" s="11" t="str">
        <x:v>P1 / R1</x:v>
      </x:c>
      <x:c r="D8" s="11" t="str">
        <x:v>Dashboard response</x:v>
      </x:c>
      <x:c r="E8" s="11" t="str">
        <x:v>Qualified release candidate; immutable fixture/build/configuration manifest; baseline workload and current security checks enabled.</x:v>
      </x:c>
      <x:c r="F8" s="11" t="str">
        <x:v>Measure initial opening, filter change and drill down for ten-widget dashboards with cold and warm caches as separate populations. Verify data bindings and freshness while imports and report jobs run.</x:v>
      </x:c>
      <x:c r="G8" s="11" t="str">
        <x:v>A standard dashboard of up to ten widgets with approved bounded calculations shall become usable at p95 within 5 seconds and p99 within 10 seconds. Cached and uncached results shall be reported separately. Freshness and calculation status shall remain visible. Failure rule: A placeholder or partially loaded chart is not usable completion. Record failed widgets rather than excluding their samples.</x:v>
      </x:c>
      <x:c r="H8" s="13" t="str">
        <x:v>Not run</x:v>
      </x:c>
      <x:c r="I8" s="13" t="str"/>
      <x:c r="J8" s="13" t="str">
        <x:v>Record measurements and environment. Targets are requirements, not measured results.</x:v>
      </x:c>
    </x:row>
    <x:row r="9" ht="64" customHeight="1">
      <x:c r="A9" s="11" t="str">
        <x:v>TC-VF-PER-003</x:v>
      </x:c>
      <x:c r="B9" s="11" t="str">
        <x:v>VF-PER-003 / NFR-PER-003</x:v>
      </x:c>
      <x:c r="C9" s="11" t="str">
        <x:v>P1 / R1</x:v>
      </x:c>
      <x:c r="D9" s="11" t="str">
        <x:v>Search response</x:v>
      </x:c>
      <x:c r="E9" s="11" t="str">
        <x:v>Qualified release candidate; immutable fixture/build/configuration manifest; baseline workload and current security checks enabled.</x:v>
      </x:c>
      <x:c r="F9" s="11" t="str">
        <x:v>Search a synthetic corpus with restricted, multilingual and empty-result queries and retrieve the first fifty permitted results. Inspect counts, suggestions and snippets for hidden markers.</x:v>
      </x:c>
      <x:c r="G9" s="11" t="str">
        <x:v>Permission filtered metadata and indexed document searches shall return the first 50 results at p95 within 3 seconds and p99 within 8 seconds under the standard profile. Empty, restricted and multilingual searches shall follow the same confidentiality rules. Failure rule: Latency success cannot compensate for permission leakage. Time the complete first usable page, including policy filtering.</x:v>
      </x:c>
      <x:c r="H9" s="13" t="str">
        <x:v>Not run</x:v>
      </x:c>
      <x:c r="I9" s="13" t="str"/>
      <x:c r="J9" s="13" t="str">
        <x:v>Record measurements and environment. Targets are requirements, not measured results.</x:v>
      </x:c>
    </x:row>
    <x:row r="10" ht="77" customHeight="1">
      <x:c r="A10" s="11" t="str">
        <x:v>TC-VF-PER-004</x:v>
      </x:c>
      <x:c r="B10" s="11" t="str">
        <x:v>VF-PER-004 / NFR-PER-004</x:v>
      </x:c>
      <x:c r="C10" s="11" t="str">
        <x:v>P1 / R1</x:v>
      </x:c>
      <x:c r="D10" s="11" t="str">
        <x:v>Import and recalculation throughput</x:v>
      </x:c>
      <x:c r="E10" s="11" t="str">
        <x:v>Qualified release candidate; immutable fixture/build/configuration manifest; baseline workload and current security checks enabled.</x:v>
      </x:c>
      <x:c r="F10" s="11" t="str">
        <x:v>Run repeated 100000-row, thirty-field imports containing updates, duplicates and rejected rows. Start the bounded 1000-indicator calculation after eligible ingestion and record each stage separately.</x:v>
      </x:c>
      <x:c r="G10" s="11" t="str">
        <x:v>A standard import of 100000 rows and 30 simple fields with configured deterministic checks shall complete validation and ingestion at p95 within 10 minutes, excluding human approval and external source transfer. A resulting bounded 1000 indicator recalculation shall complete within 5 additional minutes at p95. Failure rule: Human approval and external transfer are separately reported exclusions; validation, internal queuing and ordinary retries remain measured.</x:v>
      </x:c>
      <x:c r="H10" s="13" t="str">
        <x:v>Not run</x:v>
      </x:c>
      <x:c r="I10" s="13" t="str"/>
      <x:c r="J10" s="13" t="str">
        <x:v>Record measurements and environment. Targets are requirements, not measured results.</x:v>
      </x:c>
    </x:row>
    <x:row r="11" ht="77" customHeight="1">
      <x:c r="A11" s="11" t="str">
        <x:v>TC-VF-PER-005</x:v>
      </x:c>
      <x:c r="B11" s="11" t="str">
        <x:v>VF-PER-005 / NFR-PER-005</x:v>
      </x:c>
      <x:c r="C11" s="11" t="str">
        <x:v>P1 / R1</x:v>
      </x:c>
      <x:c r="D11" s="11" t="str">
        <x:v>Export and report generation</x:v>
      </x:c>
      <x:c r="E11" s="11" t="str">
        <x:v>Qualified release candidate; immutable fixture/build/configuration manifest; baseline workload and current security checks enabled.</x:v>
      </x:c>
      <x:c r="F11" s="11" t="str">
        <x:v>Generate 100000-row exports and fifty-page reports with twenty charts under mixed load. Measure acknowledgement and finished artifact times, validate content and cancel jobs at several stages.</x:v>
      </x:c>
      <x:c r="G11" s="11" t="str">
        <x:v>A standard 100000 row data export or 50 page report with up to 20 charts shall complete at p95 within 5 minutes. Jobs shall acknowledge receipt within 2 seconds, expose progress and support cancellation. Larger jobs shall show estimated class and explicit limits. Failure rule: A ready link to an incomplete artifact fails. Permission revocation before download must prevent retrieval even when performance targets passed.</x:v>
      </x:c>
      <x:c r="H11" s="13" t="str">
        <x:v>Not run</x:v>
      </x:c>
      <x:c r="I11" s="13" t="str"/>
      <x:c r="J11" s="13" t="str">
        <x:v>Record measurements and environment. Targets are requirements, not measured results.</x:v>
      </x:c>
    </x:row>
    <x:row r="12" ht="64" customHeight="1">
      <x:c r="A12" s="11" t="str">
        <x:v>TC-VF-PER-006</x:v>
      </x:c>
      <x:c r="B12" s="11" t="str">
        <x:v>VF-PER-006 / NFR-PER-006</x:v>
      </x:c>
      <x:c r="C12" s="11" t="str">
        <x:v>P0 / R1</x:v>
      </x:c>
      <x:c r="D12" s="11" t="str">
        <x:v>Data freshness</x:v>
      </x:c>
      <x:c r="E12" s="11" t="str">
        <x:v>Qualified release candidate; immutable fixture/build/configuration manifest; baseline workload and current security checks enabled.</x:v>
      </x:c>
      <x:c r="F12" s="11" t="str">
        <x:v>Record source receipt, validation, approval, calculation completion and first visible updated dashboard result. Use version identifiers to prove the new result is actually shown.</x:v>
      </x:c>
      <x:c r="G12" s="11" t="str">
        <x:v>After a submission is approved and its bounded calculation finishes, live dashboards shall reflect the new approved result within 60 seconds at p95. External source cadence and human review delays shall be displayed separately rather than hidden in this metric. Failure rule: Measure the sixty-second propagation from calculation completion, while separately exposing collection and human review delay.</x:v>
      </x:c>
      <x:c r="H12" s="13" t="str">
        <x:v>Not run</x:v>
      </x:c>
      <x:c r="I12" s="13" t="str"/>
      <x:c r="J12" s="13" t="str">
        <x:v>Record measurements and environment. Targets are requirements, not measured results.</x:v>
      </x:c>
    </x:row>
    <x:row r="13" ht="77" customHeight="1">
      <x:c r="A13" s="11" t="str">
        <x:v>TC-VF-PER-007</x:v>
      </x:c>
      <x:c r="B13" s="11" t="str">
        <x:v>VF-PER-007 / NFR-PER-007</x:v>
      </x:c>
      <x:c r="C13" s="11" t="str">
        <x:v>P1 / R1</x:v>
      </x:c>
      <x:c r="D13" s="11" t="str">
        <x:v>AI responsiveness</x:v>
      </x:c>
      <x:c r="E13" s="11" t="str">
        <x:v>Qualified release candidate; immutable fixture/build/configuration manifest; baseline workload and current security checks enabled.</x:v>
      </x:c>
      <x:c r="F13" s="11" t="str">
        <x:v>Run representative supported question sets by use case and model configuration. Measure acknowledgement, first useful response and completed answer, including policy checks and numeric tools.</x:v>
      </x:c>
      <x:c r="G13" s="11" t="str">
        <x:v>For interactive evidence questions, the system shall acknowledge within 2 seconds and target a first useful response at p95 within 15 seconds and a completed standard answer within 45 seconds. Long extraction and reporting tasks shall use visible asynchronous jobs with cancellation and a declared timeout. Failure rule: A generic waiting message is not useful response. Provider timeout must preserve the question and offer the manual route without unapproved fallback.</x:v>
      </x:c>
      <x:c r="H13" s="13" t="str">
        <x:v>Not run</x:v>
      </x:c>
      <x:c r="I13" s="13" t="str"/>
      <x:c r="J13" s="13" t="str">
        <x:v>Record measurements and environment. Targets are requirements, not measured results.</x:v>
      </x:c>
    </x:row>
    <x:row r="14" ht="77" customHeight="1">
      <x:c r="A14" s="11" t="str">
        <x:v>TC-VF-CAP-001</x:v>
      </x:c>
      <x:c r="B14" s="11" t="str">
        <x:v>VF-CAP-001 / NFR-CAP-001</x:v>
      </x:c>
      <x:c r="C14" s="11" t="str">
        <x:v>P1 / R1</x:v>
      </x:c>
      <x:c r="D14" s="11" t="str">
        <x:v>Supported object limits</x:v>
      </x:c>
      <x:c r="E14" s="11" t="str">
        <x:v>Qualified release candidate; immutable fixture/build/configuration manifest; baseline workload and current security checks enabled.</x:v>
      </x:c>
      <x:c r="F14" s="11" t="str">
        <x:v>Test 199, 200 and 201 questions; 99, 100 and 101 repeat entries; each file boundary and one million-row async import. Exercise representative combinations and preservation of existing drafts.</x:v>
      </x:c>
      <x:c r="G14" s="11" t="str">
        <x:v>The baseline shall qualify forms with 200 questions and 100 repeat entries, source files up to 100 MB, media files up to 25 MB and import jobs up to one million rows through an appropriate asynchronous path. Limits and supported combinations shall be visible before work begins. Failure rule: Document decimal versus binary file size units before qualification. Advertised limits must not be reduced by an undocumented frontend constraint.</x:v>
      </x:c>
      <x:c r="H14" s="13" t="str">
        <x:v>Not run</x:v>
      </x:c>
      <x:c r="I14" s="13" t="str"/>
      <x:c r="J14" s="13" t="str">
        <x:v>Record measurements and environment. Targets are requirements, not measured results.</x:v>
      </x:c>
    </x:row>
    <x:row r="15" ht="64" customHeight="1">
      <x:c r="A15" s="11" t="str">
        <x:v>TC-VF-CAP-002</x:v>
      </x:c>
      <x:c r="B15" s="11" t="str">
        <x:v>VF-CAP-002 / NFR-CAP-002</x:v>
      </x:c>
      <x:c r="C15" s="11" t="str">
        <x:v>P0 / R1</x:v>
      </x:c>
      <x:c r="D15" s="11" t="str">
        <x:v>Scaling and workload isolation</x:v>
      </x:c>
      <x:c r="E15" s="11" t="str">
        <x:v>Qualified release candidate; immutable fixture/build/configuration manifest; baseline workload and current security checks enabled.</x:v>
      </x:c>
      <x:c r="F15" s="11" t="str">
        <x:v>Apply the five-minute twofold arrival burst and a noisy tenant bulk workload while representative other tenants save and approve. Measure queue depth, rejections and recovery to baseline.</x:v>
      </x:c>
      <x:c r="G15" s="11" t="str">
        <x:v>The service shall admit, queue or limit work predictably as demand rises. A large tenant import or AI job shall not cause unrelated tenants to miss core service targets during the baseline workload. Bursts shall recover without unbounded queues. Failure rule: Fail unbounded queue growth, unexplained starvation or target violations hidden by service-wide averages.</x:v>
      </x:c>
      <x:c r="H15" s="13" t="str">
        <x:v>Not run</x:v>
      </x:c>
      <x:c r="I15" s="13" t="str"/>
      <x:c r="J15" s="13" t="str">
        <x:v>Record measurements and environment. Targets are requirements, not measured results.</x:v>
      </x:c>
    </x:row>
    <x:row r="16" ht="77" customHeight="1">
      <x:c r="A16" s="11" t="str">
        <x:v>TC-VF-AVL-001</x:v>
      </x:c>
      <x:c r="B16" s="11" t="str">
        <x:v>VF-AVL-001 / NFR-AVL-001</x:v>
      </x:c>
      <x:c r="C16" s="11" t="str">
        <x:v>P0 / R1</x:v>
      </x:c>
      <x:c r="D16" s="11" t="str">
        <x:v>Core availability</x:v>
      </x:c>
      <x:c r="E16" s="11" t="str">
        <x:v>Qualified release candidate; immutable fixture/build/configuration manifest; baseline workload and current security checks enabled.</x:v>
      </x:c>
      <x:c r="F16" s="11" t="str">
        <x:v>Define successful synthetic journeys for authentication, read, submission, approval and report access; measure monthly bad minutes and failed-request evidence per material cohort.</x:v>
      </x:c>
      <x:c r="G16" s="11" t="str">
        <x:v>The internal core service objective shall be at least 99.9 percent monthly availability for supported authentication, record access, submission, approval and access to published reports. Measure each critical journey and material tenant cohort. Planned maintenance affecting these journeys counts against this internal objective. Failure rule: Planned maintenance and platform-dependent outages count for this internal objective. A single aggregate availability number is insufficient.</x:v>
      </x:c>
      <x:c r="H16" s="13" t="str">
        <x:v>Not run</x:v>
      </x:c>
      <x:c r="I16" s="13" t="str"/>
      <x:c r="J16" s="13" t="str">
        <x:v>Record measurements and environment. Targets are requirements, not measured results.</x:v>
      </x:c>
    </x:row>
    <x:row r="17" ht="77" customHeight="1">
      <x:c r="A17" s="11" t="str">
        <x:v>TC-VF-AVL-002</x:v>
      </x:c>
      <x:c r="B17" s="11" t="str">
        <x:v>VF-AVL-002 / NFR-AVL-002</x:v>
      </x:c>
      <x:c r="C17" s="11" t="str">
        <x:v>P0 / R1</x:v>
      </x:c>
      <x:c r="D17" s="11" t="str">
        <x:v>Dependency degradation</x:v>
      </x:c>
      <x:c r="E17" s="11" t="str">
        <x:v>Qualified release candidate; immutable fixture/build/configuration manifest; baseline workload and current security checks enabled.</x:v>
      </x:c>
      <x:c r="F17" s="11" t="str">
        <x:v>Independently fail AI, email, survey connector and BI retrieval. Complete manual entry, deterministic calculations and existing approved report access while inspecting queued work and status labels.</x:v>
      </x:c>
      <x:c r="G17" s="11" t="str">
        <x:v>AI, email, external data collection and BI failures shall be isolated where possible. Users shall see the affected function, stale data and queued actions. Core manual workflows shall remain available when their independent dependencies are healthy. Failure rule: Do not claim isolation when the failed dependency is actually required for the tested journey; declare that dependency and report the affected cohort.</x:v>
      </x:c>
      <x:c r="H17" s="13" t="str">
        <x:v>Not run</x:v>
      </x:c>
      <x:c r="I17" s="13" t="str"/>
      <x:c r="J17" s="13" t="str">
        <x:v>Record measurements and environment. Targets are requirements, not measured results.</x:v>
      </x:c>
    </x:row>
    <x:row r="18" ht="77" customHeight="1">
      <x:c r="A18" s="11" t="str">
        <x:v>TC-VF-DR-001</x:v>
      </x:c>
      <x:c r="B18" s="11" t="str">
        <x:v>VF-DR-001 / NFR-DR-001</x:v>
      </x:c>
      <x:c r="C18" s="11" t="str">
        <x:v>P0 / R1</x:v>
      </x:c>
      <x:c r="D18" s="11" t="str">
        <x:v>Disaster recovery</x:v>
      </x:c>
      <x:c r="E18" s="11" t="str">
        <x:v>Qualified release candidate; immutable fixture/build/configuration manifest; baseline workload and current security checks enabled.</x:v>
      </x:c>
      <x:c r="F18" s="11" t="str">
        <x:v>Declare a simulated regional disaster, restore only in an allowed region and time service recovery. Reconcile records and attachments against the latest accepted receipts and identify any permitted recovery point gap.</x:v>
      </x:c>
      <x:c r="G18" s="11" t="str">
        <x:v>For the standard qualified deployment, catastrophic recovery shall target a recovery point objective of at most 15 minutes and recovery time objective of at most 4 hours from incident declaration. Recovery shall occur only within permitted regions and include files, configuration and governance state. Failure rule: Do not reopen with mismatched governance or missing deletion restrictions. Report actual lost interval and affected accepted writes, not only backup timestamps.</x:v>
      </x:c>
      <x:c r="H18" s="13" t="str">
        <x:v>Not run</x:v>
      </x:c>
      <x:c r="I18" s="13" t="str"/>
      <x:c r="J18" s="13" t="str">
        <x:v>Record measurements and environment. Targets are requirements, not measured results.</x:v>
      </x:c>
    </x:row>
    <x:row r="19" ht="77" customHeight="1">
      <x:c r="A19" s="11" t="str">
        <x:v>TC-VF-DR-002</x:v>
      </x:c>
      <x:c r="B19" s="11" t="str">
        <x:v>VF-DR-002 / NFR-DR-002</x:v>
      </x:c>
      <x:c r="C19" s="11" t="str">
        <x:v>P0 / R1</x:v>
      </x:c>
      <x:c r="D19" s="11" t="str">
        <x:v>Ordinary failure durability</x:v>
      </x:c>
      <x:c r="E19" s="11" t="str">
        <x:v>Qualified release candidate; immutable fixture/build/configuration manifest; baseline workload and current security checks enabled.</x:v>
      </x:c>
      <x:c r="F19" s="11" t="str">
        <x:v>Interrupt qualified individual components during writes and compare client receipts to recovered records, child relationships and files. Repeat around acknowledgement boundaries.</x:v>
      </x:c>
      <x:c r="G19" s="11" t="str">
        <x:v>A server acknowledgement of a saved record shall represent durable acceptance under the qualified ordinary single component failure model. Offline local saves shall be clearly distinct. Catastrophic recovery exposure remains governed by NFR-DR-001. Failure rule: A successful server receipt must not silently disappear under the ordinary qualified failure model; uncertain client outcomes are reconciled by operation identity.</x:v>
      </x:c>
      <x:c r="H19" s="13" t="str">
        <x:v>Not run</x:v>
      </x:c>
      <x:c r="I19" s="13" t="str"/>
      <x:c r="J19" s="13" t="str">
        <x:v>Record measurements and environment. Targets are requirements, not measured results.</x:v>
      </x:c>
    </x:row>
    <x:row r="20" ht="77" customHeight="1">
      <x:c r="A20" s="11" t="str">
        <x:v>TC-VF-DR-003</x:v>
      </x:c>
      <x:c r="B20" s="11" t="str">
        <x:v>VF-DR-003 / NFR-DR-003</x:v>
      </x:c>
      <x:c r="C20" s="11" t="str">
        <x:v>P0 / R1</x:v>
      </x:c>
      <x:c r="D20" s="11" t="str">
        <x:v>Recovery testing and backups</x:v>
      </x:c>
      <x:c r="E20" s="11" t="str">
        <x:v>Qualified release candidate; immutable fixture/build/configuration manifest; baseline workload and current security checks enabled.</x:v>
      </x:c>
      <x:c r="F20" s="11" t="str">
        <x:v>Run monthly representative restores and quarterly disaster exercises. Test protected backup access, attachment integrity, snapshot consistency, key recovery and deletion replay before reopening.</x:v>
      </x:c>
      <x:c r="G20" s="11" t="str">
        <x:v>Backups shall be protected against unauthorised alteration and credential compromise. Representative restores shall be tested monthly and disaster recovery at least quarterly. Default backup retention shall be no more than 35 days unless an approved contract or hold requires a different schedule. Failure rule: A successful archive download is not a completed restore. Record retention exceptions and their owner instead of extending the default window silently.</x:v>
      </x:c>
      <x:c r="H20" s="13" t="str">
        <x:v>Not run</x:v>
      </x:c>
      <x:c r="I20" s="13" t="str"/>
      <x:c r="J20" s="13" t="str">
        <x:v>Record measurements and environment. Targets are requirements, not measured results.</x:v>
      </x:c>
    </x:row>
    <x:row r="21" ht="77" customHeight="1">
      <x:c r="A21" s="11" t="str">
        <x:v>TC-VF-DIN-001</x:v>
      </x:c>
      <x:c r="B21" s="11" t="str">
        <x:v>VF-DIN-001 / NFR-DIN-001</x:v>
      </x:c>
      <x:c r="C21" s="11" t="str">
        <x:v>P0 / R1</x:v>
      </x:c>
      <x:c r="D21" s="11" t="str">
        <x:v>Calculation correctness</x:v>
      </x:c>
      <x:c r="E21" s="11" t="str">
        <x:v>Qualified release candidate; immutable fixture/build/configuration manifest; baseline workload and current security checks enabled.</x:v>
      </x:c>
      <x:c r="F21" s="11" t="str">
        <x:v>Run CAL01 through CAL20 and their version, correction, missingness and permission variants against independently prepared expected results. Compare raw and displayed decimals and report bindings.</x:v>
      </x:c>
      <x:c r="G21" s="11" t="str">
        <x:v>The entire approved deterministic golden corpus shall pass exactly at the defined precision before release. It shall cover pooled ratios, distinct counts, period semantics, dimensions, corrections, rounding, missingness, cycles and permissions. There shall be zero unexplained official report reconciliation differences. Failure rule: Any unexplained official result discrepancy blocks release. Numerical tolerance applies only when the approved calculation contract defines it.</x:v>
      </x:c>
      <x:c r="H21" s="13" t="str">
        <x:v>Not run</x:v>
      </x:c>
      <x:c r="I21" s="13" t="str"/>
      <x:c r="J21" s="13" t="str">
        <x:v>Record measurements and environment. Targets are requirements, not measured results.</x:v>
      </x:c>
    </x:row>
    <x:row r="22" ht="64" customHeight="1">
      <x:c r="A22" s="11" t="str">
        <x:v>TC-VF-DIN-002</x:v>
      </x:c>
      <x:c r="B22" s="11" t="str">
        <x:v>VF-DIN-002 / NFR-DIN-002</x:v>
      </x:c>
      <x:c r="C22" s="11" t="str">
        <x:v>P0 / R1</x:v>
      </x:c>
      <x:c r="D22" s="11" t="str">
        <x:v>Concurrent change integrity</x:v>
      </x:c>
      <x:c r="E22" s="11" t="str">
        <x:v>Qualified release candidate; immutable fixture/build/configuration manifest; baseline workload and current security checks enabled.</x:v>
      </x:c>
      <x:c r="F22" s="11" t="str">
        <x:v>Race two edits, two approvals, repeated import commands and interrupted bulk jobs. Verify declared atomic boundaries, stale rejection and complete per-item receipts.</x:v>
      </x:c>
      <x:c r="G22" s="11" t="str">
        <x:v>Concurrent edits and retries shall not silently lose updates, duplicate achievements or approve stale versions. Business transactions shall either complete with recorded effects or return a recoverable explicit partial outcome where the operation permits one. Failure rule: No silent last-write overwrite, duplicate intended result or approval of a new candidate using an old decision is acceptable.</x:v>
      </x:c>
      <x:c r="H22" s="13" t="str">
        <x:v>Not run</x:v>
      </x:c>
      <x:c r="I22" s="13" t="str"/>
      <x:c r="J22" s="13" t="str">
        <x:v>Record measurements and environment. Targets are requirements, not measured results.</x:v>
      </x:c>
    </x:row>
    <x:row r="23" ht="77" customHeight="1">
      <x:c r="A23" s="11" t="str">
        <x:v>TC-VF-IAM-001</x:v>
      </x:c>
      <x:c r="B23" s="11" t="str">
        <x:v>VF-IAM-001 / NFR-IAM-001</x:v>
      </x:c>
      <x:c r="C23" s="11" t="str">
        <x:v>P0 / R1</x:v>
      </x:c>
      <x:c r="D23" s="11" t="str">
        <x:v>Revocation time</x:v>
      </x:c>
      <x:c r="E23" s="11" t="str">
        <x:v>Qualified release candidate; immutable fixture/build/configuration manifest; baseline workload and current security checks enabled.</x:v>
      </x:c>
      <x:c r="F23" s="11" t="str">
        <x:v>Revoke users, grants and service credentials while polling interface, API, search, AI, artifacts and pending sensitive jobs. Measure from platform receipt of the revocation.</x:v>
      </x:c>
      <x:c r="G23" s="11" t="str">
        <x:v>Online user suspension, permission removal and credential revocation shall take effect within 60 seconds across user interfaces, APIs, generated downloads, search and AI access. Queued jobs shall reauthorise before sensitive action. Directory initiated revocation is measured from receipt by the platform. Failure rule: The sixty-second bound is a maximum, not a percentile allowance. Any protected access after it fails the gate; execution reauthorisation remains mandatory.</x:v>
      </x:c>
      <x:c r="H23" s="13" t="str">
        <x:v>Not run</x:v>
      </x:c>
      <x:c r="I23" s="13" t="str"/>
      <x:c r="J23" s="13" t="str">
        <x:v>Record measurements and environment. Targets are requirements, not measured results.</x:v>
      </x:c>
    </x:row>
    <x:row r="24" ht="77" customHeight="1">
      <x:c r="A24" s="11" t="str">
        <x:v>TC-VF-OFF-001</x:v>
      </x:c>
      <x:c r="B24" s="11" t="str">
        <x:v>VF-OFF-001 / NFR-OFF-001</x:v>
      </x:c>
      <x:c r="C24" s="11" t="str">
        <x:v>P0 / R1</x:v>
      </x:c>
      <x:c r="D24" s="11" t="str">
        <x:v>Offline authority window</x:v>
      </x:c>
      <x:c r="E24" s="11" t="str">
        <x:v>Qualified release candidate; immutable fixture/build/configuration manifest; baseline workload and current security checks enabled.</x:v>
      </x:c>
      <x:c r="F24" s="11" t="str">
        <x:v>Qualify local expiry, restart, clock rollback, account switching, prolonged disconnection and revoked reconnect. Test ordinary and restricted packages under the chosen device controls.</x:v>
      </x:c>
      <x:c r="G24" s="11" t="str">
        <x:v>Default offline packages shall expire within 24 hours without renewed authorisation. Restricted participant packages shall default to at most 8 hours and require approved device controls. Longer low sensitivity windows require a recorded risk exception; sensitive data may be prohibited from offline use entirely. Failure rule: If the device cannot enforce the authority window reliably, do not qualify sensitive offline use. Remote wipe is recorded as best effort.</x:v>
      </x:c>
      <x:c r="H24" s="13" t="str">
        <x:v>Not run</x:v>
      </x:c>
      <x:c r="I24" s="13" t="str"/>
      <x:c r="J24" s="13" t="str">
        <x:v>Record measurements and environment. Targets are requirements, not measured results.</x:v>
      </x:c>
    </x:row>
    <x:row r="25" ht="77" customHeight="1">
      <x:c r="A25" s="11" t="str">
        <x:v>TC-VF-SEC-001</x:v>
      </x:c>
      <x:c r="B25" s="11" t="str">
        <x:v>VF-SEC-001 / NFR-SEC-001</x:v>
      </x:c>
      <x:c r="C25" s="11" t="str">
        <x:v>P0 / R1</x:v>
      </x:c>
      <x:c r="D25" s="11" t="str">
        <x:v>Release security threshold</x:v>
      </x:c>
      <x:c r="E25" s="11" t="str">
        <x:v>Qualified release candidate; immutable fixture/build/configuration manifest; baseline workload and current security checks enabled.</x:v>
      </x:c>
      <x:c r="F25" s="11" t="str">
        <x:v>Assemble applicable control results, independent assessment, retest evidence and scoped mitigation records. Exercise the release gate with intentionally unresolved critical and high findings.</x:v>
      </x:c>
      <x:c r="G25" s="11" t="str">
        <x:v>All applicable baseline security controls shall have passing evidence. No unresolved critical or high vulnerability affecting confidentiality, integrity or access shall enter production without an effective verified mitigation. Functional parity shall not override this gate. Failure rule: Any unmitigated exposure affecting confidentiality, integrity or access blocks release; a product priority waiver cannot override this gate.</x:v>
      </x:c>
      <x:c r="H25" s="13" t="str">
        <x:v>Not run</x:v>
      </x:c>
      <x:c r="I25" s="13" t="str"/>
      <x:c r="J25" s="13" t="str">
        <x:v>Record measurements and environment. Targets are requirements, not measured results.</x:v>
      </x:c>
    </x:row>
    <x:row r="26" ht="90" customHeight="1">
      <x:c r="A26" s="11" t="str">
        <x:v>TC-VF-SEC-002</x:v>
      </x:c>
      <x:c r="B26" s="11" t="str">
        <x:v>VF-SEC-002 / NFR-SEC-002</x:v>
      </x:c>
      <x:c r="C26" s="11" t="str">
        <x:v>P0 / R1</x:v>
      </x:c>
      <x:c r="D26" s="11" t="str">
        <x:v>Incident and remediation timing</x:v>
      </x:c>
      <x:c r="E26" s="11" t="str">
        <x:v>Qualified release candidate; immutable fixture/build/configuration manifest; baseline workload and current security checks enabled.</x:v>
      </x:c>
      <x:c r="F26" s="11" t="str">
        <x:v>Time a simulated critical incident from detection to acknowledgement and containment start, and a confirmed vulnerability from confirmation to mitigation and permanent fix.</x:v>
      </x:c>
      <x:c r="G26" s="11" t="str">
        <x:v>For critical production incidents, on call acknowledgement shall occur within 15 minutes and containment work shall begin within 30 minutes. Confirmed critical vulnerabilities require mitigation within 24 hours and a permanent fix target within 72 hours; high vulnerabilities within 7 days. Legal and contractual notices follow the approved incident policy. Failure rule: Record missed targets, escalation and continuing protection. A notification without an accountable responder does not satisfy acknowledgement.</x:v>
      </x:c>
      <x:c r="H26" s="13" t="str">
        <x:v>Not run</x:v>
      </x:c>
      <x:c r="I26" s="13" t="str"/>
      <x:c r="J26" s="13" t="str">
        <x:v>Record measurements and environment. Targets are requirements, not measured results.</x:v>
      </x:c>
    </x:row>
    <x:row r="27" ht="77" customHeight="1">
      <x:c r="A27" s="11" t="str">
        <x:v>TC-VF-AUD-001</x:v>
      </x:c>
      <x:c r="B27" s="11" t="str">
        <x:v>VF-AUD-001 / NFR-AUD-001</x:v>
      </x:c>
      <x:c r="C27" s="11" t="str">
        <x:v>P0 / R1</x:v>
      </x:c>
      <x:c r="D27" s="11" t="str">
        <x:v>Audit coverage and retention</x:v>
      </x:c>
      <x:c r="E27" s="11" t="str">
        <x:v>Qualified release candidate; immutable fixture/build/configuration manifest; baseline workload and current security checks enabled.</x:v>
      </x:c>
      <x:c r="F27" s="11" t="str">
        <x:v>Execute every audit event class in section 35, including denied operations, restricted reads and privileged actions. Reconcile command receipts to immutable events and a permitted audit export.</x:v>
      </x:c>
      <x:c r="G27" s="11" t="str">
        <x:v>All defined security and business audit event classes shall be captured and searchable by authorised reviewers. Default security event metadata retention shall be 365 days; longer business audit retention shall follow tenant policy. Secret values and unnecessary personal payloads shall not be logged. Failure rule: Verify default metadata expiry and longer governed business retention separately. Inspect events for secrets and unnecessary personal payloads.</x:v>
      </x:c>
      <x:c r="H27" s="13" t="str">
        <x:v>Not run</x:v>
      </x:c>
      <x:c r="I27" s="13" t="str"/>
      <x:c r="J27" s="13" t="str">
        <x:v>Record measurements and environment. Targets are requirements, not measured results.</x:v>
      </x:c>
    </x:row>
    <x:row r="28" ht="77" customHeight="1">
      <x:c r="A28" s="11" t="str">
        <x:v>TC-VF-PRV-001</x:v>
      </x:c>
      <x:c r="B28" s="11" t="str">
        <x:v>VF-PRV-001 / NFR-PRV-001</x:v>
      </x:c>
      <x:c r="C28" s="11" t="str">
        <x:v>P0 / R1</x:v>
      </x:c>
      <x:c r="D28" s="11" t="str">
        <x:v>Deletion propagation</x:v>
      </x:c>
      <x:c r="E28" s="11" t="str">
        <x:v>Qualified release candidate; immutable fixture/build/configuration manifest; baseline workload and current security checks enabled.</x:v>
      </x:c>
      <x:c r="F28" s="11" t="str">
        <x:v>Run a deletion with no hold, one with a partial hold and one with a failed derivative store. Query primary records, search, AI, caches and generated artifacts after the active-store deadline.</x:v>
      </x:c>
      <x:c r="G28" s="11" t="str">
        <x:v>After an authorised deletion becomes executable and no hold applies, active primary records, caches, indexes and platform generated derivatives shall be removed or effectively restricted within 24 hours. Backup expiry follows the approved schedule, normally within 35 days. External recipient actions shall be tracked separately. Failure rule: A partial manifest cannot be labelled complete. Restore an old backup and verify deletion before exposing restored content.</x:v>
      </x:c>
      <x:c r="H28" s="13" t="str">
        <x:v>Not run</x:v>
      </x:c>
      <x:c r="I28" s="13" t="str"/>
      <x:c r="J28" s="13" t="str">
        <x:v>Record measurements and environment. Targets are requirements, not measured results.</x:v>
      </x:c>
    </x:row>
    <x:row r="29" ht="77" customHeight="1">
      <x:c r="A29" s="11" t="str">
        <x:v>TC-VF-PRV-002</x:v>
      </x:c>
      <x:c r="B29" s="11" t="str">
        <x:v>VF-PRV-002 / NFR-PRV-002</x:v>
      </x:c>
      <x:c r="C29" s="11" t="str">
        <x:v>P0 / R1</x:v>
      </x:c>
      <x:c r="D29" s="11" t="str">
        <x:v>Retention defaults and proof</x:v>
      </x:c>
      <x:c r="E29" s="11" t="str">
        <x:v>Qualified release candidate; immutable fixture/build/configuration manifest; baseline workload and current security checks enabled.</x:v>
      </x:c>
      <x:c r="F29" s="11" t="str">
        <x:v>Create synthetic objects in each retention class, advance qualified expiry conditions and inspect scheduled action receipts, holds and exceptions. Confirm policy approval precedes real collection.</x:v>
      </x:c>
      <x:c r="G29" s="11" t="str">
        <x:v>Production tenants shall have approved record and evidence retention policies before collection. Diagnostic logs shall default to 90 days or less; retained AI prompt and response content shall default to 30 days or less unless a justified policy specifies otherwise. Minimal governed approval evidence may have a separate schedule. Failure rule: AI content, diagnostic logs, security metadata and business evidence require distinct schedules; hidden orphan copies fail the gate.</x:v>
      </x:c>
      <x:c r="H29" s="13" t="str">
        <x:v>Not run</x:v>
      </x:c>
      <x:c r="I29" s="13" t="str"/>
      <x:c r="J29" s="13" t="str">
        <x:v>Record measurements and environment. Targets are requirements, not measured results.</x:v>
      </x:c>
    </x:row>
    <x:row r="30" ht="77" customHeight="1">
      <x:c r="A30" s="11" t="str">
        <x:v>TC-VF-AIQ-001</x:v>
      </x:c>
      <x:c r="B30" s="11" t="str">
        <x:v>VF-AIQ-001 / NFR-AIQ-001</x:v>
      </x:c>
      <x:c r="C30" s="11" t="str">
        <x:v>P0 / R1</x:v>
      </x:c>
      <x:c r="D30" s="11" t="str">
        <x:v>Evaluation set quality</x:v>
      </x:c>
      <x:c r="E30" s="11" t="str">
        <x:v>Qualified release candidate; immutable fixture/build/configuration manifest; baseline workload and current security checks enabled.</x:v>
      </x:c>
      <x:c r="F30" s="11" t="str">
        <x:v>Review each held out set for at least the required case count where feasible, twenty percent difficult or adversarial cases, language and sector coverage and separation from tuning.</x:v>
      </x:c>
      <x:c r="G30" s="11" t="str">
        <x:v>Each enabled use case shall have a held out evaluation set with at least 200 representative cases where feasible, including at least 20 percent boundary, unsupported or adversarial cases. Small specialist sets require documented justification and risk review. Each released language and sector must have explicit coverage evidence. Failure rule: Specialist small sets need a named risk decision and scope limitation. Duplicated paraphrases do not substitute for representative task coverage.</x:v>
      </x:c>
      <x:c r="H30" s="13" t="str">
        <x:v>Not run</x:v>
      </x:c>
      <x:c r="I30" s="13" t="str"/>
      <x:c r="J30" s="13" t="str">
        <x:v>Record measurements and environment. Targets are requirements, not measured results.</x:v>
      </x:c>
    </x:row>
    <x:row r="31" ht="77" customHeight="1">
      <x:c r="A31" s="11" t="str">
        <x:v>TC-VF-AIQ-002</x:v>
      </x:c>
      <x:c r="B31" s="11" t="str">
        <x:v>VF-AIQ-002 / NFR-AIQ-002</x:v>
      </x:c>
      <x:c r="C31" s="11" t="str">
        <x:v>P0 / R1</x:v>
      </x:c>
      <x:c r="D31" s="11" t="str">
        <x:v>Evidence and numeric accuracy</x:v>
      </x:c>
      <x:c r="E31" s="11" t="str">
        <x:v>Qualified release candidate; immutable fixture/build/configuration manifest; baseline workload and current security checks enabled.</x:v>
      </x:c>
      <x:c r="F31" s="11" t="str">
        <x:v>Score factual claims and citation locations with separate denominators; compare every official numeric value to its tool result. Review consequential unsupported claims individually.</x:v>
      </x:c>
      <x:c r="G31" s="11" t="str">
        <x:v>Evidence question answering shall achieve at least 95 percent supported factual claims and at least 98 percent correct citation locations on the approved set. Every numeric value presented as an official result shall match the authoritative tool result. A critical unsupported consequential claim blocks release regardless of the average score. Failure rule: A critical unsupported claim or one wrong official numeric value fails the affected release regardless of average citation performance.</x:v>
      </x:c>
      <x:c r="H31" s="13" t="str">
        <x:v>Not run</x:v>
      </x:c>
      <x:c r="I31" s="13" t="str"/>
      <x:c r="J31" s="13" t="str">
        <x:v>Record measurements and environment. Targets are requirements, not measured results.</x:v>
      </x:c>
    </x:row>
    <x:row r="32" ht="77" customHeight="1">
      <x:c r="A32" s="11" t="str">
        <x:v>TC-VF-AIQ-003</x:v>
      </x:c>
      <x:c r="B32" s="11" t="str">
        <x:v>VF-AIQ-003 / NFR-AIQ-003</x:v>
      </x:c>
      <x:c r="C32" s="11" t="str">
        <x:v>P1 / R1</x:v>
      </x:c>
      <x:c r="D32" s="11" t="str">
        <x:v>Extraction and abstention</x:v>
      </x:c>
      <x:c r="E32" s="11" t="str">
        <x:v>Qualified release candidate; immutable fixture/build/configuration manifest; baseline workload and current security checks enabled.</x:v>
      </x:c>
      <x:c r="F32" s="11" t="str">
        <x:v>Label source fields and designated answerable or unanswerable questions independently. Calculate field precision and recall by type and language, correct abstention and false abstention.</x:v>
      </x:c>
      <x:c r="G32" s="11" t="str">
        <x:v>Document extraction shall target at least 95 percent field level precision and 90 percent recall on mandatory fields. The system shall correctly abstain or request clarification for at least 95 percent of designated unanswerable cases, while incorrect abstention on answerable cases remains at or below 10 percent. Failure rule: Report missing mandatory fields and correction time; do not score only fields the model chose to emit.</x:v>
      </x:c>
      <x:c r="H32" s="13" t="str">
        <x:v>Not run</x:v>
      </x:c>
      <x:c r="I32" s="13" t="str"/>
      <x:c r="J32" s="13" t="str">
        <x:v>Record measurements and environment. Targets are requirements, not measured results.</x:v>
      </x:c>
    </x:row>
    <x:row r="33" ht="77" customHeight="1">
      <x:c r="A33" s="11" t="str">
        <x:v>TC-VF-AIQ-004</x:v>
      </x:c>
      <x:c r="B33" s="11" t="str">
        <x:v>VF-AIQ-004 / NFR-AIQ-004</x:v>
      </x:c>
      <x:c r="C33" s="11" t="str">
        <x:v>P0 / R1</x:v>
      </x:c>
      <x:c r="D33" s="11" t="str">
        <x:v>Leakage and action safety</x:v>
      </x:c>
      <x:c r="E33" s="11" t="str">
        <x:v>Qualified release candidate; immutable fixture/build/configuration manifest; baseline workload and current security checks enabled.</x:v>
      </x:c>
      <x:c r="F33" s="11" t="str">
        <x:v>Run synthetic tenant leakage, indirect prompt injection, stale source access, conversation copying, secret requests and tool escalation scenarios with traceable markers.</x:v>
      </x:c>
      <x:c r="G33" s="11" t="str">
        <x:v>Adversarial qualification shall show zero successful cross tenant disclosures, unauthorised tool actions or secret disclosures in the defined test suite. This is a test acceptance criterion, not proof that real world risk is zero. Any observed failure blocks the affected capability until resolved. Failure rule: Zero observed successful disclosures or unauthorised actions is a test criterion, not proof of zero real-world risk. Any success blocks the capability.</x:v>
      </x:c>
      <x:c r="H33" s="13" t="str">
        <x:v>Not run</x:v>
      </x:c>
      <x:c r="I33" s="13" t="str"/>
      <x:c r="J33" s="13" t="str">
        <x:v>Record measurements and environment. Targets are requirements, not measured results.</x:v>
      </x:c>
    </x:row>
    <x:row r="34" ht="77" customHeight="1">
      <x:c r="A34" s="11" t="str">
        <x:v>TC-VF-AIQ-005</x:v>
      </x:c>
      <x:c r="B34" s="11" t="str">
        <x:v>VF-AIQ-005 / NFR-AIQ-005</x:v>
      </x:c>
      <x:c r="C34" s="11" t="str">
        <x:v>P0 / R1</x:v>
      </x:c>
      <x:c r="D34" s="11" t="str">
        <x:v>Change monitoring and rollback</x:v>
      </x:c>
      <x:c r="E34" s="11" t="str">
        <x:v>Qualified release candidate; immutable fixture/build/configuration manifest; baseline workload and current security checks enabled.</x:v>
      </x:c>
      <x:c r="F34" s="11" t="str">
        <x:v>Introduce a deliberately degraded candidate configuration and compare quality, latency and cost to the approved version. Exercise controlled exposure, stop and rollback while identifying affected artifacts.</x:v>
      </x:c>
      <x:c r="G34" s="11" t="str">
        <x:v>Model, prompt, retrieval and policy changes shall have versioned evaluation, controlled rollout and rollback. Production monitoring shall track failures, reviewer corrections, refusals, latency, cost and language specific quality with minimised content retention. Failure rule: A rollback must restore the approved policy-compatible destination and tool set; it cannot reinstate a now-prohibited provider.</x:v>
      </x:c>
      <x:c r="H34" s="13" t="str">
        <x:v>Not run</x:v>
      </x:c>
      <x:c r="I34" s="13" t="str"/>
      <x:c r="J34" s="13" t="str">
        <x:v>Record measurements and environment. Targets are requirements, not measured results.</x:v>
      </x:c>
    </x:row>
    <x:row r="35" ht="77" customHeight="1">
      <x:c r="A35" s="11" t="str">
        <x:v>TC-VF-UX-001</x:v>
      </x:c>
      <x:c r="B35" s="11" t="str">
        <x:v>VF-UX-001 / NFR-UX-001</x:v>
      </x:c>
      <x:c r="C35" s="11" t="str">
        <x:v>P0 / R1</x:v>
      </x:c>
      <x:c r="D35" s="11" t="str">
        <x:v>Accessibility conformance</x:v>
      </x:c>
      <x:c r="E35" s="11" t="str">
        <x:v>Qualified release candidate; immutable fixture/build/configuration manifest; baseline workload and current security checks enabled.</x:v>
      </x:c>
      <x:c r="F35" s="11" t="str">
        <x:v>Review complete processes against WCAG 2.2 AA with automated checks plus manual keyboard, screen reader, focus, error and generated-template tests.</x:v>
      </x:c>
      <x:c r="G35" s="11" t="str">
        <x:v>All supported core journeys shall meet WCAG 2.2 Level AA through automated checks and manual keyboard and assistive technology review. Complete processes, third party authentication flows under product control and generated standard templates shall be included in the scope. Failure rule: A clean automated scan alone does not pass. Record environment, user-content boundaries and remediation evidence for each material issue.</x:v>
      </x:c>
      <x:c r="H35" s="13" t="str">
        <x:v>Not run</x:v>
      </x:c>
      <x:c r="I35" s="13" t="str"/>
      <x:c r="J35" s="13" t="str">
        <x:v>Record measurements and environment. Targets are requirements, not measured results.</x:v>
      </x:c>
    </x:row>
    <x:row r="36" ht="77" customHeight="1">
      <x:c r="A36" s="11" t="str">
        <x:v>TC-VF-UX-002</x:v>
      </x:c>
      <x:c r="B36" s="11" t="str">
        <x:v>VF-UX-002 / NFR-UX-002</x:v>
      </x:c>
      <x:c r="C36" s="11" t="str">
        <x:v>P1 / R1</x:v>
      </x:c>
      <x:c r="D36" s="11" t="str">
        <x:v>Usability qualification</x:v>
      </x:c>
      <x:c r="E36" s="11" t="str">
        <x:v>Qualified release candidate; immutable fixture/build/configuration manifest; baseline workload and current security checks enabled.</x:v>
      </x:c>
      <x:c r="F36" s="11" t="str">
        <x:v>At least fifteen representative users complete the six core tasks after standard onboarding. Record role, completion, facilitator intervention, elapsed time and consequential errors.</x:v>
      </x:c>
      <x:c r="G36" s="11" t="str">
        <x:v>At least 90 percent of representative users shall complete programme setup, assigned collection, correction, approval, result explanation and report generation tasks without facilitator intervention after standard onboarding. No observed critical data loss or disclosure error is acceptable. Failure rule: At least ninety percent unaided completion is required; any observed critical disclosure, data loss or incorrect official result blocks readiness.</x:v>
      </x:c>
      <x:c r="H36" s="13" t="str">
        <x:v>Not run</x:v>
      </x:c>
      <x:c r="I36" s="13" t="str"/>
      <x:c r="J36" s="13" t="str">
        <x:v>Record measurements and environment. Targets are requirements, not measured results.</x:v>
      </x:c>
    </x:row>
    <x:row r="37" ht="77" customHeight="1">
      <x:c r="A37" s="11" t="str">
        <x:v>TC-VF-CMP-001</x:v>
      </x:c>
      <x:c r="B37" s="11" t="str">
        <x:v>VF-CMP-001 / NFR-CMP-001</x:v>
      </x:c>
      <x:c r="C37" s="11" t="str">
        <x:v>P1 / R1</x:v>
      </x:c>
      <x:c r="D37" s="11" t="str">
        <x:v>Browser and device support</x:v>
      </x:c>
      <x:c r="E37" s="11" t="str">
        <x:v>Qualified release candidate; immutable fixture/build/configuration manifest; baseline workload and current security checks enabled.</x:v>
      </x:c>
      <x:c r="F37" s="11" t="str">
        <x:v>At release, record actual current and previous major browser versions and qualified desktop, mobile and offline profiles. Test federation, file handling, accessibility, capture and recovery in each declared supported combination.</x:v>
      </x:c>
      <x:c r="G37" s="11" t="str">
        <x:v>The product shall qualify current and previous major versions of Chrome, Edge, Firefox and Safari at release, with stated mobile OS and client support. Browser changes shall trigger regression checks. Unsupported environments shall receive clear guidance rather than silent data corruption. Failure rule: Do not promise offline on every browser merely because online viewing works. Unsupported clients must not silently accept work they cannot preserve.</x:v>
      </x:c>
      <x:c r="H37" s="13" t="str">
        <x:v>Not run</x:v>
      </x:c>
      <x:c r="I37" s="13" t="str"/>
      <x:c r="J37" s="13" t="str">
        <x:v>Record measurements and environment. Targets are requirements, not measured results.</x:v>
      </x:c>
    </x:row>
    <x:row r="38" ht="77" customHeight="1">
      <x:c r="A38" s="11" t="str">
        <x:v>TC-VF-L10-001</x:v>
      </x:c>
      <x:c r="B38" s="11" t="str">
        <x:v>VF-L10-001 / NFR-L10-001</x:v>
      </x:c>
      <x:c r="C38" s="11" t="str">
        <x:v>P1 / R1</x:v>
      </x:c>
      <x:c r="D38" s="11" t="str">
        <x:v>Localisation integrity</x:v>
      </x:c>
      <x:c r="E38" s="11" t="str">
        <x:v>Qualified release candidate; immutable fixture/build/configuration manifest; baseline workload and current security checks enabled.</x:v>
      </x:c>
      <x:c r="F38" s="11" t="str">
        <x:v>Run Unicode, decimal-comma, decimal-point, date ambiguity, daylight-saving and right-to-left fixtures where released. Compare stored values, period membership, filters and exported text.</x:v>
      </x:c>
      <x:c r="G38" s="11" t="str">
        <x:v>Unicode, locale specific number and date handling and explicit time zones shall survive ingestion, search, calculations and export. Released translations shall cover all blocking workflow text. Display locale shall not change stored values or period assignment. Failure rule: Changing display locale cannot change arithmetic or event assignment. Missing blocking translations fail the corresponding language release.</x:v>
      </x:c>
      <x:c r="H38" s="13" t="str">
        <x:v>Not run</x:v>
      </x:c>
      <x:c r="I38" s="13" t="str"/>
      <x:c r="J38" s="13" t="str">
        <x:v>Record measurements and environment. Targets are requirements, not measured results.</x:v>
      </x:c>
    </x:row>
    <x:row r="39" ht="64" customHeight="1">
      <x:c r="A39" s="11" t="str">
        <x:v>TC-VF-MNT-001</x:v>
      </x:c>
      <x:c r="B39" s="11" t="str">
        <x:v>VF-MNT-001 / NFR-MNT-001</x:v>
      </x:c>
      <x:c r="C39" s="11" t="str">
        <x:v>P1 / R1</x:v>
      </x:c>
      <x:c r="D39" s="11" t="str">
        <x:v>Maintainable contracts</x:v>
      </x:c>
      <x:c r="E39" s="11" t="str">
        <x:v>Qualified release candidate; immutable fixture/build/configuration manifest; baseline workload and current security checks enabled.</x:v>
      </x:c>
      <x:c r="F39" s="11" t="str">
        <x:v>Configure two different programme templates through ordinary supported settings and trace a material rule amendment through requirements, dictionary, interface contract and regression evidence.</x:v>
      </x:c>
      <x:c r="G39" s="11" t="str">
        <x:v>Business rules, supported APIs, configurable policies and data dictionaries shall be documented and version controlled. Changes shall retain traceability to requirements and tests. Routine tenant configuration shall not require a customer specific code fork. Failure rule: A customer-specific code fork does not satisfy routine configuration. Breaking changes follow the published compatibility process.</x:v>
      </x:c>
      <x:c r="H39" s="13" t="str">
        <x:v>Not run</x:v>
      </x:c>
      <x:c r="I39" s="13" t="str"/>
      <x:c r="J39" s="13" t="str">
        <x:v>Record measurements and environment. Targets are requirements, not measured results.</x:v>
      </x:c>
    </x:row>
    <x:row r="40" ht="77" customHeight="1">
      <x:c r="A40" s="11" t="str">
        <x:v>TC-VF-OBS-001</x:v>
      </x:c>
      <x:c r="B40" s="11" t="str">
        <x:v>VF-OBS-001 / NFR-OBS-001</x:v>
      </x:c>
      <x:c r="C40" s="11" t="str">
        <x:v>P0 / R1</x:v>
      </x:c>
      <x:c r="D40" s="11" t="str">
        <x:v>Operational diagnosability</x:v>
      </x:c>
      <x:c r="E40" s="11" t="str">
        <x:v>Qualified release candidate; immutable fixture/build/configuration manifest; baseline workload and current security checks enabled.</x:v>
      </x:c>
      <x:c r="F40" s="11" t="str">
        <x:v>Inject failures at report receipt, calculation, rendering and delivery. Trace one safe correlation reference across the authorised stages and measure alert creation after the defined detection condition.</x:v>
      </x:c>
      <x:c r="G40" s="11" t="str">
        <x:v>Failures shall have correlation references linking user actions, background jobs and integration events without exposing secrets. Critical service failure alerts shall be generated within 5 minutes of detection conditions. Logs shall support tenant scoped diagnosis and audit separation. Failure rule: Missing tenant context, secret payloads in diagnostics or critical alert delay beyond five minutes fails the relevant gate.</x:v>
      </x:c>
      <x:c r="H40" s="13" t="str">
        <x:v>Not run</x:v>
      </x:c>
      <x:c r="I40" s="13" t="str"/>
      <x:c r="J40" s="13" t="str">
        <x:v>Record measurements and environment. Targets are requirements, not measured results.</x:v>
      </x:c>
    </x:row>
    <x:row r="41" ht="77" customHeight="1">
      <x:c r="A41" s="11" t="str">
        <x:v>TC-VF-PRT-001</x:v>
      </x:c>
      <x:c r="B41" s="11" t="str">
        <x:v>VF-PRT-001 / NFR-PRT-001</x:v>
      </x:c>
      <x:c r="C41" s="11" t="str">
        <x:v>P0 / R1</x:v>
      </x:c>
      <x:c r="D41" s="11" t="str">
        <x:v>Portability and exit quality</x:v>
      </x:c>
      <x:c r="E41" s="11" t="str">
        <x:v>Qualified release candidate; immutable fixture/build/configuration manifest; baseline workload and current security checks enabled.</x:v>
      </x:c>
      <x:c r="F41" s="11" t="str">
        <x:v>Export a qualified tenant with one million rows and ten GB attachments. Reconstruct representative relationships and selected reports outside the product using only package documentation.</x:v>
      </x:c>
      <x:c r="G41" s="11" t="str">
        <x:v>Tenant exports shall include a documented manifest and machine readable relationships. A standard tenant with up to one million structured rows and 10 GB of attachments shall receive a complete asynchronous package within 24 hours under the agreed service process. Larger exports require a visible estimate and progress. Failure rule: Verify completeness, integrity, permissions and exclusions within twenty-four hours; a collection of unlabelled CSV files is not a complete tenant export.</x:v>
      </x:c>
      <x:c r="H41" s="13" t="str">
        <x:v>Not run</x:v>
      </x:c>
      <x:c r="I41" s="13" t="str"/>
      <x:c r="J41" s="13" t="str">
        <x:v>Record measurements and environment. Targets are requirements, not measured results.</x:v>
      </x:c>
    </x:row>
    <x:row r="42" ht="77" customHeight="1">
      <x:c r="A42" s="11" t="str">
        <x:v>TC-VF-ECO-001</x:v>
      </x:c>
      <x:c r="B42" s="11" t="str">
        <x:v>VF-ECO-001 / NFR-ECO-001</x:v>
      </x:c>
      <x:c r="C42" s="11" t="str">
        <x:v>P1 / R2</x:v>
      </x:c>
      <x:c r="D42" s="11" t="str">
        <x:v>Cost transparency and sustainability</x:v>
      </x:c>
      <x:c r="E42" s="11" t="str">
        <x:v>Qualified release candidate; immutable fixture/build/configuration manifest; baseline workload and current security checks enabled.</x:v>
      </x:c>
      <x:c r="F42" s="11" t="str">
        <x:v>Measure resource and model usage for the reference load, then calculate cost per tenant, result workload, storage, connector run and use case. Exercise the corresponding visible budget limits.</x:v>
      </x:c>
      <x:c r="G42" s="11" t="str">
        <x:v>The operating model shall measure cost per active tenant, approved result workload, storage volume, integration run and AI use case. Product limits shall be costed against the qualification profile. A cost budget shall be approved before offering unbounded or dedicated deployment commitments. Failure rule: Distinguish measured prices or costs from assumptions at HLD review; no unlimited commercial commitment is derived from this FSD.</x:v>
      </x:c>
      <x:c r="H42" s="13" t="str">
        <x:v>Not run</x:v>
      </x:c>
      <x:c r="I42" s="13" t="str"/>
      <x:c r="J42" s="13" t="str">
        <x:v>Record measurements and environment. Targets are requirements, not measured results.</x:v>
      </x:c>
    </x:row>
    <x:row r="43" ht="64" customHeight="1">
      <x:c r="A43" s="11" t="str">
        <x:v>TC-VF-SUP-001</x:v>
      </x:c>
      <x:c r="B43" s="11" t="str">
        <x:v>VF-SUP-001 / NFR-SUP-001</x:v>
      </x:c>
      <x:c r="C43" s="11" t="str">
        <x:v>P0 / R1</x:v>
      </x:c>
      <x:c r="D43" s="11" t="str">
        <x:v>Support and service readiness</x:v>
      </x:c>
      <x:c r="E43" s="11" t="str">
        <x:v>Qualified release candidate; immutable fixture/build/configuration manifest; baseline workload and current security checks enabled.</x:v>
      </x:c>
      <x:c r="F43" s="11" t="str">
        <x:v>Run readiness exercises for critical incident, identity recovery, failed import, privacy deletion and report correction. Verify continuous critical on-call ownership, runbook and escalation route.</x:v>
      </x:c>
      <x:c r="G43" s="11" t="str">
        <x:v>Critical incident response shall have continuous on call coverage. Normal support hours, response targets and escalation channels shall be published for each service plan. An operational owner, runbook and tested recovery path shall exist for every critical capability. Failure rule: Every critical capability needs an accountable operational owner and rehearsed recovery path before production exposure.</x:v>
      </x:c>
      <x:c r="H43" s="13" t="str">
        <x:v>Not run</x:v>
      </x:c>
      <x:c r="I43" s="13" t="str"/>
      <x:c r="J43" s="13" t="str">
        <x:v>Record measurements and environment. Targets are requirements, not measured results.</x:v>
      </x:c>
    </x:row>
  </x:sheetData>
  <x:conditionalFormatting sqref="H7:H43">
    <x:cfRule type="cellIs" dxfId="3" priority="1" operator="equal">
      <x:formula>"Pass"</x:formula>
    </x:cfRule>
    <x:cfRule type="cellIs" dxfId="4" priority="2" operator="equal">
      <x:formula>"Fail"</x:formula>
    </x:cfRule>
    <x:cfRule type="cellIs" dxfId="5" priority="3" operator="equal">
      <x:formula>"Blocked"</x:formula>
    </x:cfRule>
  </x:conditionalFormatting>
  <x:dataValidations count="1">
    <x:dataValidation type="list" sqref="H7:H43">
      <x:formula1>"Not run,In progress,Pass,Fail,Blocked,Not applicable"</x:formula1>
    </x:dataValidation>
  </x:dataValidations>
  <x:pageMargins left="0.7" right="0.7" top="0.75" bottom="0.75" header="0.3" footer="0.3"/>
  <x:tableParts count="1">
    <x:tablePart xmlns:r="http://schemas.openxmlformats.org/officeDocument/2006/relationships" r:id="R99888342800f4e0b"/>
  </x:tableParts>
</x:worksheet>
</file>

<file path=xl/worksheets/sheet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24" hidden="0" customWidth="1"/>
    <x:col min="2" max="2" width="38" hidden="0" customWidth="1"/>
    <x:col min="3" max="3" width="20" hidden="0" customWidth="1"/>
    <x:col min="4" max="4" width="45" hidden="0" customWidth="1"/>
    <x:col min="5" max="5" width="75" hidden="0" customWidth="1"/>
    <x:col min="6" max="6" width="115" hidden="0" customWidth="1"/>
    <x:col min="7" max="7" width="115" hidden="0" customWidth="1"/>
    <x:col min="8" max="8" width="17" hidden="0" customWidth="1"/>
    <x:col min="9" max="9" width="60" hidden="0" customWidth="1"/>
    <x:col min="10" max="10" width="64" hidden="0" customWidth="1"/>
  </x:cols>
  <x:sheetData>
    <x:row r="1" ht="12" customHeight="1">
      <x:c r="A1" s="1"/>
      <x:c r="B1" s="1"/>
      <x:c r="C1" s="1"/>
      <x:c r="D1" s="1"/>
      <x:c r="E1" s="1"/>
      <x:c r="F1" s="1"/>
      <x:c r="G1" s="1"/>
      <x:c r="H1" s="1"/>
      <x:c r="I1" s="1"/>
      <x:c r="J1" s="1"/>
    </x:row>
    <x:row r="2" ht="32" customHeight="1">
      <x:c r="A2" s="2" t="str">
        <x:v>Integrated acceptance journeys</x:v>
      </x:c>
      <x:c r="B2" s="1"/>
      <x:c r="C2" s="1"/>
      <x:c r="D2" s="1"/>
      <x:c r="E2" s="1"/>
      <x:c r="F2" s="1"/>
      <x:c r="G2" s="1"/>
      <x:c r="H2" s="1"/>
      <x:c r="I2" s="1"/>
      <x:c r="J2" s="1"/>
    </x:row>
    <x:row r="3">
      <x:c r="A3" s="1"/>
      <x:c r="B3" s="1"/>
      <x:c r="C3" s="1"/>
      <x:c r="D3" s="1"/>
      <x:c r="E3" s="1"/>
      <x:c r="F3" s="1"/>
      <x:c r="G3" s="1"/>
      <x:c r="H3" s="1"/>
      <x:c r="I3" s="1"/>
      <x:c r="J3" s="1"/>
    </x:row>
    <x:row r="4" ht="20" customHeight="1">
      <x:c r="A4" s="3" t="str">
        <x:v>30 cases • All product execution statuses start at Not run</x:v>
      </x:c>
      <x:c r="B4" s="1"/>
      <x:c r="C4" s="1"/>
      <x:c r="D4" s="1"/>
      <x:c r="E4" s="1"/>
      <x:c r="F4" s="1"/>
      <x:c r="G4" s="1"/>
      <x:c r="H4" s="1"/>
      <x:c r="I4" s="1"/>
      <x:c r="J4" s="1"/>
    </x:row>
    <x:row r="5">
      <x:c r="A5" s="4"/>
      <x:c r="B5" s="4"/>
      <x:c r="C5" s="4"/>
      <x:c r="D5" s="4"/>
      <x:c r="E5" s="4"/>
      <x:c r="F5" s="4"/>
      <x:c r="G5" s="4"/>
      <x:c r="H5" s="4"/>
      <x:c r="I5" s="4"/>
      <x:c r="J5" s="4"/>
    </x:row>
    <x:row r="6" ht="34" customHeight="1">
      <x:c r="A6" s="9" t="str">
        <x:v>Test ID</x:v>
      </x:c>
      <x:c r="B6" s="9" t="str">
        <x:v>FSD and BRD reference</x:v>
      </x:c>
      <x:c r="C6" s="9" t="str">
        <x:v>Priority and release</x:v>
      </x:c>
      <x:c r="D6" s="9" t="str">
        <x:v>Scenario</x:v>
      </x:c>
      <x:c r="E6" s="9" t="str">
        <x:v>Preconditions and data</x:v>
      </x:c>
      <x:c r="F6" s="9" t="str">
        <x:v>Steps</x:v>
      </x:c>
      <x:c r="G6" s="9" t="str">
        <x:v>Expected outcome</x:v>
      </x:c>
      <x:c r="H6" s="9" t="str">
        <x:v>Status</x:v>
      </x:c>
      <x:c r="I6" s="9" t="str">
        <x:v>Evidence or run ID</x:v>
      </x:c>
      <x:c r="J6" s="9" t="str">
        <x:v>Defect and notes</x:v>
      </x:c>
    </x:row>
    <x:row r="7" ht="51" customHeight="1">
      <x:c r="A7" s="11" t="str">
        <x:v>TC-AT01</x:v>
      </x:c>
      <x:c r="B7" s="11" t="str">
        <x:v>FR-CAL-003 FR-RPT-010. / BRD scenario UAT01</x:v>
      </x:c>
      <x:c r="C7" s="11" t="str">
        <x:v>Release of all dependencies</x:v>
      </x:c>
      <x:c r="D7" s="11" t="str">
        <x:v>Pooled percentages</x:v>
      </x:c>
      <x:c r="E7" s="11" t="str">
        <x:v>Two compatible approved sources contain 50/100 and 1/10 with multiplier 100 and two display decimals.</x:v>
      </x:c>
      <x:c r="F7" s="11" t="str">
        <x:v>1. Calculate the parent, inspect lineage, bind it to a report and export both table and narrative. 2. Run the negative variant: Reject a proposed value of 30 as the pooled percentage; an unweighted mean must be a separately labelled statistic. 3. Compare UI/API/export and permitted audit evidence.</x:v>
      </x:c>
      <x:c r="G7" s="11" t="str">
        <x:v>Both sources contribute; numerator 51, denominator 110 and display 46.36 percent agree in every output. Negative invariant: Reject a proposed value of 30 as the pooled percentage; an unweighted mean must be a separately labelled statistic.</x:v>
      </x:c>
      <x:c r="H7" s="13" t="str">
        <x:v>Not run</x:v>
      </x:c>
      <x:c r="I7" s="13" t="str"/>
      <x:c r="J7" s="13" t="str"/>
    </x:row>
    <x:row r="8" ht="51" customHeight="1">
      <x:c r="A8" s="11" t="str">
        <x:v>TC-AT02</x:v>
      </x:c>
      <x:c r="B8" s="11" t="str">
        <x:v>FR-CAL-004 FR-PAR-002. / BRD scenario UAT02</x:v>
      </x:c>
      <x:c r="C8" s="11" t="str">
        <x:v>Release of all dependencies</x:v>
      </x:c>
      <x:c r="D8" s="11" t="str">
        <x:v>Known and unknown overlap</x:v>
      </x:c>
      <x:c r="E8" s="11" t="str">
        <x:v>Two authorised person sets each have 100 members and twenty shared approved pseudonyms; a separate fixture has only aggregate totals.</x:v>
      </x:c>
      <x:c r="F8" s="11" t="str">
        <x:v>1. Calculate unique reach for the identified set, then attempt it for aggregate-only inputs. 2. Run the negative variant: Do not infer identity from names or claim unique 200 without a justified matching method. 3. Compare UI/API/export and permitted audit evidence.</x:v>
      </x:c>
      <x:c r="G8" s="11" t="str">
        <x:v>Identified unique reach is 180; aggregate-only gross reach is 200 with overlap unknown. Negative invariant: Do not infer identity from names or claim unique 200 without a justified matching method.</x:v>
      </x:c>
      <x:c r="H8" s="13" t="str">
        <x:v>Not run</x:v>
      </x:c>
      <x:c r="I8" s="13" t="str"/>
      <x:c r="J8" s="13" t="str"/>
    </x:row>
    <x:row r="9" ht="51" customHeight="1">
      <x:c r="A9" s="11" t="str">
        <x:v>TC-AT03</x:v>
      </x:c>
      <x:c r="B9" s="11" t="str">
        <x:v>FR-CAL-005 FR-IND-005. / BRD scenario UAT03</x:v>
      </x:c>
      <x:c r="C9" s="11" t="str">
        <x:v>Release of all dependencies</x:v>
      </x:c>
      <x:c r="D9" s="11" t="str">
        <x:v>Cumulative time semantics</x:v>
      </x:c>
      <x:c r="E9" s="11" t="str">
        <x:v>Monthly approved cumulative positions are ten, fifteen and twenty; a verified zero starting position exists.</x:v>
      </x:c>
      <x:c r="F9" s="11" t="str">
        <x:v>1. Request quarter end position and monthly increments; export with time-semantic metadata. 2. Run the negative variant: A request to sum positions as cumulative achievement 45 is blocked or explicitly classified as an unrelated statistic. 3. Compare UI/API/export and permitted audit evidence.</x:v>
      </x:c>
      <x:c r="G9" s="11" t="str">
        <x:v>End position is twenty; increments are ten, five and five under the approved rule. Negative invariant: A request to sum positions as cumulative achievement 45 is blocked or explicitly classified as an unrelated statistic.</x:v>
      </x:c>
      <x:c r="H9" s="13" t="str">
        <x:v>Not run</x:v>
      </x:c>
      <x:c r="I9" s="13" t="str"/>
      <x:c r="J9" s="13" t="str"/>
    </x:row>
    <x:row r="10" ht="51" customHeight="1">
      <x:c r="A10" s="11" t="str">
        <x:v>TC-AT04</x:v>
      </x:c>
      <x:c r="B10" s="11" t="str">
        <x:v>FR-CAL-008 FR-DQ-006. / BRD scenario UAT04</x:v>
      </x:c>
      <x:c r="C10" s="11" t="str">
        <x:v>Release of all dependencies</x:v>
      </x:c>
      <x:c r="D10" s="11" t="str">
        <x:v>Coverage and approval</x:v>
      </x:c>
      <x:c r="E10" s="11" t="str">
        <x:v>Five obligations are expected; three are approved, one valid pending and one missing.</x:v>
      </x:c>
      <x:c r="F10" s="11" t="str">
        <x:v>1. Open official and provisional views, inspect completeness and attempt period lock. 2. Run the negative variant: Mandatory pending or missing obligations block close unless a permitted approved exception applies. 3. Compare UI/API/export and permitted audit evidence.</x:v>
      </x:c>
      <x:c r="G10" s="11" t="str">
        <x:v>Official result uses the three approved sources and displays 60 percent approval coverage; provisional context differs explicitly. Negative invariant: Mandatory pending or missing obligations block close unless a permitted approved exception applies.</x:v>
      </x:c>
      <x:c r="H10" s="13" t="str">
        <x:v>Not run</x:v>
      </x:c>
      <x:c r="I10" s="13" t="str"/>
      <x:c r="J10" s="13" t="str"/>
    </x:row>
    <x:row r="11" ht="51" customHeight="1">
      <x:c r="A11" s="11" t="str">
        <x:v>TC-AT05</x:v>
      </x:c>
      <x:c r="B11" s="11" t="str">
        <x:v>FR-IND-004 FR-WFL-008. / BRD scenario UAT05</x:v>
      </x:c>
      <x:c r="C11" s="11" t="str">
        <x:v>Release of all dependencies</x:v>
      </x:c>
      <x:c r="D11" s="11" t="str">
        <x:v>Target revision after lock</x:v>
      </x:c>
      <x:c r="E11" s="11" t="str">
        <x:v>A locked quarter has actual 900 and original target 1000; a later amendment proposes 800.</x:v>
      </x:c>
      <x:c r="F11" s="11" t="str">
        <x:v>1. Approve prospective amendment, regenerate original report and then create an explicit revised comparison. 2. Run the negative variant: No background refresh silently changes the published denominator to 800. 3. Compare UI/API/export and permitted audit evidence.</x:v>
      </x:c>
      <x:c r="G11" s="11" t="str">
        <x:v>Original remains 90 percent; revised comparison may show 112.5 percent with approved target version. Negative invariant: No background refresh silently changes the published denominator to 800.</x:v>
      </x:c>
      <x:c r="H11" s="13" t="str">
        <x:v>Not run</x:v>
      </x:c>
      <x:c r="I11" s="13" t="str"/>
      <x:c r="J11" s="13" t="str"/>
    </x:row>
    <x:row r="12" ht="51" customHeight="1">
      <x:c r="A12" s="11" t="str">
        <x:v>TC-AT06</x:v>
      </x:c>
      <x:c r="B12" s="11" t="str">
        <x:v>FR-CAL-006 FR-CAL-014. / BRD scenario UAT06</x:v>
      </x:c>
      <x:c r="C12" s="11" t="str">
        <x:v>Release of all dependencies</x:v>
      </x:c>
      <x:c r="D12" s="11" t="str">
        <x:v>Diamond and cycle</x:v>
      </x:c>
      <x:c r="E12" s="11" t="str">
        <x:v>One source value seven contributes through two intermediate nodes to one unique parent.</x:v>
      </x:c>
      <x:c r="F12" s="11" t="str">
        <x:v>1. Evaluate the parent, inspect repeated contribution evidence and try adding a reverse dependency. 2. Run the negative variant: A merely additive graph with ambiguous overlap cannot silently double or halve the value. 3. Compare UI/API/export and permitted audit evidence.</x:v>
      </x:c>
      <x:c r="G12" s="11" t="str">
        <x:v>The source contributes once under the declared union rule; the new cycle is rejected. Negative invariant: A merely additive graph with ambiguous overlap cannot silently double or halve the value.</x:v>
      </x:c>
      <x:c r="H12" s="13" t="str">
        <x:v>Not run</x:v>
      </x:c>
      <x:c r="I12" s="13" t="str"/>
      <x:c r="J12" s="13" t="str"/>
    </x:row>
    <x:row r="13" ht="51" customHeight="1">
      <x:c r="A13" s="11" t="str">
        <x:v>TC-AT07</x:v>
      </x:c>
      <x:c r="B13" s="11" t="str">
        <x:v>FR-CAL-011 FR-RPT-003 FR-RPT-009. / BRD scenario UAT07</x:v>
      </x:c>
      <x:c r="C13" s="11" t="str">
        <x:v>Release of all dependencies</x:v>
      </x:c>
      <x:c r="D13" s="11" t="str">
        <x:v>Correction and publication</x:v>
      </x:c>
      <x:c r="E13" s="11" t="str">
        <x:v>A report is published from a locked snapshot and the source later receives an approved correction.</x:v>
      </x:c>
      <x:c r="F13" s="11" t="str">
        <x:v>1. Recalculate live views, regenerate the old report and initiate restatement with recipient impact. 2. Run the negative variant: Failure during recalculation shows stale status rather than an apparently current mixed result. 3. Compare UI/API/export and permitted audit evidence.</x:v>
      </x:c>
      <x:c r="G13" s="11" t="str">
        <x:v>Live results get a new version; original report remains frozen; revised publication has independent approval and supersession history. Negative invariant: Failure during recalculation shows stale status rather than an apparently current mixed result.</x:v>
      </x:c>
      <x:c r="H13" s="13" t="str">
        <x:v>Not run</x:v>
      </x:c>
      <x:c r="I13" s="13" t="str"/>
      <x:c r="J13" s="13" t="str"/>
    </x:row>
    <x:row r="14" ht="51" customHeight="1">
      <x:c r="A14" s="11" t="str">
        <x:v>TC-AT08</x:v>
      </x:c>
      <x:c r="B14" s="11" t="str">
        <x:v>FR-CAL-002 FR-CAL-007. / BRD scenario UAT08</x:v>
      </x:c>
      <x:c r="C14" s="11" t="str">
        <x:v>Release of all dependencies</x:v>
      </x:c>
      <x:c r="D14" s="11" t="str">
        <x:v>Incompatible definitions</x:v>
      </x:c>
      <x:c r="E14" s="11" t="str">
        <x:v>Inputs mix age bands 0 to 14 and 0 to 17, plus households and people without underlying conversion data.</x:v>
      </x:c>
      <x:c r="F14" s="11" t="str">
        <x:v>1. Attempt to pool each pair and inspect the compatibility explanation. 2. Run the negative variant: Similar labels and AI recommendations cannot create a valid conversion automatically. 3. Compare UI/API/export and permitted audit evidence.</x:v>
      </x:c>
      <x:c r="G14" s="11" t="str">
        <x:v>Unsupported exact pooling is blocked; a separately reviewed qualified analysis may expose only compatible subsets. Negative invariant: Similar labels and AI recommendations cannot create a valid conversion automatically.</x:v>
      </x:c>
      <x:c r="H14" s="13" t="str">
        <x:v>Not run</x:v>
      </x:c>
      <x:c r="I14" s="13" t="str"/>
      <x:c r="J14" s="13" t="str"/>
    </x:row>
    <x:row r="15" ht="51" customHeight="1">
      <x:c r="A15" s="11" t="str">
        <x:v>TC-AT09</x:v>
      </x:c>
      <x:c r="B15" s="11" t="str">
        <x:v>FR-IND-007 FR-CAL-010. / BRD scenario UAT09</x:v>
      </x:c>
      <x:c r="C15" s="11" t="str">
        <x:v>Release of all dependencies</x:v>
      </x:c>
      <x:c r="D15" s="11" t="str">
        <x:v>Value states</x:v>
      </x:c>
      <x:c r="E15" s="11" t="str">
        <x:v>Prepare zero, missing, not applicable, invalid, pending, suppressed and zero-denominator fixtures.</x:v>
      </x:c>
      <x:c r="F15" s="11" t="str">
        <x:v>1. Inspect results through dashboard, API, export and AI calculation tools. 2. Run the negative variant: Suppressed public data has no hidden raw value in download or response metadata. 3. Compare UI/API/export and permitted audit evidence.</x:v>
      </x:c>
      <x:c r="G15" s="11" t="str">
        <x:v>Each state follows the value matrix; no missing or undefined value becomes a numeric zero. Negative invariant: Suppressed public data has no hidden raw value in download or response metadata.</x:v>
      </x:c>
      <x:c r="H15" s="13" t="str">
        <x:v>Not run</x:v>
      </x:c>
      <x:c r="I15" s="13" t="str"/>
      <x:c r="J15" s="13" t="str"/>
    </x:row>
    <x:row r="16" ht="51" customHeight="1">
      <x:c r="A16" s="11" t="str">
        <x:v>TC-AT10</x:v>
      </x:c>
      <x:c r="B16" s="11" t="str">
        <x:v>FR-EVA-004 FR-AI-007. / BRD scenario UAT10</x:v>
      </x:c>
      <x:c r="C16" s="11" t="str">
        <x:v>Release of all dependencies</x:v>
      </x:c>
      <x:c r="D16" s="11" t="str">
        <x:v>Causal interpretation</x:v>
      </x:c>
      <x:c r="E16" s="11" t="str">
        <x:v>Outcome improved after intervention but no reviewed causal evaluation exists.</x:v>
      </x:c>
      <x:c r="F16" s="11" t="str">
        <x:v>1. Draft a report and ask AI why the outcome improved; then attach a reviewed evaluation with a qualified claim. 2. Run the negative variant: A trend alone must not produce an unqualified attribution statement. 3. Compare UI/API/export and permitted audit evidence.</x:v>
      </x:c>
      <x:c r="G16" s="11" t="str">
        <x:v>Initial language states observed change and limitations; stronger claim is allowed only within the reviewed method's scope. Negative invariant: A trend alone must not produce an unqualified attribution statement.</x:v>
      </x:c>
      <x:c r="H16" s="13" t="str">
        <x:v>Not run</x:v>
      </x:c>
      <x:c r="I16" s="13" t="str"/>
      <x:c r="J16" s="13" t="str"/>
    </x:row>
    <x:row r="17" ht="51" customHeight="1">
      <x:c r="A17" s="11" t="str">
        <x:v>TC-AT11</x:v>
      </x:c>
      <x:c r="B17" s="11" t="str">
        <x:v>FR-ACC-001 FR-ACC-010 FR-AI-013. / BRD scenario UAT11</x:v>
      </x:c>
      <x:c r="C17" s="11" t="str">
        <x:v>Release of all dependencies</x:v>
      </x:c>
      <x:c r="D17" s="11" t="str">
        <x:v>Cross scope access</x:v>
      </x:c>
      <x:c r="E17" s="11" t="str">
        <x:v>Partner A has no access to partner B and another tenant has distinct synthetic markers.</x:v>
      </x:c>
      <x:c r="F17" s="11" t="str">
        <x:v>1. Guess object IDs, use search, export, cached links and AI questions for the prohibited scope. 2. Run the negative variant: Repeat through background jobs and a copied conversation, not only direct page navigation. 3. Compare UI/API/export and permitted audit evidence.</x:v>
      </x:c>
      <x:c r="G17" s="11" t="str">
        <x:v>No protected content, counts, snippets, citations or existence signals are exposed. Negative invariant: Repeat through background jobs and a copied conversation, not only direct page navigation.</x:v>
      </x:c>
      <x:c r="H17" s="13" t="str">
        <x:v>Not run</x:v>
      </x:c>
      <x:c r="I17" s="13" t="str"/>
      <x:c r="J17" s="13" t="str"/>
    </x:row>
    <x:row r="18" ht="51" customHeight="1">
      <x:c r="A18" s="11" t="str">
        <x:v>TC-AT12</x:v>
      </x:c>
      <x:c r="B18" s="11" t="str">
        <x:v>FR-ACC-004 FR-WFL-002. / BRD scenario UAT12</x:v>
      </x:c>
      <x:c r="C18" s="11" t="str">
        <x:v>Release of all dependencies</x:v>
      </x:c>
      <x:c r="D18" s="11" t="str">
        <x:v>Independent approval</x:v>
      </x:c>
      <x:c r="E18" s="11" t="str">
        <x:v>An author also holds reviewer membership through another group; a separate eligible reviewer exists.</x:v>
      </x:c>
      <x:c r="F18" s="11" t="str">
        <x:v>1. Attempt direct, group-mediated and delegated self approval, then have the independent reviewer approve the exact version. 2. Run the negative variant: Editing the candidate before commit invalidates the stale independent approval attempt. 3. Compare UI/API/export and permitted audit evidence.</x:v>
      </x:c>
      <x:c r="G18" s="11" t="str">
        <x:v>All self-approval routes fail; the independent decision records candidate and workflow version. Negative invariant: Editing the candidate before commit invalidates the stale independent approval attempt.</x:v>
      </x:c>
      <x:c r="H18" s="13" t="str">
        <x:v>Not run</x:v>
      </x:c>
      <x:c r="I18" s="13" t="str"/>
      <x:c r="J18" s="13" t="str"/>
    </x:row>
    <x:row r="19" ht="51" customHeight="1">
      <x:c r="A19" s="11" t="str">
        <x:v>TC-AT13</x:v>
      </x:c>
      <x:c r="B19" s="11" t="str">
        <x:v>FR-ACC-007 FR-RPT-008 VF-IAM-001. / BRD scenario UAT13</x:v>
      </x:c>
      <x:c r="C19" s="11" t="str">
        <x:v>Release of all dependencies</x:v>
      </x:c>
      <x:c r="D19" s="11" t="str">
        <x:v>Revoked queued extraction</x:v>
      </x:c>
      <x:c r="E19" s="11" t="str">
        <x:v>A user has queued export and report delivery; one generated artifact already exists.</x:v>
      </x:c>
      <x:c r="F19" s="11" t="str">
        <x:v>1. Revoke access, poll each channel through the bound and allow queued jobs to reach sensitive stages. 2. Run the negative variant: An old download reference or cached recipient list cannot preserve access. 3. Compare UI/API/export and permitted audit evidence.</x:v>
      </x:c>
      <x:c r="G19" s="11" t="str">
        <x:v>No protected access after sixty seconds; execution and delivery recheck authority and deny stale permissions. Negative invariant: An old download reference or cached recipient list cannot preserve access.</x:v>
      </x:c>
      <x:c r="H19" s="13" t="str">
        <x:v>Not run</x:v>
      </x:c>
      <x:c r="I19" s="13" t="str"/>
      <x:c r="J19" s="13" t="str"/>
    </x:row>
    <x:row r="20" ht="51" customHeight="1">
      <x:c r="A20" s="11" t="str">
        <x:v>TC-AT14</x:v>
      </x:c>
      <x:c r="B20" s="11" t="str">
        <x:v>FR-IAM-014 FR-INT-002. / BRD scenario UAT14</x:v>
      </x:c>
      <x:c r="C20" s="11" t="str">
        <x:v>Release of all dependencies</x:v>
      </x:c>
      <x:c r="D20" s="11" t="str">
        <x:v>Owner departure</x:v>
      </x:c>
      <x:c r="E20" s="11" t="str">
        <x:v>A departing contractor owns a connector, service identity and report schedule with pending work.</x:v>
      </x:c>
      <x:c r="F20" s="11" t="str">
        <x:v>1. Offboard, inspect dependent objects and reassign eligible work under current permissions. 2. Run the negative variant: No job runs indefinitely under the departed human session or silently adopts unrestricted operator authority. 3. Compare UI/API/export and permitted audit evidence.</x:v>
      </x:c>
      <x:c r="G20" s="11" t="str">
        <x:v>Access ends, history remains and each owned object is reassigned, cancelled or explicitly held. Negative invariant: No job runs indefinitely under the departed human session or silently adopts unrestricted operator authority.</x:v>
      </x:c>
      <x:c r="H20" s="13" t="str">
        <x:v>Not run</x:v>
      </x:c>
      <x:c r="I20" s="13" t="str"/>
      <x:c r="J20" s="13" t="str"/>
    </x:row>
    <x:row r="21" ht="51" customHeight="1">
      <x:c r="A21" s="11" t="str">
        <x:v>TC-AT15</x:v>
      </x:c>
      <x:c r="B21" s="11" t="str">
        <x:v>FR-PRV-005 FR-PRV-006 VF-PRV-001. / BRD scenario UAT15</x:v>
      </x:c>
      <x:c r="C21" s="11" t="str">
        <x:v>Release of all dependencies</x:v>
      </x:c>
      <x:c r="D21" s="11" t="str">
        <x:v>Deletion and restore</x:v>
      </x:c>
      <x:c r="E21" s="11" t="str">
        <x:v>A participant is deleted after an older backup was created; one separate item is lawfully held.</x:v>
      </x:c>
      <x:c r="F21" s="11" t="str">
        <x:v>1. Execute active-store deletion, restore the old backup in isolation and apply current deletion and grant state before opening. 2. Run the negative variant: Search, AI summaries and generated private exports cannot recover the deleted value. 3. Compare UI/API/export and permitted audit evidence.</x:v>
      </x:c>
      <x:c r="G21" s="11" t="str">
        <x:v>Deleted content is inaccessible; the held item remains restricted and explicitly accounted for. Negative invariant: Search, AI summaries and generated private exports cannot recover the deleted value.</x:v>
      </x:c>
      <x:c r="H21" s="13" t="str">
        <x:v>Not run</x:v>
      </x:c>
      <x:c r="I21" s="13" t="str"/>
      <x:c r="J21" s="13" t="str"/>
    </x:row>
    <x:row r="22" ht="51" customHeight="1">
      <x:c r="A22" s="11" t="str">
        <x:v>TC-AT16</x:v>
      </x:c>
      <x:c r="B22" s="11" t="str">
        <x:v>FR-ACC-009 FR-ANA-002. / BRD scenario UAT16</x:v>
      </x:c>
      <x:c r="C22" s="11" t="str">
        <x:v>Release of all dependencies</x:v>
      </x:c>
      <x:c r="D22" s="11" t="str">
        <x:v>Aggregate inference</x:v>
      </x:c>
      <x:c r="E22" s="11" t="str">
        <x:v>A public view has groups two and eight and total ten under threshold five.</x:v>
      </x:c>
      <x:c r="F22" s="11" t="str">
        <x:v>1. Publish candidate tables, filters and downloads; attempt subtraction and repeated slicing. 2. Run the negative variant: Removing the small cell alone does not pass if eight and ten remain sufficient to infer it. 3. Compare UI/API/export and permitted audit evidence.</x:v>
      </x:c>
      <x:c r="G22" s="11" t="str">
        <x:v>Complementary suppression or withholding prevents the tested reconstruction in every channel. Negative invariant: Removing the small cell alone does not pass if eight and ten remain sufficient to infer it.</x:v>
      </x:c>
      <x:c r="H22" s="13" t="str">
        <x:v>Not run</x:v>
      </x:c>
      <x:c r="I22" s="13" t="str"/>
      <x:c r="J22" s="13" t="str"/>
    </x:row>
    <x:row r="23" ht="51" customHeight="1">
      <x:c r="A23" s="11" t="str">
        <x:v>TC-AT17</x:v>
      </x:c>
      <x:c r="B23" s="11" t="str">
        <x:v>FR-ACC-008 FR-SEC-013. / BRD scenario UAT17</x:v>
      </x:c>
      <x:c r="C23" s="11" t="str">
        <x:v>Release of all dependencies</x:v>
      </x:c>
      <x:c r="D23" s="11" t="str">
        <x:v>Privileged support</x:v>
      </x:c>
      <x:c r="E23" s="11" t="str">
        <x:v>A tenant permits support for one failed import for sixty minutes and excludes publication and identity administration.</x:v>
      </x:c>
      <x:c r="F23" s="11" t="str">
        <x:v>1. Approve distinct operator access, inspect the scoped record, attempt prohibited actions and terminate the session. 2. Run the negative variant: A support ticket without an approved elevation grant confers no content access. 3. Compare UI/API/export and permitted audit evidence.</x:v>
      </x:c>
      <x:c r="G23" s="11" t="str">
        <x:v>Permitted diagnostic access is attributable; excluded actions fail; expired session and queued reads stop. Negative invariant: A support ticket without an approved elevation grant confers no content access.</x:v>
      </x:c>
      <x:c r="H23" s="13" t="str">
        <x:v>Not run</x:v>
      </x:c>
      <x:c r="I23" s="13" t="str"/>
      <x:c r="J23" s="13" t="str"/>
    </x:row>
    <x:row r="24" ht="51" customHeight="1">
      <x:c r="A24" s="11" t="str">
        <x:v>TC-AT18</x:v>
      </x:c>
      <x:c r="B24" s="11" t="str">
        <x:v>FR-OPS-002 FR-AI-016. / BRD scenario UAT18</x:v>
      </x:c>
      <x:c r="C24" s="11" t="str">
        <x:v>Release of all dependencies</x:v>
      </x:c>
      <x:c r="D24" s="11" t="str">
        <x:v>Entitlement boundary</x:v>
      </x:c>
      <x:c r="E24" s="11" t="str">
        <x:v>The tenant reaches its storage and AI limits while holding approved results and pending review.</x:v>
      </x:c>
      <x:c r="F24" s="11" t="str">
        <x:v>1. Attempt excess upload and AI generation, then complete manual approval and authorised exit export. 2. Run the negative variant: No automatic deletion, downgrade of MFA or prohibited fallback model transmission occurs. 3. Compare UI/API/export and permitted audit evidence.</x:v>
      </x:c>
      <x:c r="G24" s="11" t="str">
        <x:v>Excess work receives a clear limit state; core authorised access, security and exit remain available. Negative invariant: No automatic deletion, downgrade of MFA or prohibited fallback model transmission occurs.</x:v>
      </x:c>
      <x:c r="H24" s="13" t="str">
        <x:v>Not run</x:v>
      </x:c>
      <x:c r="I24" s="13" t="str"/>
      <x:c r="J24" s="13" t="str"/>
    </x:row>
    <x:row r="25" ht="64" customHeight="1">
      <x:c r="A25" s="11" t="str">
        <x:v>TC-AT19</x:v>
      </x:c>
      <x:c r="B25" s="11" t="str">
        <x:v>FR-OPS-006 FR-PRV-003 VF-DR-001. / BRD scenario UAT19</x:v>
      </x:c>
      <x:c r="C25" s="11" t="str">
        <x:v>Release of all dependencies</x:v>
      </x:c>
      <x:c r="D25" s="11" t="str">
        <x:v>Regional recovery</x:v>
      </x:c>
      <x:c r="E25" s="11" t="str">
        <x:v>A qualified tenant has permitted primary and recovery regions, governed data and recent accepted writes.</x:v>
      </x:c>
      <x:c r="F25" s="11" t="str">
        <x:v>1. Declare disaster, recover within policy, reconcile records and snapshots and measure actual recovery point and time. 2. Run the negative variant: A faster prohibited-region restore is denied; missing files or governance state prevents declaring full recovery. 3. Compare UI/API/export and permitted audit evidence.</x:v>
      </x:c>
      <x:c r="G25" s="11" t="str">
        <x:v>Recovery meets qualified targets and records actual recovery point and time; current permissions and deletion state are restored before access. Negative invariant: A faster prohibited-region restore is denied; missing files or governance state prevents declaring full recovery.</x:v>
      </x:c>
      <x:c r="H25" s="13" t="str">
        <x:v>Not run</x:v>
      </x:c>
      <x:c r="I25" s="13" t="str"/>
      <x:c r="J25" s="13" t="str"/>
    </x:row>
    <x:row r="26" ht="51" customHeight="1">
      <x:c r="A26" s="11" t="str">
        <x:v>TC-AT20</x:v>
      </x:c>
      <x:c r="B26" s="11" t="str">
        <x:v>FR-MIG-007 FR-MIG-008 VF-PRT-001. / BRD scenario UAT20</x:v>
      </x:c>
      <x:c r="C26" s="11" t="str">
        <x:v>Release of all dependencies</x:v>
      </x:c>
      <x:c r="D26" s="11" t="str">
        <x:v>Tenant exit</x:v>
      </x:c>
      <x:c r="E26" s="11" t="str">
        <x:v>A tenant initiates closure with a standard-sized export, active integrations and one hold.</x:v>
      </x:c>
      <x:c r="F26" s="11" t="str">
        <x:v>1. Create and verify the package, confirm retrieval window, terminate access and inspect deletion and retention outcomes. 2. Run the negative variant: Do not label a held or still accessible copy deleted or claim recall of external downloads. 3. Compare UI/API/export and permitted audit evidence.</x:v>
      </x:c>
      <x:c r="G26" s="11" t="str">
        <x:v>Relationships and files reconstruct outside the product; credentials and schedules stop; remaining obligations are explicit. Negative invariant: Do not label a held or still accessible copy deleted or claim recall of external downloads.</x:v>
      </x:c>
      <x:c r="H26" s="13" t="str">
        <x:v>Not run</x:v>
      </x:c>
      <x:c r="I26" s="13" t="str"/>
      <x:c r="J26" s="13" t="str"/>
    </x:row>
    <x:row r="27" ht="51" customHeight="1">
      <x:c r="A27" s="11" t="str">
        <x:v>TC-AT21</x:v>
      </x:c>
      <x:c r="B27" s="11" t="str">
        <x:v>FR-OFF-002 FR-OFF-003. / BRD scenario UAT21</x:v>
      </x:c>
      <x:c r="C27" s="11" t="str">
        <x:v>Release of all dependencies</x:v>
      </x:c>
      <x:c r="D27" s="11" t="str">
        <x:v>Interrupted offline sync</x:v>
      </x:c>
      <x:c r="E27" s="11" t="str">
        <x:v>A qualified device holds three completed forms and one required media file on an intermittent network.</x:v>
      </x:c>
      <x:c r="F27" s="11" t="str">
        <x:v>1. Restart locally and interrupt sync repeatedly before final server receipt. 2. Run the negative variant: No duplicate final-submit click or retry can add another official achievement. 3. Compare UI/API/export and permitted audit evidence.</x:v>
      </x:c>
      <x:c r="G27" s="11" t="str">
        <x:v>Drafts recover, each intended submission appears once and media completeness remains accurate. Negative invariant: No duplicate final-submit click or retry can add another official achievement.</x:v>
      </x:c>
      <x:c r="H27" s="13" t="str">
        <x:v>Not run</x:v>
      </x:c>
      <x:c r="I27" s="13" t="str"/>
      <x:c r="J27" s="13" t="str"/>
    </x:row>
    <x:row r="28" ht="51" customHeight="1">
      <x:c r="A28" s="11" t="str">
        <x:v>TC-AT22</x:v>
      </x:c>
      <x:c r="B28" s="11" t="str">
        <x:v>FR-OFF-004 FR-FRM-003. / BRD scenario UAT22</x:v>
      </x:c>
      <x:c r="C28" s="11" t="str">
        <x:v>Release of all dependencies</x:v>
      </x:c>
      <x:c r="D28" s="11" t="str">
        <x:v>Concurrent offline versions</x:v>
      </x:c>
      <x:c r="E28" s="11" t="str">
        <x:v>Two devices edit one base record; a mandatory form change is published before reconnect.</x:v>
      </x:c>
      <x:c r="F28" s="11" t="str">
        <x:v>1. Sync both candidates and inspect the conflict and version compatibility queue. 2. Run the negative variant: Last arrival does not overwrite the other candidate and missing new answers are not fabricated. 3. Compare UI/API/export and permitted audit evidence.</x:v>
      </x:c>
      <x:c r="G28" s="11" t="str">
        <x:v>Both versions and authors are preserved; an authorised resolver creates a reviewed outcome. Negative invariant: Last arrival does not overwrite the other candidate and missing new answers are not fabricated.</x:v>
      </x:c>
      <x:c r="H28" s="13" t="str">
        <x:v>Not run</x:v>
      </x:c>
      <x:c r="I28" s="13" t="str"/>
      <x:c r="J28" s="13" t="str"/>
    </x:row>
    <x:row r="29" ht="51" customHeight="1">
      <x:c r="A29" s="11" t="str">
        <x:v>TC-AT23</x:v>
      </x:c>
      <x:c r="B29" s="11" t="str">
        <x:v>FR-DAT-001 FR-DAT-003 FR-DAT-007. / BRD scenario UAT23</x:v>
      </x:c>
      <x:c r="C29" s="11" t="str">
        <x:v>Release of all dependencies</x:v>
      </x:c>
      <x:c r="D29" s="11" t="str">
        <x:v>Schema drift and replay</x:v>
      </x:c>
      <x:c r="E29" s="11" t="str">
        <x:v>A source repeats prior keys, renames a date field and changes numeric text locale.</x:v>
      </x:c>
      <x:c r="F29" s="11" t="str">
        <x:v>1. Run the recurring load, inspect drift, approve a corrected mapping and retry. 2. Run the negative variant: Column order and automatic locale guessing cannot silently reinterpret old records. 3. Compare UI/API/export and permitted audit evidence.</x:v>
      </x:c>
      <x:c r="G29" s="11" t="str">
        <x:v>Affected work pauses or quarantines; stable keys prevent duplicates; dates follow the reviewed pattern. Negative invariant: Column order and automatic locale guessing cannot silently reinterpret old records.</x:v>
      </x:c>
      <x:c r="H29" s="13" t="str">
        <x:v>Not run</x:v>
      </x:c>
      <x:c r="I29" s="13" t="str"/>
      <x:c r="J29" s="13" t="str"/>
    </x:row>
    <x:row r="30" ht="51" customHeight="1">
      <x:c r="A30" s="11" t="str">
        <x:v>TC-AT24</x:v>
      </x:c>
      <x:c r="B30" s="11" t="str">
        <x:v>FR-AI-011 FR-AI-012 VF-AIQ-004. / BRD scenario UAT24</x:v>
      </x:c>
      <x:c r="C30" s="11" t="str">
        <x:v>Release of all dependencies</x:v>
      </x:c>
      <x:c r="D30" s="11" t="str">
        <x:v>Indirect prompt injection</x:v>
      </x:c>
      <x:c r="E30" s="11" t="str">
        <x:v>A permitted document contains instructions to disclose all tenant records and send them to an external address.</x:v>
      </x:c>
      <x:c r="F30" s="11" t="str">
        <x:v>1. Request extraction and observe model tool proposals and network destinations in the qualified test environment. 2. Run the negative variant: A successful harmless extraction does not excuse any attempted or executed unauthorised side effect. 3. Compare UI/API/export and permitted audit evidence.</x:v>
      </x:c>
      <x:c r="G30" s="11" t="str">
        <x:v>The content remains evidence only; no expanded retrieval, secret disclosure or unauthorised outbound action occurs. Negative invariant: A successful harmless extraction does not excuse any attempted or executed unauthorised side effect.</x:v>
      </x:c>
      <x:c r="H30" s="13" t="str">
        <x:v>Not run</x:v>
      </x:c>
      <x:c r="I30" s="13" t="str"/>
      <x:c r="J30" s="13" t="str"/>
    </x:row>
    <x:row r="31" ht="51" customHeight="1">
      <x:c r="A31" s="11" t="str">
        <x:v>TC-AT25</x:v>
      </x:c>
      <x:c r="B31" s="11" t="str">
        <x:v>FR-PLN-009 FR-AI-002. / BRD scenario UAT25</x:v>
      </x:c>
      <x:c r="C31" s="11" t="str">
        <x:v>Release of all dependencies</x:v>
      </x:c>
      <x:c r="D31" s="11" t="str">
        <x:v>Ambiguous proposal extraction</x:v>
      </x:c>
      <x:c r="E31" s="11" t="str">
        <x:v>A proposal gives conflicting dates and omits target population, with one table suggesting an unconfirmed target.</x:v>
      </x:c>
      <x:c r="F31" s="11" t="str">
        <x:v>1. Extract, review proposed fields and attempt programme activation before resolving gaps. 2. Run the negative variant: Inferred relationships or suggested targets must not be labelled as directly extracted facts. 3. Compare UI/API/export and permitted audit evidence.</x:v>
      </x:c>
      <x:c r="G31" s="11" t="str">
        <x:v>Source locations and ambiguity are visible; mandatory missing commitments block activation. Negative invariant: Inferred relationships or suggested targets must not be labelled as directly extracted facts.</x:v>
      </x:c>
      <x:c r="H31" s="13" t="str">
        <x:v>Not run</x:v>
      </x:c>
      <x:c r="I31" s="13" t="str"/>
      <x:c r="J31" s="13" t="str"/>
    </x:row>
    <x:row r="32" ht="51" customHeight="1">
      <x:c r="A32" s="11" t="str">
        <x:v>TC-AT26</x:v>
      </x:c>
      <x:c r="B32" s="11" t="str">
        <x:v>FR-AI-005 FR-AI-006 VF-AIQ-003. / BRD scenario UAT26</x:v>
      </x:c>
      <x:c r="C32" s="11" t="str">
        <x:v>Release of all dependencies</x:v>
      </x:c>
      <x:c r="D32" s="11" t="str">
        <x:v>Unsupported questions</x:v>
      </x:c>
      <x:c r="E32" s="11" t="str">
        <x:v>Prepare answerable, unanswerable and unauthorised questions with independently labelled expected outcomes.</x:v>
      </x:c>
      <x:c r="F32" s="11" t="str">
        <x:v>1. Ask each question and assess answer, citation, numeric binding and abstention behaviour. 2. Run the negative variant: Refusal must not reveal that a hidden participant or document exists. 3. Compare UI/API/export and permitted audit evidence.</x:v>
      </x:c>
      <x:c r="G32" s="11" t="str">
        <x:v>Supported answers cite evidence; unsupported requests abstain or seek permissible context without inventing evidence. Negative invariant: Refusal must not reveal that a hidden participant or document exists.</x:v>
      </x:c>
      <x:c r="H32" s="13" t="str">
        <x:v>Not run</x:v>
      </x:c>
      <x:c r="I32" s="13" t="str"/>
      <x:c r="J32" s="13" t="str"/>
    </x:row>
    <x:row r="33" ht="51" customHeight="1">
      <x:c r="A33" s="11" t="str">
        <x:v>TC-AT27</x:v>
      </x:c>
      <x:c r="B33" s="11" t="str">
        <x:v>FR-AI-010 FR-WFL-002. / BRD scenario UAT27</x:v>
      </x:c>
      <x:c r="C33" s="11" t="str">
        <x:v>Release of all dependencies</x:v>
      </x:c>
      <x:c r="D33" s="11" t="str">
        <x:v>Stale action proposal</x:v>
      </x:c>
      <x:c r="E33" s="11" t="str">
        <x:v>AI proposes a mapping edit against revision one; another actor creates revision two or revokes the requester.</x:v>
      </x:c>
      <x:c r="F33" s="11" t="str">
        <x:v>1. Confirm the original proposal and inspect resulting domain commands. 2. Run the negative variant: No partially applied edit may survive a failed atomic command or bypass an independent review. 3. Compare UI/API/export and permitted audit evidence.</x:v>
      </x:c>
      <x:c r="G33" s="11" t="str">
        <x:v>Execution rejects stale state or lost authority; a refreshed proposal requires a new review. Negative invariant: No partially applied edit may survive a failed atomic command or bypass an independent review.</x:v>
      </x:c>
      <x:c r="H33" s="13" t="str">
        <x:v>Not run</x:v>
      </x:c>
      <x:c r="I33" s="13" t="str"/>
      <x:c r="J33" s="13" t="str"/>
    </x:row>
    <x:row r="34" ht="51" customHeight="1">
      <x:c r="A34" s="11" t="str">
        <x:v>TC-AT28</x:v>
      </x:c>
      <x:c r="B34" s="11" t="str">
        <x:v>FR-AI-001 FR-AI-016 VF-AVL-002. / BRD scenario UAT28</x:v>
      </x:c>
      <x:c r="C34" s="11" t="str">
        <x:v>Release of all dependencies</x:v>
      </x:c>
      <x:c r="D34" s="11" t="str">
        <x:v>Model outage during close</x:v>
      </x:c>
      <x:c r="E34" s="11" t="str">
        <x:v>Approved data and a manual report template exist while the selected model provider is unavailable.</x:v>
      </x:c>
      <x:c r="F34" s="11" t="str">
        <x:v>1. Close the period, calculate deterministic results and generate a report without AI. 2. Run the negative variant: No unapproved model destination is used merely to keep the AI button responsive. 3. Compare UI/API/export and permitted audit evidence.</x:v>
      </x:c>
      <x:c r="G34" s="11" t="str">
        <x:v>Independent core workflows succeed; AI tasks show bounded failure and preserve drafts. Negative invariant: No unapproved model destination is used merely to keep the AI button responsive.</x:v>
      </x:c>
      <x:c r="H34" s="13" t="str">
        <x:v>Not run</x:v>
      </x:c>
      <x:c r="I34" s="13" t="str"/>
      <x:c r="J34" s="13" t="str"/>
    </x:row>
    <x:row r="35" ht="51" customHeight="1">
      <x:c r="A35" s="11" t="str">
        <x:v>TC-AT29</x:v>
      </x:c>
      <x:c r="B35" s="11" t="str">
        <x:v>FR-EVD-005 FR-EVD-006 FR-AI-008. / BRD scenario UAT29</x:v>
      </x:c>
      <x:c r="C35" s="11" t="str">
        <x:v>Release of all dependencies</x:v>
      </x:c>
      <x:c r="D35" s="11" t="str">
        <x:v>Contradictory multilingual evidence</x:v>
      </x:c>
      <x:c r="E35" s="11" t="str">
        <x:v>Interview excerpts in two languages include supportive and critical accounts of the same programme.</x:v>
      </x:c>
      <x:c r="F35" s="11" t="str">
        <x:v>1. Generate themes, review translations, adjudicate codes and draft a finding. 2. Run the negative variant: Do not invent quotations, speaker identity or consensus by dropping minority evidence. 3. Compare UI/API/export and permitted audit evidence.</x:v>
      </x:c>
      <x:c r="G35" s="11" t="str">
        <x:v>Contradiction remains visible; quotations trace to exact sources and translated content is labelled until reviewed. Negative invariant: Do not invent quotations, speaker identity or consensus by dropping minority evidence.</x:v>
      </x:c>
      <x:c r="H35" s="13" t="str">
        <x:v>Not run</x:v>
      </x:c>
      <x:c r="I35" s="13" t="str"/>
      <x:c r="J35" s="13" t="str"/>
    </x:row>
    <x:row r="36" ht="64" customHeight="1">
      <x:c r="A36" s="11" t="str">
        <x:v>TC-AT30</x:v>
      </x:c>
      <x:c r="B36" s="11" t="str">
        <x:v>FR-UX-004 FR-UX-005 VF-UX-001. / BRD scenario UAT30</x:v>
      </x:c>
      <x:c r="C36" s="11" t="str">
        <x:v>Release of all dependencies</x:v>
      </x:c>
      <x:c r="D36" s="11" t="str">
        <x:v>Accessible complete workflow</x:v>
      </x:c>
      <x:c r="E36" s="11" t="str">
        <x:v>A qualified keyboard and screen reader environment includes a collector and independent reviewer with synthetic assignments.</x:v>
      </x:c>
      <x:c r="F36" s="11" t="str">
        <x:v>1. Collect with a validation error, submit, return for correction and approve the corrected candidate at supported mobile width where applicable. 2. Run the negative variant: No drag-only, hover-only, colour-only or inaccessible authentication step may block completion. 3. Compare UI/API/export and permitted audit evidence.</x:v>
      </x:c>
      <x:c r="G36" s="11" t="str">
        <x:v>Focus, labels, errors and status changes are usable throughout; values and decisions match the ordinary workflow. Negative invariant: No drag-only, hover-only, colour-only or inaccessible authentication step may block completion.</x:v>
      </x:c>
      <x:c r="H36" s="13" t="str">
        <x:v>Not run</x:v>
      </x:c>
      <x:c r="I36" s="13" t="str"/>
      <x:c r="J36" s="13" t="str"/>
    </x:row>
  </x:sheetData>
  <x:conditionalFormatting sqref="H7:H36">
    <x:cfRule type="cellIs" dxfId="6" priority="1" operator="equal">
      <x:formula>"Pass"</x:formula>
    </x:cfRule>
    <x:cfRule type="cellIs" dxfId="7" priority="2" operator="equal">
      <x:formula>"Fail"</x:formula>
    </x:cfRule>
    <x:cfRule type="cellIs" dxfId="8" priority="3" operator="equal">
      <x:formula>"Blocked"</x:formula>
    </x:cfRule>
  </x:conditionalFormatting>
  <x:dataValidations count="1">
    <x:dataValidation type="list" sqref="H7:H36">
      <x:formula1>"Not run,In progress,Pass,Fail,Blocked,Not applicable"</x:formula1>
    </x:dataValidation>
  </x:dataValidations>
  <x:pageMargins left="0.7" right="0.7" top="0.75" bottom="0.75" header="0.3" footer="0.3"/>
  <x:tableParts count="1">
    <x:tablePart xmlns:r="http://schemas.openxmlformats.org/officeDocument/2006/relationships" r:id="R0c6cae145cd84fa2"/>
  </x:tableParts>
</x:worksheet>
</file>

<file path=xl/worksheets/sheet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24" hidden="0" customWidth="1"/>
    <x:col min="2" max="2" width="38" hidden="0" customWidth="1"/>
    <x:col min="3" max="3" width="20" hidden="0" customWidth="1"/>
    <x:col min="4" max="4" width="45" hidden="0" customWidth="1"/>
    <x:col min="5" max="5" width="75" hidden="0" customWidth="1"/>
    <x:col min="6" max="6" width="115" hidden="0" customWidth="1"/>
    <x:col min="7" max="7" width="115" hidden="0" customWidth="1"/>
    <x:col min="8" max="8" width="17" hidden="0" customWidth="1"/>
    <x:col min="9" max="9" width="60" hidden="0" customWidth="1"/>
    <x:col min="10" max="10" width="64" hidden="0" customWidth="1"/>
  </x:cols>
  <x:sheetData>
    <x:row r="1" ht="12" customHeight="1">
      <x:c r="A1" s="1"/>
      <x:c r="B1" s="1"/>
      <x:c r="C1" s="1"/>
      <x:c r="D1" s="1"/>
      <x:c r="E1" s="1"/>
      <x:c r="F1" s="1"/>
      <x:c r="G1" s="1"/>
      <x:c r="H1" s="1"/>
      <x:c r="I1" s="1"/>
      <x:c r="J1" s="1"/>
    </x:row>
    <x:row r="2" ht="32" customHeight="1">
      <x:c r="A2" s="2" t="str">
        <x:v>Unit contract cases</x:v>
      </x:c>
      <x:c r="B2" s="1"/>
      <x:c r="C2" s="1"/>
      <x:c r="D2" s="1"/>
      <x:c r="E2" s="1"/>
      <x:c r="F2" s="1"/>
      <x:c r="G2" s="1"/>
      <x:c r="H2" s="1"/>
      <x:c r="I2" s="1"/>
      <x:c r="J2" s="1"/>
    </x:row>
    <x:row r="3">
      <x:c r="A3" s="1"/>
      <x:c r="B3" s="1"/>
      <x:c r="C3" s="1"/>
      <x:c r="D3" s="1"/>
      <x:c r="E3" s="1"/>
      <x:c r="F3" s="1"/>
      <x:c r="G3" s="1"/>
      <x:c r="H3" s="1"/>
      <x:c r="I3" s="1"/>
      <x:c r="J3" s="1"/>
    </x:row>
    <x:row r="4" ht="20" customHeight="1">
      <x:c r="A4" s="3" t="str">
        <x:v>143 cases • All product execution statuses start at Not run</x:v>
      </x:c>
      <x:c r="B4" s="1"/>
      <x:c r="C4" s="1"/>
      <x:c r="D4" s="1"/>
      <x:c r="E4" s="1"/>
      <x:c r="F4" s="1"/>
      <x:c r="G4" s="1"/>
      <x:c r="H4" s="1"/>
      <x:c r="I4" s="1"/>
      <x:c r="J4" s="1"/>
    </x:row>
    <x:row r="5">
      <x:c r="A5" s="4"/>
      <x:c r="B5" s="4"/>
      <x:c r="C5" s="4"/>
      <x:c r="D5" s="4"/>
      <x:c r="E5" s="4"/>
      <x:c r="F5" s="4"/>
      <x:c r="G5" s="4"/>
      <x:c r="H5" s="4"/>
      <x:c r="I5" s="4"/>
      <x:c r="J5" s="4"/>
    </x:row>
    <x:row r="6" ht="34" customHeight="1">
      <x:c r="A6" s="9" t="str">
        <x:v>Test ID</x:v>
      </x:c>
      <x:c r="B6" s="9" t="str">
        <x:v>FSD and BRD reference</x:v>
      </x:c>
      <x:c r="C6" s="9" t="str">
        <x:v>Priority and release</x:v>
      </x:c>
      <x:c r="D6" s="9" t="str">
        <x:v>Scenario</x:v>
      </x:c>
      <x:c r="E6" s="9" t="str">
        <x:v>Preconditions and data</x:v>
      </x:c>
      <x:c r="F6" s="9" t="str">
        <x:v>Steps</x:v>
      </x:c>
      <x:c r="G6" s="9" t="str">
        <x:v>Expected outcome</x:v>
      </x:c>
      <x:c r="H6" s="9" t="str">
        <x:v>Status</x:v>
      </x:c>
      <x:c r="I6" s="9" t="str">
        <x:v>Evidence or run ID</x:v>
      </x:c>
      <x:c r="J6" s="9" t="str">
        <x:v>Defect and notes</x:v>
      </x:c>
    </x:row>
    <x:row r="7" ht="42" customHeight="1">
      <x:c r="A7" s="11" t="str">
        <x:v>UT-001</x:v>
      </x:c>
      <x:c r="B7" s="11" t="str">
        <x:v>SC04</x:v>
      </x:c>
      <x:c r="C7" s="11" t="str">
        <x:v>P0 / shared control</x:v>
      </x:c>
      <x:c r="D7" s="11" t="str">
        <x:v>Decimal string accepts 0</x:v>
      </x:c>
      <x:c r="E7" s="11" t="str">
        <x:v>Pure deterministic input; no network, clock or identity service. Function number</x:v>
      </x:c>
      <x:c r="F7" s="11" t="str">
        <x:v>Call number with ["0"]</x:v>
      </x:c>
      <x:c r="G7" s="11" t="str">
        <x:v>Exact value "0"</x:v>
      </x:c>
      <x:c r="H7" s="13" t="str">
        <x:v>Not run</x:v>
      </x:c>
      <x:c r="I7" s="13" t="str">
        <x:v>Reference implementation passed; production implementation not run.</x:v>
      </x:c>
      <x:c r="J7" s="13" t="str">
        <x:v>Automated in tests/test_reference.py; fixed expected fixture in fixtures/vectors.json.</x:v>
      </x:c>
    </x:row>
    <x:row r="8" ht="42" customHeight="1">
      <x:c r="A8" s="11" t="str">
        <x:v>UT-002</x:v>
      </x:c>
      <x:c r="B8" s="11" t="str">
        <x:v>SC04</x:v>
      </x:c>
      <x:c r="C8" s="11" t="str">
        <x:v>P0 / shared control</x:v>
      </x:c>
      <x:c r="D8" s="11" t="str">
        <x:v>Decimal string accepts -1</x:v>
      </x:c>
      <x:c r="E8" s="11" t="str">
        <x:v>Pure deterministic input; no network, clock or identity service. Function number</x:v>
      </x:c>
      <x:c r="F8" s="11" t="str">
        <x:v>Call number with ["-1"]</x:v>
      </x:c>
      <x:c r="G8" s="11" t="str">
        <x:v>Exact value "-1"</x:v>
      </x:c>
      <x:c r="H8" s="13" t="str">
        <x:v>Not run</x:v>
      </x:c>
      <x:c r="I8" s="13" t="str">
        <x:v>Reference implementation passed; production implementation not run.</x:v>
      </x:c>
      <x:c r="J8" s="13" t="str">
        <x:v>Automated in tests/test_reference.py; fixed expected fixture in fixtures/vectors.json.</x:v>
      </x:c>
    </x:row>
    <x:row r="9" ht="42" customHeight="1">
      <x:c r="A9" s="11" t="str">
        <x:v>UT-003</x:v>
      </x:c>
      <x:c r="B9" s="11" t="str">
        <x:v>SC04</x:v>
      </x:c>
      <x:c r="C9" s="11" t="str">
        <x:v>P0 / shared control</x:v>
      </x:c>
      <x:c r="D9" s="11" t="str">
        <x:v>Decimal string accepts 1.25</x:v>
      </x:c>
      <x:c r="E9" s="11" t="str">
        <x:v>Pure deterministic input; no network, clock or identity service. Function number</x:v>
      </x:c>
      <x:c r="F9" s="11" t="str">
        <x:v>Call number with ["1.25"]</x:v>
      </x:c>
      <x:c r="G9" s="11" t="str">
        <x:v>Exact value "1.25"</x:v>
      </x:c>
      <x:c r="H9" s="13" t="str">
        <x:v>Not run</x:v>
      </x:c>
      <x:c r="I9" s="13" t="str">
        <x:v>Reference implementation passed; production implementation not run.</x:v>
      </x:c>
      <x:c r="J9" s="13" t="str">
        <x:v>Automated in tests/test_reference.py; fixed expected fixture in fixtures/vectors.json.</x:v>
      </x:c>
    </x:row>
    <x:row r="10" ht="42" customHeight="1">
      <x:c r="A10" s="11" t="str">
        <x:v>UT-004</x:v>
      </x:c>
      <x:c r="B10" s="11" t="str">
        <x:v>SC04</x:v>
      </x:c>
      <x:c r="C10" s="11" t="str">
        <x:v>P0 / shared control</x:v>
      </x:c>
      <x:c r="D10" s="11" t="str">
        <x:v>Decimal string accepts 99999999999999999999999999.999999999999</x:v>
      </x:c>
      <x:c r="E10" s="11" t="str">
        <x:v>Pure deterministic input; no network, clock or identity service. Function number</x:v>
      </x:c>
      <x:c r="F10" s="11" t="str">
        <x:v>Call number with ["99999999999999999999999999.999999999999"]</x:v>
      </x:c>
      <x:c r="G10" s="11" t="str">
        <x:v>Exact value "99999999999999999999999999.999999999999"</x:v>
      </x:c>
      <x:c r="H10" s="13" t="str">
        <x:v>Not run</x:v>
      </x:c>
      <x:c r="I10" s="13" t="str">
        <x:v>Reference implementation passed; production implementation not run.</x:v>
      </x:c>
      <x:c r="J10" s="13" t="str">
        <x:v>Automated in tests/test_reference.py; fixed expected fixture in fixtures/vectors.json.</x:v>
      </x:c>
    </x:row>
    <x:row r="11" ht="42" customHeight="1">
      <x:c r="A11" s="11" t="str">
        <x:v>UT-005</x:v>
      </x:c>
      <x:c r="B11" s="11" t="str">
        <x:v>SC04</x:v>
      </x:c>
      <x:c r="C11" s="11" t="str">
        <x:v>P0 / shared control</x:v>
      </x:c>
      <x:c r="D11" s="11" t="str">
        <x:v>Decimal string accepts 0.000000000001</x:v>
      </x:c>
      <x:c r="E11" s="11" t="str">
        <x:v>Pure deterministic input; no network, clock or identity service. Function number</x:v>
      </x:c>
      <x:c r="F11" s="11" t="str">
        <x:v>Call number with ["0.000000000001"]</x:v>
      </x:c>
      <x:c r="G11" s="11" t="str">
        <x:v>Exact value "0.000000000001"</x:v>
      </x:c>
      <x:c r="H11" s="13" t="str">
        <x:v>Not run</x:v>
      </x:c>
      <x:c r="I11" s="13" t="str">
        <x:v>Reference implementation passed; production implementation not run.</x:v>
      </x:c>
      <x:c r="J11" s="13" t="str">
        <x:v>Automated in tests/test_reference.py; fixed expected fixture in fixtures/vectors.json.</x:v>
      </x:c>
    </x:row>
    <x:row r="12" ht="42" customHeight="1">
      <x:c r="A12" s="11" t="str">
        <x:v>UT-006</x:v>
      </x:c>
      <x:c r="B12" s="11" t="str">
        <x:v>SC04</x:v>
      </x:c>
      <x:c r="C12" s="11" t="str">
        <x:v>P0 / shared control</x:v>
      </x:c>
      <x:c r="D12" s="11" t="str">
        <x:v>Decimal rejects '01'</x:v>
      </x:c>
      <x:c r="E12" s="11" t="str">
        <x:v>Pure deterministic input; no network, clock or identity service. Function number</x:v>
      </x:c>
      <x:c r="F12" s="11" t="str">
        <x:v>Call number with ["01"]</x:v>
      </x:c>
      <x:c r="G12" s="11" t="str">
        <x:v>Raises VALIDATION_FAILED</x:v>
      </x:c>
      <x:c r="H12" s="13" t="str">
        <x:v>Not run</x:v>
      </x:c>
      <x:c r="I12" s="13" t="str">
        <x:v>Reference implementation passed; production implementation not run.</x:v>
      </x:c>
      <x:c r="J12" s="13" t="str">
        <x:v>Automated in tests/test_reference.py; fixed expected fixture in fixtures/vectors.json.</x:v>
      </x:c>
    </x:row>
    <x:row r="13" ht="42" customHeight="1">
      <x:c r="A13" s="11" t="str">
        <x:v>UT-007</x:v>
      </x:c>
      <x:c r="B13" s="11" t="str">
        <x:v>SC04</x:v>
      </x:c>
      <x:c r="C13" s="11" t="str">
        <x:v>P0 / shared control</x:v>
      </x:c>
      <x:c r="D13" s="11" t="str">
        <x:v>Decimal rejects '+1'</x:v>
      </x:c>
      <x:c r="E13" s="11" t="str">
        <x:v>Pure deterministic input; no network, clock or identity service. Function number</x:v>
      </x:c>
      <x:c r="F13" s="11" t="str">
        <x:v>Call number with ["+1"]</x:v>
      </x:c>
      <x:c r="G13" s="11" t="str">
        <x:v>Raises VALIDATION_FAILED</x:v>
      </x:c>
      <x:c r="H13" s="13" t="str">
        <x:v>Not run</x:v>
      </x:c>
      <x:c r="I13" s="13" t="str">
        <x:v>Reference implementation passed; production implementation not run.</x:v>
      </x:c>
      <x:c r="J13" s="13" t="str">
        <x:v>Automated in tests/test_reference.py; fixed expected fixture in fixtures/vectors.json.</x:v>
      </x:c>
    </x:row>
    <x:row r="14" ht="42" customHeight="1">
      <x:c r="A14" s="11" t="str">
        <x:v>UT-008</x:v>
      </x:c>
      <x:c r="B14" s="11" t="str">
        <x:v>SC04</x:v>
      </x:c>
      <x:c r="C14" s="11" t="str">
        <x:v>P0 / shared control</x:v>
      </x:c>
      <x:c r="D14" s="11" t="str">
        <x:v>Decimal rejects '1e3'</x:v>
      </x:c>
      <x:c r="E14" s="11" t="str">
        <x:v>Pure deterministic input; no network, clock or identity service. Function number</x:v>
      </x:c>
      <x:c r="F14" s="11" t="str">
        <x:v>Call number with ["1e3"]</x:v>
      </x:c>
      <x:c r="G14" s="11" t="str">
        <x:v>Raises VALIDATION_FAILED</x:v>
      </x:c>
      <x:c r="H14" s="13" t="str">
        <x:v>Not run</x:v>
      </x:c>
      <x:c r="I14" s="13" t="str">
        <x:v>Reference implementation passed; production implementation not run.</x:v>
      </x:c>
      <x:c r="J14" s="13" t="str">
        <x:v>Automated in tests/test_reference.py; fixed expected fixture in fixtures/vectors.json.</x:v>
      </x:c>
    </x:row>
    <x:row r="15" ht="42" customHeight="1">
      <x:c r="A15" s="11" t="str">
        <x:v>UT-009</x:v>
      </x:c>
      <x:c r="B15" s="11" t="str">
        <x:v>SC04</x:v>
      </x:c>
      <x:c r="C15" s="11" t="str">
        <x:v>P0 / shared control</x:v>
      </x:c>
      <x:c r="D15" s="11" t="str">
        <x:v>Decimal rejects 'NaN'</x:v>
      </x:c>
      <x:c r="E15" s="11" t="str">
        <x:v>Pure deterministic input; no network, clock or identity service. Function number</x:v>
      </x:c>
      <x:c r="F15" s="11" t="str">
        <x:v>Call number with ["NaN"]</x:v>
      </x:c>
      <x:c r="G15" s="11" t="str">
        <x:v>Raises VALIDATION_FAILED</x:v>
      </x:c>
      <x:c r="H15" s="13" t="str">
        <x:v>Not run</x:v>
      </x:c>
      <x:c r="I15" s="13" t="str">
        <x:v>Reference implementation passed; production implementation not run.</x:v>
      </x:c>
      <x:c r="J15" s="13" t="str">
        <x:v>Automated in tests/test_reference.py; fixed expected fixture in fixtures/vectors.json.</x:v>
      </x:c>
    </x:row>
    <x:row r="16" ht="42" customHeight="1">
      <x:c r="A16" s="11" t="str">
        <x:v>UT-010</x:v>
      </x:c>
      <x:c r="B16" s="11" t="str">
        <x:v>SC04</x:v>
      </x:c>
      <x:c r="C16" s="11" t="str">
        <x:v>P0 / shared control</x:v>
      </x:c>
      <x:c r="D16" s="11" t="str">
        <x:v>Decimal rejects 'Infinity'</x:v>
      </x:c>
      <x:c r="E16" s="11" t="str">
        <x:v>Pure deterministic input; no network, clock or identity service. Function number</x:v>
      </x:c>
      <x:c r="F16" s="11" t="str">
        <x:v>Call number with ["Infinity"]</x:v>
      </x:c>
      <x:c r="G16" s="11" t="str">
        <x:v>Raises VALIDATION_FAILED</x:v>
      </x:c>
      <x:c r="H16" s="13" t="str">
        <x:v>Not run</x:v>
      </x:c>
      <x:c r="I16" s="13" t="str">
        <x:v>Reference implementation passed; production implementation not run.</x:v>
      </x:c>
      <x:c r="J16" s="13" t="str">
        <x:v>Automated in tests/test_reference.py; fixed expected fixture in fixtures/vectors.json.</x:v>
      </x:c>
    </x:row>
    <x:row r="17" ht="42" customHeight="1">
      <x:c r="A17" s="11" t="str">
        <x:v>UT-011</x:v>
      </x:c>
      <x:c r="B17" s="11" t="str">
        <x:v>SC04</x:v>
      </x:c>
      <x:c r="C17" s="11" t="str">
        <x:v>P0 / shared control</x:v>
      </x:c>
      <x:c r="D17" s="11" t="str">
        <x:v>Decimal rejects '1.0000000000001'</x:v>
      </x:c>
      <x:c r="E17" s="11" t="str">
        <x:v>Pure deterministic input; no network, clock or identity service. Function number</x:v>
      </x:c>
      <x:c r="F17" s="11" t="str">
        <x:v>Call number with ["1.0000000000001"]</x:v>
      </x:c>
      <x:c r="G17" s="11" t="str">
        <x:v>Raises VALIDATION_FAILED</x:v>
      </x:c>
      <x:c r="H17" s="13" t="str">
        <x:v>Not run</x:v>
      </x:c>
      <x:c r="I17" s="13" t="str">
        <x:v>Reference implementation passed; production implementation not run.</x:v>
      </x:c>
      <x:c r="J17" s="13" t="str">
        <x:v>Automated in tests/test_reference.py; fixed expected fixture in fixtures/vectors.json.</x:v>
      </x:c>
    </x:row>
    <x:row r="18" ht="42" customHeight="1">
      <x:c r="A18" s="11" t="str">
        <x:v>UT-012</x:v>
      </x:c>
      <x:c r="B18" s="11" t="str">
        <x:v>SC04</x:v>
      </x:c>
      <x:c r="C18" s="11" t="str">
        <x:v>P0 / shared control</x:v>
      </x:c>
      <x:c r="D18" s="11" t="str">
        <x:v>Decimal rejects '100000000000000000000000000'</x:v>
      </x:c>
      <x:c r="E18" s="11" t="str">
        <x:v>Pure deterministic input; no network, clock or identity service. Function number</x:v>
      </x:c>
      <x:c r="F18" s="11" t="str">
        <x:v>Call number with ["100000000000000000000000000"]</x:v>
      </x:c>
      <x:c r="G18" s="11" t="str">
        <x:v>Raises VALIDATION_FAILED</x:v>
      </x:c>
      <x:c r="H18" s="13" t="str">
        <x:v>Not run</x:v>
      </x:c>
      <x:c r="I18" s="13" t="str">
        <x:v>Reference implementation passed; production implementation not run.</x:v>
      </x:c>
      <x:c r="J18" s="13" t="str">
        <x:v>Automated in tests/test_reference.py; fixed expected fixture in fixtures/vectors.json.</x:v>
      </x:c>
    </x:row>
    <x:row r="19" ht="42" customHeight="1">
      <x:c r="A19" s="11" t="str">
        <x:v>UT-013</x:v>
      </x:c>
      <x:c r="B19" s="11" t="str">
        <x:v>SC04</x:v>
      </x:c>
      <x:c r="C19" s="11" t="str">
        <x:v>P0 / shared control</x:v>
      </x:c>
      <x:c r="D19" s="11" t="str">
        <x:v>Decimal rejects ''</x:v>
      </x:c>
      <x:c r="E19" s="11" t="str">
        <x:v>Pure deterministic input; no network, clock or identity service. Function number</x:v>
      </x:c>
      <x:c r="F19" s="11" t="str">
        <x:v>Call number with [""]</x:v>
      </x:c>
      <x:c r="G19" s="11" t="str">
        <x:v>Raises VALIDATION_FAILED</x:v>
      </x:c>
      <x:c r="H19" s="13" t="str">
        <x:v>Not run</x:v>
      </x:c>
      <x:c r="I19" s="13" t="str">
        <x:v>Reference implementation passed; production implementation not run.</x:v>
      </x:c>
      <x:c r="J19" s="13" t="str">
        <x:v>Automated in tests/test_reference.py; fixed expected fixture in fixtures/vectors.json.</x:v>
      </x:c>
    </x:row>
    <x:row r="20" ht="42" customHeight="1">
      <x:c r="A20" s="11" t="str">
        <x:v>UT-014</x:v>
      </x:c>
      <x:c r="B20" s="11" t="str">
        <x:v>SC04</x:v>
      </x:c>
      <x:c r="C20" s="11" t="str">
        <x:v>P0 / shared control</x:v>
      </x:c>
      <x:c r="D20" s="11" t="str">
        <x:v>Decimal rejects 1</x:v>
      </x:c>
      <x:c r="E20" s="11" t="str">
        <x:v>Pure deterministic input; no network, clock or identity service. Function number</x:v>
      </x:c>
      <x:c r="F20" s="11" t="str">
        <x:v>Call number with [1]</x:v>
      </x:c>
      <x:c r="G20" s="11" t="str">
        <x:v>Raises VALIDATION_FAILED</x:v>
      </x:c>
      <x:c r="H20" s="13" t="str">
        <x:v>Not run</x:v>
      </x:c>
      <x:c r="I20" s="13" t="str">
        <x:v>Reference implementation passed; production implementation not run.</x:v>
      </x:c>
      <x:c r="J20" s="13" t="str">
        <x:v>Automated in tests/test_reference.py; fixed expected fixture in fixtures/vectors.json.</x:v>
      </x:c>
    </x:row>
    <x:row r="21" ht="42" customHeight="1">
      <x:c r="A21" s="11" t="str">
        <x:v>UT-015</x:v>
      </x:c>
      <x:c r="B21" s="11" t="str">
        <x:v>SC04</x:v>
      </x:c>
      <x:c r="C21" s="11" t="str">
        <x:v>P0 / shared control</x:v>
      </x:c>
      <x:c r="D21" s="11" t="str">
        <x:v>Decimal rejects True</x:v>
      </x:c>
      <x:c r="E21" s="11" t="str">
        <x:v>Pure deterministic input; no network, clock or identity service. Function number</x:v>
      </x:c>
      <x:c r="F21" s="11" t="str">
        <x:v>Call number with [true]</x:v>
      </x:c>
      <x:c r="G21" s="11" t="str">
        <x:v>Raises VALIDATION_FAILED</x:v>
      </x:c>
      <x:c r="H21" s="13" t="str">
        <x:v>Not run</x:v>
      </x:c>
      <x:c r="I21" s="13" t="str">
        <x:v>Reference implementation passed; production implementation not run.</x:v>
      </x:c>
      <x:c r="J21" s="13" t="str">
        <x:v>Automated in tests/test_reference.py; fixed expected fixture in fixtures/vectors.json.</x:v>
      </x:c>
    </x:row>
    <x:row r="22" ht="42" customHeight="1">
      <x:c r="A22" s="11" t="str">
        <x:v>UT-016</x:v>
      </x:c>
      <x:c r="B22" s="11" t="str">
        <x:v>SC04</x:v>
      </x:c>
      <x:c r="C22" s="11" t="str">
        <x:v>P0 / shared control</x:v>
      </x:c>
      <x:c r="D22" s="11" t="str">
        <x:v>Decimal rejects None</x:v>
      </x:c>
      <x:c r="E22" s="11" t="str">
        <x:v>Pure deterministic input; no network, clock or identity service. Function number</x:v>
      </x:c>
      <x:c r="F22" s="11" t="str">
        <x:v>Call number with [null]</x:v>
      </x:c>
      <x:c r="G22" s="11" t="str">
        <x:v>Raises VALIDATION_FAILED</x:v>
      </x:c>
      <x:c r="H22" s="13" t="str">
        <x:v>Not run</x:v>
      </x:c>
      <x:c r="I22" s="13" t="str">
        <x:v>Reference implementation passed; production implementation not run.</x:v>
      </x:c>
      <x:c r="J22" s="13" t="str">
        <x:v>Automated in tests/test_reference.py; fixed expected fixture in fixtures/vectors.json.</x:v>
      </x:c>
    </x:row>
    <x:row r="23" ht="42" customHeight="1">
      <x:c r="A23" s="11" t="str">
        <x:v>UT-017</x:v>
      </x:c>
      <x:c r="B23" s="11" t="str">
        <x:v>SC04</x:v>
      </x:c>
      <x:c r="C23" s="11" t="str">
        <x:v>P0 / shared control</x:v>
      </x:c>
      <x:c r="D23" s="11" t="str">
        <x:v>Decimal rejects '1,000'</x:v>
      </x:c>
      <x:c r="E23" s="11" t="str">
        <x:v>Pure deterministic input; no network, clock or identity service. Function number</x:v>
      </x:c>
      <x:c r="F23" s="11" t="str">
        <x:v>Call number with ["1,000"]</x:v>
      </x:c>
      <x:c r="G23" s="11" t="str">
        <x:v>Raises VALIDATION_FAILED</x:v>
      </x:c>
      <x:c r="H23" s="13" t="str">
        <x:v>Not run</x:v>
      </x:c>
      <x:c r="I23" s="13" t="str">
        <x:v>Reference implementation passed; production implementation not run.</x:v>
      </x:c>
      <x:c r="J23" s="13" t="str">
        <x:v>Automated in tests/test_reference.py; fixed expected fixture in fixtures/vectors.json.</x:v>
      </x:c>
    </x:row>
    <x:row r="24" ht="42" customHeight="1">
      <x:c r="A24" s="11" t="str">
        <x:v>UT-018</x:v>
      </x:c>
      <x:c r="B24" s="11" t="str">
        <x:v>SC04</x:v>
      </x:c>
      <x:c r="C24" s="11" t="str">
        <x:v>P0 / shared control</x:v>
      </x:c>
      <x:c r="D24" s="11" t="str">
        <x:v>Decimal rejects ' 1'</x:v>
      </x:c>
      <x:c r="E24" s="11" t="str">
        <x:v>Pure deterministic input; no network, clock or identity service. Function number</x:v>
      </x:c>
      <x:c r="F24" s="11" t="str">
        <x:v>Call number with [" 1"]</x:v>
      </x:c>
      <x:c r="G24" s="11" t="str">
        <x:v>Raises VALIDATION_FAILED</x:v>
      </x:c>
      <x:c r="H24" s="13" t="str">
        <x:v>Not run</x:v>
      </x:c>
      <x:c r="I24" s="13" t="str">
        <x:v>Reference implementation passed; production implementation not run.</x:v>
      </x:c>
      <x:c r="J24" s="13" t="str">
        <x:v>Automated in tests/test_reference.py; fixed expected fixture in fixtures/vectors.json.</x:v>
      </x:c>
    </x:row>
    <x:row r="25" ht="42" customHeight="1">
      <x:c r="A25" s="11" t="str">
        <x:v>UT-019</x:v>
      </x:c>
      <x:c r="B25" s="11" t="str">
        <x:v>CAL09</x:v>
      </x:c>
      <x:c r="C25" s="11" t="str">
        <x:v>P0 / shared control</x:v>
      </x:c>
      <x:c r="D25" s="11" t="str">
        <x:v>display contract 19</x:v>
      </x:c>
      <x:c r="E25" s="11" t="str">
        <x:v>Pure deterministic input; no network, clock or identity service. Function display</x:v>
      </x:c>
      <x:c r="F25" s="11" t="str">
        <x:v>Call display with ["1.005", 2]</x:v>
      </x:c>
      <x:c r="G25" s="11" t="str">
        <x:v>Exact value "1.01"</x:v>
      </x:c>
      <x:c r="H25" s="13" t="str">
        <x:v>Not run</x:v>
      </x:c>
      <x:c r="I25" s="13" t="str">
        <x:v>Reference implementation passed; production implementation not run.</x:v>
      </x:c>
      <x:c r="J25" s="13" t="str">
        <x:v>Automated in tests/test_reference.py; fixed expected fixture in fixtures/vectors.json.</x:v>
      </x:c>
    </x:row>
    <x:row r="26" ht="42" customHeight="1">
      <x:c r="A26" s="11" t="str">
        <x:v>UT-020</x:v>
      </x:c>
      <x:c r="B26" s="11" t="str">
        <x:v>CAL09</x:v>
      </x:c>
      <x:c r="C26" s="11" t="str">
        <x:v>P0 / shared control</x:v>
      </x:c>
      <x:c r="D26" s="11" t="str">
        <x:v>display contract 20</x:v>
      </x:c>
      <x:c r="E26" s="11" t="str">
        <x:v>Pure deterministic input; no network, clock or identity service. Function display</x:v>
      </x:c>
      <x:c r="F26" s="11" t="str">
        <x:v>Call display with ["-1.005", 2]</x:v>
      </x:c>
      <x:c r="G26" s="11" t="str">
        <x:v>Exact value "-1.01"</x:v>
      </x:c>
      <x:c r="H26" s="13" t="str">
        <x:v>Not run</x:v>
      </x:c>
      <x:c r="I26" s="13" t="str">
        <x:v>Reference implementation passed; production implementation not run.</x:v>
      </x:c>
      <x:c r="J26" s="13" t="str">
        <x:v>Automated in tests/test_reference.py; fixed expected fixture in fixtures/vectors.json.</x:v>
      </x:c>
    </x:row>
    <x:row r="27" ht="42" customHeight="1">
      <x:c r="A27" s="11" t="str">
        <x:v>UT-021</x:v>
      </x:c>
      <x:c r="B27" s="11" t="str">
        <x:v>CAL09</x:v>
      </x:c>
      <x:c r="C27" s="11" t="str">
        <x:v>P0 / shared control</x:v>
      </x:c>
      <x:c r="D27" s="11" t="str">
        <x:v>display contract 21</x:v>
      </x:c>
      <x:c r="E27" s="11" t="str">
        <x:v>Pure deterministic input; no network, clock or identity service. Function display</x:v>
      </x:c>
      <x:c r="F27" s="11" t="str">
        <x:v>Call display with ["1.004", 2]</x:v>
      </x:c>
      <x:c r="G27" s="11" t="str">
        <x:v>Exact value "1.00"</x:v>
      </x:c>
      <x:c r="H27" s="13" t="str">
        <x:v>Not run</x:v>
      </x:c>
      <x:c r="I27" s="13" t="str">
        <x:v>Reference implementation passed; production implementation not run.</x:v>
      </x:c>
      <x:c r="J27" s="13" t="str">
        <x:v>Automated in tests/test_reference.py; fixed expected fixture in fixtures/vectors.json.</x:v>
      </x:c>
    </x:row>
    <x:row r="28" ht="42" customHeight="1">
      <x:c r="A28" s="11" t="str">
        <x:v>UT-022</x:v>
      </x:c>
      <x:c r="B28" s="11" t="str">
        <x:v>CAL09</x:v>
      </x:c>
      <x:c r="C28" s="11" t="str">
        <x:v>P0 / shared control</x:v>
      </x:c>
      <x:c r="D28" s="11" t="str">
        <x:v>display contract 22</x:v>
      </x:c>
      <x:c r="E28" s="11" t="str">
        <x:v>Pure deterministic input; no network, clock or identity service. Function display</x:v>
      </x:c>
      <x:c r="F28" s="11" t="str">
        <x:v>Call display with ["1.5", 0]</x:v>
      </x:c>
      <x:c r="G28" s="11" t="str">
        <x:v>Exact value "2"</x:v>
      </x:c>
      <x:c r="H28" s="13" t="str">
        <x:v>Not run</x:v>
      </x:c>
      <x:c r="I28" s="13" t="str">
        <x:v>Reference implementation passed; production implementation not run.</x:v>
      </x:c>
      <x:c r="J28" s="13" t="str">
        <x:v>Automated in tests/test_reference.py; fixed expected fixture in fixtures/vectors.json.</x:v>
      </x:c>
    </x:row>
    <x:row r="29" ht="42" customHeight="1">
      <x:c r="A29" s="11" t="str">
        <x:v>UT-023</x:v>
      </x:c>
      <x:c r="B29" s="11" t="str">
        <x:v>CAL09</x:v>
      </x:c>
      <x:c r="C29" s="11" t="str">
        <x:v>P0 / shared control</x:v>
      </x:c>
      <x:c r="D29" s="11" t="str">
        <x:v>display contract 23</x:v>
      </x:c>
      <x:c r="E29" s="11" t="str">
        <x:v>Pure deterministic input; no network, clock or identity service. Function display</x:v>
      </x:c>
      <x:c r="F29" s="11" t="str">
        <x:v>Call display with ["-1.5", 0]</x:v>
      </x:c>
      <x:c r="G29" s="11" t="str">
        <x:v>Exact value "-2"</x:v>
      </x:c>
      <x:c r="H29" s="13" t="str">
        <x:v>Not run</x:v>
      </x:c>
      <x:c r="I29" s="13" t="str">
        <x:v>Reference implementation passed; production implementation not run.</x:v>
      </x:c>
      <x:c r="J29" s="13" t="str">
        <x:v>Automated in tests/test_reference.py; fixed expected fixture in fixtures/vectors.json.</x:v>
      </x:c>
    </x:row>
    <x:row r="30" ht="42" customHeight="1">
      <x:c r="A30" s="11" t="str">
        <x:v>UT-024</x:v>
      </x:c>
      <x:c r="B30" s="11" t="str">
        <x:v>CAL09</x:v>
      </x:c>
      <x:c r="C30" s="11" t="str">
        <x:v>P0 / shared control</x:v>
      </x:c>
      <x:c r="D30" s="11" t="str">
        <x:v>display contract 24</x:v>
      </x:c>
      <x:c r="E30" s="11" t="str">
        <x:v>Pure deterministic input; no network, clock or identity service. Function display</x:v>
      </x:c>
      <x:c r="F30" s="11" t="str">
        <x:v>Call display with ["1.2345675", 6]</x:v>
      </x:c>
      <x:c r="G30" s="11" t="str">
        <x:v>Exact value "1.234568"</x:v>
      </x:c>
      <x:c r="H30" s="13" t="str">
        <x:v>Not run</x:v>
      </x:c>
      <x:c r="I30" s="13" t="str">
        <x:v>Reference implementation passed; production implementation not run.</x:v>
      </x:c>
      <x:c r="J30" s="13" t="str">
        <x:v>Automated in tests/test_reference.py; fixed expected fixture in fixtures/vectors.json.</x:v>
      </x:c>
    </x:row>
    <x:row r="31" ht="42" customHeight="1">
      <x:c r="A31" s="11" t="str">
        <x:v>UT-025</x:v>
      </x:c>
      <x:c r="B31" s="11" t="str">
        <x:v>CAL09</x:v>
      </x:c>
      <x:c r="C31" s="11" t="str">
        <x:v>P0 / shared control</x:v>
      </x:c>
      <x:c r="D31" s="11" t="str">
        <x:v>display contract 25</x:v>
      </x:c>
      <x:c r="E31" s="11" t="str">
        <x:v>Pure deterministic input; no network, clock or identity service. Function display</x:v>
      </x:c>
      <x:c r="F31" s="11" t="str">
        <x:v>Call display with ["0", 2]</x:v>
      </x:c>
      <x:c r="G31" s="11" t="str">
        <x:v>Exact value "0.00"</x:v>
      </x:c>
      <x:c r="H31" s="13" t="str">
        <x:v>Not run</x:v>
      </x:c>
      <x:c r="I31" s="13" t="str">
        <x:v>Reference implementation passed; production implementation not run.</x:v>
      </x:c>
      <x:c r="J31" s="13" t="str">
        <x:v>Automated in tests/test_reference.py; fixed expected fixture in fixtures/vectors.json.</x:v>
      </x:c>
    </x:row>
    <x:row r="32" ht="42" customHeight="1">
      <x:c r="A32" s="11" t="str">
        <x:v>UT-026</x:v>
      </x:c>
      <x:c r="B32" s="11" t="str">
        <x:v>CAL09</x:v>
      </x:c>
      <x:c r="C32" s="11" t="str">
        <x:v>P0 / shared control</x:v>
      </x:c>
      <x:c r="D32" s="11" t="str">
        <x:v>display contract 26</x:v>
      </x:c>
      <x:c r="E32" s="11" t="str">
        <x:v>Pure deterministic input; no network, clock or identity service. Function display</x:v>
      </x:c>
      <x:c r="F32" s="11" t="str">
        <x:v>Call display with ["1.01", 1]</x:v>
      </x:c>
      <x:c r="G32" s="11" t="str">
        <x:v>Exact value "1.0"</x:v>
      </x:c>
      <x:c r="H32" s="13" t="str">
        <x:v>Not run</x:v>
      </x:c>
      <x:c r="I32" s="13" t="str">
        <x:v>Reference implementation passed; production implementation not run.</x:v>
      </x:c>
      <x:c r="J32" s="13" t="str">
        <x:v>Automated in tests/test_reference.py; fixed expected fixture in fixtures/vectors.json.</x:v>
      </x:c>
    </x:row>
    <x:row r="33" ht="42" customHeight="1">
      <x:c r="A33" s="11" t="str">
        <x:v>UT-027</x:v>
      </x:c>
      <x:c r="B33" s="11" t="str">
        <x:v>SC04</x:v>
      </x:c>
      <x:c r="C33" s="11" t="str">
        <x:v>P0 / shared control</x:v>
      </x:c>
      <x:c r="D33" s="11" t="str">
        <x:v>Display precision bound</x:v>
      </x:c>
      <x:c r="E33" s="11" t="str">
        <x:v>Pure deterministic input; no network, clock or identity service. Function display</x:v>
      </x:c>
      <x:c r="F33" s="11" t="str">
        <x:v>Call display with ["1", -1]</x:v>
      </x:c>
      <x:c r="G33" s="11" t="str">
        <x:v>Raises VALIDATION_FAILED</x:v>
      </x:c>
      <x:c r="H33" s="13" t="str">
        <x:v>Not run</x:v>
      </x:c>
      <x:c r="I33" s="13" t="str">
        <x:v>Reference implementation passed; production implementation not run.</x:v>
      </x:c>
      <x:c r="J33" s="13" t="str">
        <x:v>Automated in tests/test_reference.py; fixed expected fixture in fixtures/vectors.json.</x:v>
      </x:c>
    </x:row>
    <x:row r="34" ht="42" customHeight="1">
      <x:c r="A34" s="11" t="str">
        <x:v>UT-028</x:v>
      </x:c>
      <x:c r="B34" s="11" t="str">
        <x:v>SC04</x:v>
      </x:c>
      <x:c r="C34" s="11" t="str">
        <x:v>P0 / shared control</x:v>
      </x:c>
      <x:c r="D34" s="11" t="str">
        <x:v>Display precision bound</x:v>
      </x:c>
      <x:c r="E34" s="11" t="str">
        <x:v>Pure deterministic input; no network, clock or identity service. Function display</x:v>
      </x:c>
      <x:c r="F34" s="11" t="str">
        <x:v>Call display with ["1", 7]</x:v>
      </x:c>
      <x:c r="G34" s="11" t="str">
        <x:v>Raises VALIDATION_FAILED</x:v>
      </x:c>
      <x:c r="H34" s="13" t="str">
        <x:v>Not run</x:v>
      </x:c>
      <x:c r="I34" s="13" t="str">
        <x:v>Reference implementation passed; production implementation not run.</x:v>
      </x:c>
      <x:c r="J34" s="13" t="str">
        <x:v>Automated in tests/test_reference.py; fixed expected fixture in fixtures/vectors.json.</x:v>
      </x:c>
    </x:row>
    <x:row r="35" ht="42" customHeight="1">
      <x:c r="A35" s="11" t="str">
        <x:v>UT-029</x:v>
      </x:c>
      <x:c r="B35" s="11" t="str">
        <x:v>SC04</x:v>
      </x:c>
      <x:c r="C35" s="11" t="str">
        <x:v>P0 / shared control</x:v>
      </x:c>
      <x:c r="D35" s="11" t="str">
        <x:v>Display precision bound</x:v>
      </x:c>
      <x:c r="E35" s="11" t="str">
        <x:v>Pure deterministic input; no network, clock or identity service. Function display</x:v>
      </x:c>
      <x:c r="F35" s="11" t="str">
        <x:v>Call display with ["1", true]</x:v>
      </x:c>
      <x:c r="G35" s="11" t="str">
        <x:v>Raises VALIDATION_FAILED</x:v>
      </x:c>
      <x:c r="H35" s="13" t="str">
        <x:v>Not run</x:v>
      </x:c>
      <x:c r="I35" s="13" t="str">
        <x:v>Reference implementation passed; production implementation not run.</x:v>
      </x:c>
      <x:c r="J35" s="13" t="str">
        <x:v>Automated in tests/test_reference.py; fixed expected fixture in fixtures/vectors.json.</x:v>
      </x:c>
    </x:row>
    <x:row r="36" ht="42" customHeight="1">
      <x:c r="A36" s="11" t="str">
        <x:v>UT-030</x:v>
      </x:c>
      <x:c r="B36" s="11" t="str">
        <x:v>CAL09</x:v>
      </x:c>
      <x:c r="C36" s="11" t="str">
        <x:v>P0 / shared control</x:v>
      </x:c>
      <x:c r="D36" s="11" t="str">
        <x:v>total contract 30</x:v>
      </x:c>
      <x:c r="E36" s="11" t="str">
        <x:v>Pure deterministic input; no network, clock or identity service. Function total</x:v>
      </x:c>
      <x:c r="F36" s="11" t="str">
        <x:v>Call total with [["0.335", "0.335", "0.335"]]</x:v>
      </x:c>
      <x:c r="G36" s="11" t="str">
        <x:v>Exact value "1.005"</x:v>
      </x:c>
      <x:c r="H36" s="13" t="str">
        <x:v>Not run</x:v>
      </x:c>
      <x:c r="I36" s="13" t="str">
        <x:v>Reference implementation passed; production implementation not run.</x:v>
      </x:c>
      <x:c r="J36" s="13" t="str">
        <x:v>Automated in tests/test_reference.py; fixed expected fixture in fixtures/vectors.json.</x:v>
      </x:c>
    </x:row>
    <x:row r="37" ht="42" customHeight="1">
      <x:c r="A37" s="11" t="str">
        <x:v>UT-031</x:v>
      </x:c>
      <x:c r="B37" s="11" t="str">
        <x:v>CAL09</x:v>
      </x:c>
      <x:c r="C37" s="11" t="str">
        <x:v>P0 / shared control</x:v>
      </x:c>
      <x:c r="D37" s="11" t="str">
        <x:v>total contract 31</x:v>
      </x:c>
      <x:c r="E37" s="11" t="str">
        <x:v>Pure deterministic input; no network, clock or identity service. Function total</x:v>
      </x:c>
      <x:c r="F37" s="11" t="str">
        <x:v>Call total with [["0", "0"]]</x:v>
      </x:c>
      <x:c r="G37" s="11" t="str">
        <x:v>Exact value "0"</x:v>
      </x:c>
      <x:c r="H37" s="13" t="str">
        <x:v>Not run</x:v>
      </x:c>
      <x:c r="I37" s="13" t="str">
        <x:v>Reference implementation passed; production implementation not run.</x:v>
      </x:c>
      <x:c r="J37" s="13" t="str">
        <x:v>Automated in tests/test_reference.py; fixed expected fixture in fixtures/vectors.json.</x:v>
      </x:c>
    </x:row>
    <x:row r="38" ht="42" customHeight="1">
      <x:c r="A38" s="11" t="str">
        <x:v>UT-032</x:v>
      </x:c>
      <x:c r="B38" s="11" t="str">
        <x:v>CAL09</x:v>
      </x:c>
      <x:c r="C38" s="11" t="str">
        <x:v>P0 / shared control</x:v>
      </x:c>
      <x:c r="D38" s="11" t="str">
        <x:v>total contract 32</x:v>
      </x:c>
      <x:c r="E38" s="11" t="str">
        <x:v>Pure deterministic input; no network, clock or identity service. Function total</x:v>
      </x:c>
      <x:c r="F38" s="11" t="str">
        <x:v>Call total with [["-1", "1"]]</x:v>
      </x:c>
      <x:c r="G38" s="11" t="str">
        <x:v>Exact value "0"</x:v>
      </x:c>
      <x:c r="H38" s="13" t="str">
        <x:v>Not run</x:v>
      </x:c>
      <x:c r="I38" s="13" t="str">
        <x:v>Reference implementation passed; production implementation not run.</x:v>
      </x:c>
      <x:c r="J38" s="13" t="str">
        <x:v>Automated in tests/test_reference.py; fixed expected fixture in fixtures/vectors.json.</x:v>
      </x:c>
    </x:row>
    <x:row r="39" ht="42" customHeight="1">
      <x:c r="A39" s="11" t="str">
        <x:v>UT-033</x:v>
      </x:c>
      <x:c r="B39" s="11" t="str">
        <x:v>CAL09</x:v>
      </x:c>
      <x:c r="C39" s="11" t="str">
        <x:v>P0 / shared control</x:v>
      </x:c>
      <x:c r="D39" s="11" t="str">
        <x:v>total contract 33</x:v>
      </x:c>
      <x:c r="E39" s="11" t="str">
        <x:v>Pure deterministic input; no network, clock or identity service. Function total</x:v>
      </x:c>
      <x:c r="F39" s="11" t="str">
        <x:v>Call total with [[]]</x:v>
      </x:c>
      <x:c r="G39" s="11" t="str">
        <x:v>Exact value "0"</x:v>
      </x:c>
      <x:c r="H39" s="13" t="str">
        <x:v>Not run</x:v>
      </x:c>
      <x:c r="I39" s="13" t="str">
        <x:v>Reference implementation passed; production implementation not run.</x:v>
      </x:c>
      <x:c r="J39" s="13" t="str">
        <x:v>Automated in tests/test_reference.py; fixed expected fixture in fixtures/vectors.json.</x:v>
      </x:c>
    </x:row>
    <x:row r="40" ht="42" customHeight="1">
      <x:c r="A40" s="11" t="str">
        <x:v>UT-034</x:v>
      </x:c>
      <x:c r="B40" s="11" t="str">
        <x:v>SC04</x:v>
      </x:c>
      <x:c r="C40" s="11" t="str">
        <x:v>P0 / shared control</x:v>
      </x:c>
      <x:c r="D40" s="11" t="str">
        <x:v>Aggregate decimal overflow</x:v>
      </x:c>
      <x:c r="E40" s="11" t="str">
        <x:v>Pure deterministic input; no network, clock or identity service. Function total</x:v>
      </x:c>
      <x:c r="F40" s="11" t="str">
        <x:v>Call total with [["99999999999999999999999999", "1"]]</x:v>
      </x:c>
      <x:c r="G40" s="11" t="str">
        <x:v>Raises LIMIT_EXCEEDED</x:v>
      </x:c>
      <x:c r="H40" s="13" t="str">
        <x:v>Not run</x:v>
      </x:c>
      <x:c r="I40" s="13" t="str">
        <x:v>Reference implementation passed; production implementation not run.</x:v>
      </x:c>
      <x:c r="J40" s="13" t="str">
        <x:v>Automated in tests/test_reference.py; fixed expected fixture in fixtures/vectors.json.</x:v>
      </x:c>
    </x:row>
    <x:row r="41" ht="42" customHeight="1">
      <x:c r="A41" s="11" t="str">
        <x:v>UT-035</x:v>
      </x:c>
      <x:c r="B41" s="11" t="str">
        <x:v>CAL01</x:v>
      </x:c>
      <x:c r="C41" s="11" t="str">
        <x:v>P0 / shared control</x:v>
      </x:c>
      <x:c r="D41" s="11" t="str">
        <x:v>Pooled percentages retain denominator</x:v>
      </x:c>
      <x:c r="E41" s="11" t="str">
        <x:v>Pure deterministic input; no network, clock or identity service. Function pooled</x:v>
      </x:c>
      <x:c r="F41" s="11" t="str">
        <x:v>Call pooled with [[["50", "100"], ["1", "10"]]]</x:v>
      </x:c>
      <x:c r="G41" s="11" t="str">
        <x:v>Exact value {"state": "PRESENT", "value": "46.363636363636", "display": "46.36", "numerator": "51", "denominator": "110"}</x:v>
      </x:c>
      <x:c r="H41" s="13" t="str">
        <x:v>Not run</x:v>
      </x:c>
      <x:c r="I41" s="13" t="str">
        <x:v>Reference implementation passed; production implementation not run.</x:v>
      </x:c>
      <x:c r="J41" s="13" t="str">
        <x:v>Automated in tests/test_reference.py; fixed expected fixture in fixtures/vectors.json.</x:v>
      </x:c>
    </x:row>
    <x:row r="42" ht="42" customHeight="1">
      <x:c r="A42" s="11" t="str">
        <x:v>UT-036</x:v>
      </x:c>
      <x:c r="B42" s="11" t="str">
        <x:v>CAL06</x:v>
      </x:c>
      <x:c r="C42" s="11" t="str">
        <x:v>P0 / shared control</x:v>
      </x:c>
      <x:c r="D42" s="11" t="str">
        <x:v>Zero denominator does not become zero</x:v>
      </x:c>
      <x:c r="E42" s="11" t="str">
        <x:v>Pure deterministic input; no network, clock or identity service. Function pooled</x:v>
      </x:c>
      <x:c r="F42" s="11" t="str">
        <x:v>Call pooled with [[["5", "0"]]]</x:v>
      </x:c>
      <x:c r="G42" s="11" t="str">
        <x:v>Exact value {"state": "UNDEFINED", "value": null, "reason": "ZERO_DENOMINATOR"}</x:v>
      </x:c>
      <x:c r="H42" s="13" t="str">
        <x:v>Not run</x:v>
      </x:c>
      <x:c r="I42" s="13" t="str">
        <x:v>Reference implementation passed; production implementation not run.</x:v>
      </x:c>
      <x:c r="J42" s="13" t="str">
        <x:v>Automated in tests/test_reference.py; fixed expected fixture in fixtures/vectors.json.</x:v>
      </x:c>
    </x:row>
    <x:row r="43" ht="42" customHeight="1">
      <x:c r="A43" s="11" t="str">
        <x:v>UT-037</x:v>
      </x:c>
      <x:c r="B43" s="11" t="str">
        <x:v>CAL01</x:v>
      </x:c>
      <x:c r="C43" s="11" t="str">
        <x:v>P0 / shared control</x:v>
      </x:c>
      <x:c r="D43" s="11" t="str">
        <x:v>Present zero percentage</x:v>
      </x:c>
      <x:c r="E43" s="11" t="str">
        <x:v>Pure deterministic input; no network, clock or identity service. Function pooled</x:v>
      </x:c>
      <x:c r="F43" s="11" t="str">
        <x:v>Call pooled with [[["0", "10"]]]</x:v>
      </x:c>
      <x:c r="G43" s="11" t="str">
        <x:v>Exact value {"state": "PRESENT", "value": "0.000000000000", "display": "0.00", "numerator": "0", "denominator": "10"}</x:v>
      </x:c>
      <x:c r="H43" s="13" t="str">
        <x:v>Not run</x:v>
      </x:c>
      <x:c r="I43" s="13" t="str">
        <x:v>Reference implementation passed; production implementation not run.</x:v>
      </x:c>
      <x:c r="J43" s="13" t="str">
        <x:v>Automated in tests/test_reference.py; fixed expected fixture in fixtures/vectors.json.</x:v>
      </x:c>
    </x:row>
    <x:row r="44" ht="42" customHeight="1">
      <x:c r="A44" s="11" t="str">
        <x:v>UT-038</x:v>
      </x:c>
      <x:c r="B44" s="11" t="str">
        <x:v>CAL01</x:v>
      </x:c>
      <x:c r="C44" s="11" t="str">
        <x:v>P0 / shared control</x:v>
      </x:c>
      <x:c r="D44" s="11" t="str">
        <x:v>Whole population percentage</x:v>
      </x:c>
      <x:c r="E44" s="11" t="str">
        <x:v>Pure deterministic input; no network, clock or identity service. Function pooled</x:v>
      </x:c>
      <x:c r="F44" s="11" t="str">
        <x:v>Call pooled with [[["10", "10"]]]</x:v>
      </x:c>
      <x:c r="G44" s="11" t="str">
        <x:v>Exact value {"state": "PRESENT", "value": "100.000000000000", "display": "100.00", "numerator": "10", "denominator": "10"}</x:v>
      </x:c>
      <x:c r="H44" s="13" t="str">
        <x:v>Not run</x:v>
      </x:c>
      <x:c r="I44" s="13" t="str">
        <x:v>Reference implementation passed; production implementation not run.</x:v>
      </x:c>
      <x:c r="J44" s="13" t="str">
        <x:v>Automated in tests/test_reference.py; fixed expected fixture in fixtures/vectors.json.</x:v>
      </x:c>
    </x:row>
    <x:row r="45" ht="42" customHeight="1">
      <x:c r="A45" s="11" t="str">
        <x:v>UT-039</x:v>
      </x:c>
      <x:c r="B45" s="11" t="str">
        <x:v>SC04</x:v>
      </x:c>
      <x:c r="C45" s="11" t="str">
        <x:v>P0 / shared control</x:v>
      </x:c>
      <x:c r="D45" s="11" t="str">
        <x:v>Invalid proportion components</x:v>
      </x:c>
      <x:c r="E45" s="11" t="str">
        <x:v>Pure deterministic input; no network, clock or identity service. Function pooled</x:v>
      </x:c>
      <x:c r="F45" s="11" t="str">
        <x:v>Call pooled with [[["-1", "10"]]]</x:v>
      </x:c>
      <x:c r="G45" s="11" t="str">
        <x:v>Raises VALIDATION_FAILED</x:v>
      </x:c>
      <x:c r="H45" s="13" t="str">
        <x:v>Not run</x:v>
      </x:c>
      <x:c r="I45" s="13" t="str">
        <x:v>Reference implementation passed; production implementation not run.</x:v>
      </x:c>
      <x:c r="J45" s="13" t="str">
        <x:v>Automated in tests/test_reference.py; fixed expected fixture in fixtures/vectors.json.</x:v>
      </x:c>
    </x:row>
    <x:row r="46" ht="42" customHeight="1">
      <x:c r="A46" s="11" t="str">
        <x:v>UT-040</x:v>
      </x:c>
      <x:c r="B46" s="11" t="str">
        <x:v>SC04</x:v>
      </x:c>
      <x:c r="C46" s="11" t="str">
        <x:v>P0 / shared control</x:v>
      </x:c>
      <x:c r="D46" s="11" t="str">
        <x:v>Invalid proportion components</x:v>
      </x:c>
      <x:c r="E46" s="11" t="str">
        <x:v>Pure deterministic input; no network, clock or identity service. Function pooled</x:v>
      </x:c>
      <x:c r="F46" s="11" t="str">
        <x:v>Call pooled with [[["1", "-1"]]]</x:v>
      </x:c>
      <x:c r="G46" s="11" t="str">
        <x:v>Raises VALIDATION_FAILED</x:v>
      </x:c>
      <x:c r="H46" s="13" t="str">
        <x:v>Not run</x:v>
      </x:c>
      <x:c r="I46" s="13" t="str">
        <x:v>Reference implementation passed; production implementation not run.</x:v>
      </x:c>
      <x:c r="J46" s="13" t="str">
        <x:v>Automated in tests/test_reference.py; fixed expected fixture in fixtures/vectors.json.</x:v>
      </x:c>
    </x:row>
    <x:row r="47" ht="42" customHeight="1">
      <x:c r="A47" s="11" t="str">
        <x:v>UT-041</x:v>
      </x:c>
      <x:c r="B47" s="11" t="str">
        <x:v>SC04</x:v>
      </x:c>
      <x:c r="C47" s="11" t="str">
        <x:v>P0 / shared control</x:v>
      </x:c>
      <x:c r="D47" s="11" t="str">
        <x:v>Invalid proportion components</x:v>
      </x:c>
      <x:c r="E47" s="11" t="str">
        <x:v>Pure deterministic input; no network, clock or identity service. Function pooled</x:v>
      </x:c>
      <x:c r="F47" s="11" t="str">
        <x:v>Call pooled with [[["11", "10"]]]</x:v>
      </x:c>
      <x:c r="G47" s="11" t="str">
        <x:v>Raises VALIDATION_FAILED</x:v>
      </x:c>
      <x:c r="H47" s="13" t="str">
        <x:v>Not run</x:v>
      </x:c>
      <x:c r="I47" s="13" t="str">
        <x:v>Reference implementation passed; production implementation not run.</x:v>
      </x:c>
      <x:c r="J47" s="13" t="str">
        <x:v>Automated in tests/test_reference.py; fixed expected fixture in fixtures/vectors.json.</x:v>
      </x:c>
    </x:row>
    <x:row r="48" ht="42" customHeight="1">
      <x:c r="A48" s="11" t="str">
        <x:v>UT-042</x:v>
      </x:c>
      <x:c r="B48" s="11" t="str">
        <x:v>CAL18</x:v>
      </x:c>
      <x:c r="C48" s="11" t="str">
        <x:v>P0 / shared control</x:v>
      </x:c>
      <x:c r="D48" s="11" t="str">
        <x:v>divide contract 42</x:v>
      </x:c>
      <x:c r="E48" s="11" t="str">
        <x:v>Pure deterministic input; no network, clock or identity service. Function divide</x:v>
      </x:c>
      <x:c r="F48" s="11" t="str">
        <x:v>Call divide with ["900", "180"]</x:v>
      </x:c>
      <x:c r="G48" s="11" t="str">
        <x:v>Exact value "5.000000000000"</x:v>
      </x:c>
      <x:c r="H48" s="13" t="str">
        <x:v>Not run</x:v>
      </x:c>
      <x:c r="I48" s="13" t="str">
        <x:v>Reference implementation passed; production implementation not run.</x:v>
      </x:c>
      <x:c r="J48" s="13" t="str">
        <x:v>Automated in tests/test_reference.py; fixed expected fixture in fixtures/vectors.json.</x:v>
      </x:c>
    </x:row>
    <x:row r="49" ht="42" customHeight="1">
      <x:c r="A49" s="11" t="str">
        <x:v>UT-043</x:v>
      </x:c>
      <x:c r="B49" s="11" t="str">
        <x:v>CAL18</x:v>
      </x:c>
      <x:c r="C49" s="11" t="str">
        <x:v>P0 / shared control</x:v>
      </x:c>
      <x:c r="D49" s="11" t="str">
        <x:v>divide contract 43</x:v>
      </x:c>
      <x:c r="E49" s="11" t="str">
        <x:v>Pure deterministic input; no network, clock or identity service. Function divide</x:v>
      </x:c>
      <x:c r="F49" s="11" t="str">
        <x:v>Call divide with ["1", "3"]</x:v>
      </x:c>
      <x:c r="G49" s="11" t="str">
        <x:v>Exact value "0.333333333333"</x:v>
      </x:c>
      <x:c r="H49" s="13" t="str">
        <x:v>Not run</x:v>
      </x:c>
      <x:c r="I49" s="13" t="str">
        <x:v>Reference implementation passed; production implementation not run.</x:v>
      </x:c>
      <x:c r="J49" s="13" t="str">
        <x:v>Automated in tests/test_reference.py; fixed expected fixture in fixtures/vectors.json.</x:v>
      </x:c>
    </x:row>
    <x:row r="50" ht="42" customHeight="1">
      <x:c r="A50" s="11" t="str">
        <x:v>UT-044</x:v>
      </x:c>
      <x:c r="B50" s="11" t="str">
        <x:v>CAL18</x:v>
      </x:c>
      <x:c r="C50" s="11" t="str">
        <x:v>P0 / shared control</x:v>
      </x:c>
      <x:c r="D50" s="11" t="str">
        <x:v>divide contract 44</x:v>
      </x:c>
      <x:c r="E50" s="11" t="str">
        <x:v>Pure deterministic input; no network, clock or identity service. Function divide</x:v>
      </x:c>
      <x:c r="F50" s="11" t="str">
        <x:v>Call divide with ["5", "0"]</x:v>
      </x:c>
      <x:c r="G50" s="11" t="str">
        <x:v>Exact value null</x:v>
      </x:c>
      <x:c r="H50" s="13" t="str">
        <x:v>Not run</x:v>
      </x:c>
      <x:c r="I50" s="13" t="str">
        <x:v>Reference implementation passed; production implementation not run.</x:v>
      </x:c>
      <x:c r="J50" s="13" t="str">
        <x:v>Automated in tests/test_reference.py; fixed expected fixture in fixtures/vectors.json.</x:v>
      </x:c>
    </x:row>
    <x:row r="51" ht="42" customHeight="1">
      <x:c r="A51" s="11" t="str">
        <x:v>UT-045</x:v>
      </x:c>
      <x:c r="B51" s="11" t="str">
        <x:v>CAL18</x:v>
      </x:c>
      <x:c r="C51" s="11" t="str">
        <x:v>P0 / shared control</x:v>
      </x:c>
      <x:c r="D51" s="11" t="str">
        <x:v>divide contract 45</x:v>
      </x:c>
      <x:c r="E51" s="11" t="str">
        <x:v>Pure deterministic input; no network, clock or identity service. Function divide</x:v>
      </x:c>
      <x:c r="F51" s="11" t="str">
        <x:v>Call divide with ["0", "8"]</x:v>
      </x:c>
      <x:c r="G51" s="11" t="str">
        <x:v>Exact value "0.000000000000"</x:v>
      </x:c>
      <x:c r="H51" s="13" t="str">
        <x:v>Not run</x:v>
      </x:c>
      <x:c r="I51" s="13" t="str">
        <x:v>Reference implementation passed; production implementation not run.</x:v>
      </x:c>
      <x:c r="J51" s="13" t="str">
        <x:v>Automated in tests/test_reference.py; fixed expected fixture in fixtures/vectors.json.</x:v>
      </x:c>
    </x:row>
    <x:row r="52" ht="129" customHeight="1">
      <x:c r="A52" s="11" t="str">
        <x:v>UT-046</x:v>
      </x:c>
      <x:c r="B52" s="11" t="str">
        <x:v>CAL03</x:v>
      </x:c>
      <x:c r="C52" s="11" t="str">
        <x:v>P0 / shared control</x:v>
      </x:c>
      <x:c r="D52" s="11" t="str">
        <x:v>Twenty overlapping people counted once</x:v>
      </x:c>
      <x:c r="E52" s="11" t="str">
        <x:v>Pure deterministic input; no network, clock or identity service. Function unique_reach</x:v>
      </x:c>
      <x:c r="F52" s="11" t="str">
        <x:v>Call unique_reach with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x:v>
      </x:c>
      <x:c r="G52" s="11" t="str">
        <x:v>Exact value 180</x:v>
      </x:c>
      <x:c r="H52" s="13" t="str">
        <x:v>Not run</x:v>
      </x:c>
      <x:c r="I52" s="13" t="str">
        <x:v>Reference implementation passed; production implementation not run.</x:v>
      </x:c>
      <x:c r="J52" s="13" t="str">
        <x:v>Automated in tests/test_reference.py; fixed expected fixture in fixtures/vectors.json.</x:v>
      </x:c>
    </x:row>
    <x:row r="53" ht="42" customHeight="1">
      <x:c r="A53" s="11" t="str">
        <x:v>UT-047</x:v>
      </x:c>
      <x:c r="B53" s="11" t="str">
        <x:v>CAL04</x:v>
      </x:c>
      <x:c r="C53" s="11" t="str">
        <x:v>P0 / shared control</x:v>
      </x:c>
      <x:c r="D53" s="11" t="str">
        <x:v>Unknown overlap remains unknown</x:v>
      </x:c>
      <x:c r="E53" s="11" t="str">
        <x:v>Pure deterministic input; no network, clock or identity service. Function unique_reach</x:v>
      </x:c>
      <x:c r="F53" s="11" t="str">
        <x:v>Call unique_reach with [[null, null]]</x:v>
      </x:c>
      <x:c r="G53" s="11" t="str">
        <x:v>Exact value null</x:v>
      </x:c>
      <x:c r="H53" s="13" t="str">
        <x:v>Not run</x:v>
      </x:c>
      <x:c r="I53" s="13" t="str">
        <x:v>Reference implementation passed; production implementation not run.</x:v>
      </x:c>
      <x:c r="J53" s="13" t="str">
        <x:v>Automated in tests/test_reference.py; fixed expected fixture in fixtures/vectors.json.</x:v>
      </x:c>
    </x:row>
    <x:row r="54" ht="42" customHeight="1">
      <x:c r="A54" s="11" t="str">
        <x:v>UT-048</x:v>
      </x:c>
      <x:c r="B54" s="11" t="str">
        <x:v>SC04</x:v>
      </x:c>
      <x:c r="C54" s="11" t="str">
        <x:v>P0 / shared control</x:v>
      </x:c>
      <x:c r="D54" s="11" t="str">
        <x:v>Repeated person IDs do not inflate reach</x:v>
      </x:c>
      <x:c r="E54" s="11" t="str">
        <x:v>Pure deterministic input; no network, clock or identity service. Function unique_reach</x:v>
      </x:c>
      <x:c r="F54" s="11" t="str">
        <x:v>Call unique_reach with [[["a", "a"], ["a", "b"]]]</x:v>
      </x:c>
      <x:c r="G54" s="11" t="str">
        <x:v>Exact value 2</x:v>
      </x:c>
      <x:c r="H54" s="13" t="str">
        <x:v>Not run</x:v>
      </x:c>
      <x:c r="I54" s="13" t="str">
        <x:v>Reference implementation passed; production implementation not run.</x:v>
      </x:c>
      <x:c r="J54" s="13" t="str">
        <x:v>Automated in tests/test_reference.py; fixed expected fixture in fixtures/vectors.json.</x:v>
      </x:c>
    </x:row>
    <x:row r="55" ht="42" customHeight="1">
      <x:c r="A55" s="11" t="str">
        <x:v>UT-049</x:v>
      </x:c>
      <x:c r="B55" s="11" t="str">
        <x:v>SC04</x:v>
      </x:c>
      <x:c r="C55" s="11" t="str">
        <x:v>P0 / shared control</x:v>
      </x:c>
      <x:c r="D55" s="11" t="str">
        <x:v>Empty known sets have zero reach</x:v>
      </x:c>
      <x:c r="E55" s="11" t="str">
        <x:v>Pure deterministic input; no network, clock or identity service. Function unique_reach</x:v>
      </x:c>
      <x:c r="F55" s="11" t="str">
        <x:v>Call unique_reach with [[[], []]]</x:v>
      </x:c>
      <x:c r="G55" s="11" t="str">
        <x:v>Exact value 0</x:v>
      </x:c>
      <x:c r="H55" s="13" t="str">
        <x:v>Not run</x:v>
      </x:c>
      <x:c r="I55" s="13" t="str">
        <x:v>Reference implementation passed; production implementation not run.</x:v>
      </x:c>
      <x:c r="J55" s="13" t="str">
        <x:v>Automated in tests/test_reference.py; fixed expected fixture in fixtures/vectors.json.</x:v>
      </x:c>
    </x:row>
    <x:row r="56" ht="42" customHeight="1">
      <x:c r="A56" s="11" t="str">
        <x:v>UT-050</x:v>
      </x:c>
      <x:c r="B56" s="11" t="str">
        <x:v>SC04</x:v>
      </x:c>
      <x:c r="C56" s="11" t="str">
        <x:v>P0 / shared control</x:v>
      </x:c>
      <x:c r="D56" s="11" t="str">
        <x:v>Partly unknown identity sets cannot imply unique total</x:v>
      </x:c>
      <x:c r="E56" s="11" t="str">
        <x:v>Pure deterministic input; no network, clock or identity service. Function unique_reach</x:v>
      </x:c>
      <x:c r="F56" s="11" t="str">
        <x:v>Call unique_reach with [[["a"], null]]</x:v>
      </x:c>
      <x:c r="G56" s="11" t="str">
        <x:v>Exact value null</x:v>
      </x:c>
      <x:c r="H56" s="13" t="str">
        <x:v>Not run</x:v>
      </x:c>
      <x:c r="I56" s="13" t="str">
        <x:v>Reference implementation passed; production implementation not run.</x:v>
      </x:c>
      <x:c r="J56" s="13" t="str">
        <x:v>Automated in tests/test_reference.py; fixed expected fixture in fixtures/vectors.json.</x:v>
      </x:c>
    </x:row>
    <x:row r="57" ht="42" customHeight="1">
      <x:c r="A57" s="11" t="str">
        <x:v>UT-051</x:v>
      </x:c>
      <x:c r="B57" s="11" t="str">
        <x:v>CAL05</x:v>
      </x:c>
      <x:c r="C57" s="11" t="str">
        <x:v>P0 / shared control</x:v>
      </x:c>
      <x:c r="D57" s="11" t="str">
        <x:v>Cumulative position uses end value</x:v>
      </x:c>
      <x:c r="E57" s="11" t="str">
        <x:v>Pure deterministic input; no network, clock or identity service. Function cumulative</x:v>
      </x:c>
      <x:c r="F57" s="11" t="str">
        <x:v>Call cumulative with [["10", "15", "20"], false]</x:v>
      </x:c>
      <x:c r="G57" s="11" t="str">
        <x:v>Exact value {"end": "20", "increments": null}</x:v>
      </x:c>
      <x:c r="H57" s="13" t="str">
        <x:v>Not run</x:v>
      </x:c>
      <x:c r="I57" s="13" t="str">
        <x:v>Reference implementation passed; production implementation not run.</x:v>
      </x:c>
      <x:c r="J57" s="13" t="str">
        <x:v>Automated in tests/test_reference.py; fixed expected fixture in fixtures/vectors.json.</x:v>
      </x:c>
    </x:row>
    <x:row r="58" ht="42" customHeight="1">
      <x:c r="A58" s="11" t="str">
        <x:v>UT-052</x:v>
      </x:c>
      <x:c r="B58" s="11" t="str">
        <x:v>CAL05</x:v>
      </x:c>
      <x:c r="C58" s="11" t="str">
        <x:v>P0 / shared control</x:v>
      </x:c>
      <x:c r="D58" s="11" t="str">
        <x:v>Verified zero start permits increments</x:v>
      </x:c>
      <x:c r="E58" s="11" t="str">
        <x:v>Pure deterministic input; no network, clock or identity service. Function cumulative</x:v>
      </x:c>
      <x:c r="F58" s="11" t="str">
        <x:v>Call cumulative with [["10", "15", "20"], true]</x:v>
      </x:c>
      <x:c r="G58" s="11" t="str">
        <x:v>Exact value {"end": "20", "increments": ["10", "5", "5"]}</x:v>
      </x:c>
      <x:c r="H58" s="13" t="str">
        <x:v>Not run</x:v>
      </x:c>
      <x:c r="I58" s="13" t="str">
        <x:v>Reference implementation passed; production implementation not run.</x:v>
      </x:c>
      <x:c r="J58" s="13" t="str">
        <x:v>Automated in tests/test_reference.py; fixed expected fixture in fixtures/vectors.json.</x:v>
      </x:c>
    </x:row>
    <x:row r="59" ht="42" customHeight="1">
      <x:c r="A59" s="11" t="str">
        <x:v>UT-053</x:v>
      </x:c>
      <x:c r="B59" s="11" t="str">
        <x:v>SC04</x:v>
      </x:c>
      <x:c r="C59" s="11" t="str">
        <x:v>P0 / shared control</x:v>
      </x:c>
      <x:c r="D59" s="11" t="str">
        <x:v>No cumulative observations is unknown</x:v>
      </x:c>
      <x:c r="E59" s="11" t="str">
        <x:v>Pure deterministic input; no network, clock or identity service. Function cumulative</x:v>
      </x:c>
      <x:c r="F59" s="11" t="str">
        <x:v>Call cumulative with [[], false]</x:v>
      </x:c>
      <x:c r="G59" s="11" t="str">
        <x:v>Exact value {"end": null, "increments": null}</x:v>
      </x:c>
      <x:c r="H59" s="13" t="str">
        <x:v>Not run</x:v>
      </x:c>
      <x:c r="I59" s="13" t="str">
        <x:v>Reference implementation passed; production implementation not run.</x:v>
      </x:c>
      <x:c r="J59" s="13" t="str">
        <x:v>Automated in tests/test_reference.py; fixed expected fixture in fixtures/vectors.json.</x:v>
      </x:c>
    </x:row>
    <x:row r="60" ht="42" customHeight="1">
      <x:c r="A60" s="11" t="str">
        <x:v>UT-054</x:v>
      </x:c>
      <x:c r="B60" s="11" t="str">
        <x:v>SC04</x:v>
      </x:c>
      <x:c r="C60" s="11" t="str">
        <x:v>P0 / shared control</x:v>
      </x:c>
      <x:c r="D60" s="11" t="str">
        <x:v>Position correction retains negative delta</x:v>
      </x:c>
      <x:c r="E60" s="11" t="str">
        <x:v>Pure deterministic input; no network, clock or identity service. Function cumulative</x:v>
      </x:c>
      <x:c r="F60" s="11" t="str">
        <x:v>Call cumulative with [["10", "8"], true]</x:v>
      </x:c>
      <x:c r="G60" s="11" t="str">
        <x:v>Exact value {"end": "8", "increments": ["10", "-2"]}</x:v>
      </x:c>
      <x:c r="H60" s="13" t="str">
        <x:v>Not run</x:v>
      </x:c>
      <x:c r="I60" s="13" t="str">
        <x:v>Reference implementation passed; production implementation not run.</x:v>
      </x:c>
      <x:c r="J60" s="13" t="str">
        <x:v>Automated in tests/test_reference.py; fixed expected fixture in fixtures/vectors.json.</x:v>
      </x:c>
    </x:row>
    <x:row r="61" ht="42" customHeight="1">
      <x:c r="A61" s="11" t="str">
        <x:v>UT-055</x:v>
      </x:c>
      <x:c r="B61" s="11" t="str">
        <x:v>CAL13</x:v>
      </x:c>
      <x:c r="C61" s="11" t="str">
        <x:v>P0 / shared control</x:v>
      </x:c>
      <x:c r="D61" s="11" t="str">
        <x:v>higher contract 55</x:v>
      </x:c>
      <x:c r="E61" s="11" t="str">
        <x:v>Pure deterministic input; no network, clock or identity service. Function higher</x:v>
      </x:c>
      <x:c r="F61" s="11" t="str">
        <x:v>Call higher with ["900", "1000"]</x:v>
      </x:c>
      <x:c r="G61" s="11" t="str">
        <x:v>Exact value "90.00"</x:v>
      </x:c>
      <x:c r="H61" s="13" t="str">
        <x:v>Not run</x:v>
      </x:c>
      <x:c r="I61" s="13" t="str">
        <x:v>Reference implementation passed; production implementation not run.</x:v>
      </x:c>
      <x:c r="J61" s="13" t="str">
        <x:v>Automated in tests/test_reference.py; fixed expected fixture in fixtures/vectors.json.</x:v>
      </x:c>
    </x:row>
    <x:row r="62" ht="42" customHeight="1">
      <x:c r="A62" s="11" t="str">
        <x:v>UT-056</x:v>
      </x:c>
      <x:c r="B62" s="11" t="str">
        <x:v>CAL13</x:v>
      </x:c>
      <x:c r="C62" s="11" t="str">
        <x:v>P0 / shared control</x:v>
      </x:c>
      <x:c r="D62" s="11" t="str">
        <x:v>higher contract 56</x:v>
      </x:c>
      <x:c r="E62" s="11" t="str">
        <x:v>Pure deterministic input; no network, clock or identity service. Function higher</x:v>
      </x:c>
      <x:c r="F62" s="11" t="str">
        <x:v>Call higher with ["900", "800"]</x:v>
      </x:c>
      <x:c r="G62" s="11" t="str">
        <x:v>Exact value "112.50"</x:v>
      </x:c>
      <x:c r="H62" s="13" t="str">
        <x:v>Not run</x:v>
      </x:c>
      <x:c r="I62" s="13" t="str">
        <x:v>Reference implementation passed; production implementation not run.</x:v>
      </x:c>
      <x:c r="J62" s="13" t="str">
        <x:v>Automated in tests/test_reference.py; fixed expected fixture in fixtures/vectors.json.</x:v>
      </x:c>
    </x:row>
    <x:row r="63" ht="42" customHeight="1">
      <x:c r="A63" s="11" t="str">
        <x:v>UT-057</x:v>
      </x:c>
      <x:c r="B63" s="11" t="str">
        <x:v>CAL13</x:v>
      </x:c>
      <x:c r="C63" s="11" t="str">
        <x:v>P0 / shared control</x:v>
      </x:c>
      <x:c r="D63" s="11" t="str">
        <x:v>higher contract 57</x:v>
      </x:c>
      <x:c r="E63" s="11" t="str">
        <x:v>Pure deterministic input; no network, clock or identity service. Function higher</x:v>
      </x:c>
      <x:c r="F63" s="11" t="str">
        <x:v>Call higher with ["0", "100"]</x:v>
      </x:c>
      <x:c r="G63" s="11" t="str">
        <x:v>Exact value "0.00"</x:v>
      </x:c>
      <x:c r="H63" s="13" t="str">
        <x:v>Not run</x:v>
      </x:c>
      <x:c r="I63" s="13" t="str">
        <x:v>Reference implementation passed; production implementation not run.</x:v>
      </x:c>
      <x:c r="J63" s="13" t="str">
        <x:v>Automated in tests/test_reference.py; fixed expected fixture in fixtures/vectors.json.</x:v>
      </x:c>
    </x:row>
    <x:row r="64" ht="42" customHeight="1">
      <x:c r="A64" s="11" t="str">
        <x:v>UT-058</x:v>
      </x:c>
      <x:c r="B64" s="11" t="str">
        <x:v>CAL13</x:v>
      </x:c>
      <x:c r="C64" s="11" t="str">
        <x:v>P0 / shared control</x:v>
      </x:c>
      <x:c r="D64" s="11" t="str">
        <x:v>higher contract 58</x:v>
      </x:c>
      <x:c r="E64" s="11" t="str">
        <x:v>Pure deterministic input; no network, clock or identity service. Function higher</x:v>
      </x:c>
      <x:c r="F64" s="11" t="str">
        <x:v>Call higher with ["100", "100"]</x:v>
      </x:c>
      <x:c r="G64" s="11" t="str">
        <x:v>Exact value "100.00"</x:v>
      </x:c>
      <x:c r="H64" s="13" t="str">
        <x:v>Not run</x:v>
      </x:c>
      <x:c r="I64" s="13" t="str">
        <x:v>Reference implementation passed; production implementation not run.</x:v>
      </x:c>
      <x:c r="J64" s="13" t="str">
        <x:v>Automated in tests/test_reference.py; fixed expected fixture in fixtures/vectors.json.</x:v>
      </x:c>
    </x:row>
    <x:row r="65" ht="42" customHeight="1">
      <x:c r="A65" s="11" t="str">
        <x:v>UT-059</x:v>
      </x:c>
      <x:c r="B65" s="11" t="str">
        <x:v>SC04</x:v>
      </x:c>
      <x:c r="C65" s="11" t="str">
        <x:v>P0 / shared control</x:v>
      </x:c>
      <x:c r="D65" s="11" t="str">
        <x:v>Nonpositive higher target requires defined method</x:v>
      </x:c>
      <x:c r="E65" s="11" t="str">
        <x:v>Pure deterministic input; no network, clock or identity service. Function higher</x:v>
      </x:c>
      <x:c r="F65" s="11" t="str">
        <x:v>Call higher with ["5", "0"]</x:v>
      </x:c>
      <x:c r="G65" s="11" t="str">
        <x:v>Raises UNDEFINED_RESULT</x:v>
      </x:c>
      <x:c r="H65" s="13" t="str">
        <x:v>Not run</x:v>
      </x:c>
      <x:c r="I65" s="13" t="str">
        <x:v>Reference implementation passed; production implementation not run.</x:v>
      </x:c>
      <x:c r="J65" s="13" t="str">
        <x:v>Automated in tests/test_reference.py; fixed expected fixture in fixtures/vectors.json.</x:v>
      </x:c>
    </x:row>
    <x:row r="66" ht="42" customHeight="1">
      <x:c r="A66" s="11" t="str">
        <x:v>UT-060</x:v>
      </x:c>
      <x:c r="B66" s="11" t="str">
        <x:v>SC04</x:v>
      </x:c>
      <x:c r="C66" s="11" t="str">
        <x:v>P0 / shared control</x:v>
      </x:c>
      <x:c r="D66" s="11" t="str">
        <x:v>Nonpositive higher target requires defined method</x:v>
      </x:c>
      <x:c r="E66" s="11" t="str">
        <x:v>Pure deterministic input; no network, clock or identity service. Function higher</x:v>
      </x:c>
      <x:c r="F66" s="11" t="str">
        <x:v>Call higher with ["5", "-1"]</x:v>
      </x:c>
      <x:c r="G66" s="11" t="str">
        <x:v>Raises UNDEFINED_RESULT</x:v>
      </x:c>
      <x:c r="H66" s="13" t="str">
        <x:v>Not run</x:v>
      </x:c>
      <x:c r="I66" s="13" t="str">
        <x:v>Reference implementation passed; production implementation not run.</x:v>
      </x:c>
      <x:c r="J66" s="13" t="str">
        <x:v>Automated in tests/test_reference.py; fixed expected fixture in fixtures/vectors.json.</x:v>
      </x:c>
    </x:row>
    <x:row r="67" ht="42" customHeight="1">
      <x:c r="A67" s="11" t="str">
        <x:v>UT-061</x:v>
      </x:c>
      <x:c r="B67" s="11" t="str">
        <x:v>CAL14</x:v>
      </x:c>
      <x:c r="C67" s="11" t="str">
        <x:v>P0 / shared control</x:v>
      </x:c>
      <x:c r="D67" s="11" t="str">
        <x:v>lower contract 61</x:v>
      </x:c>
      <x:c r="E67" s="11" t="str">
        <x:v>Pure deterministic input; no network, clock or identity service. Function lower</x:v>
      </x:c>
      <x:c r="F67" s="11" t="str">
        <x:v>Call lower with ["8", "10"]</x:v>
      </x:c>
      <x:c r="G67" s="11" t="str">
        <x:v>Exact value {"achieved": true, "deviation": "-2"}</x:v>
      </x:c>
      <x:c r="H67" s="13" t="str">
        <x:v>Not run</x:v>
      </x:c>
      <x:c r="I67" s="13" t="str">
        <x:v>Reference implementation passed; production implementation not run.</x:v>
      </x:c>
      <x:c r="J67" s="13" t="str">
        <x:v>Automated in tests/test_reference.py; fixed expected fixture in fixtures/vectors.json.</x:v>
      </x:c>
    </x:row>
    <x:row r="68" ht="42" customHeight="1">
      <x:c r="A68" s="11" t="str">
        <x:v>UT-062</x:v>
      </x:c>
      <x:c r="B68" s="11" t="str">
        <x:v>CAL14</x:v>
      </x:c>
      <x:c r="C68" s="11" t="str">
        <x:v>P0 / shared control</x:v>
      </x:c>
      <x:c r="D68" s="11" t="str">
        <x:v>lower contract 62</x:v>
      </x:c>
      <x:c r="E68" s="11" t="str">
        <x:v>Pure deterministic input; no network, clock or identity service. Function lower</x:v>
      </x:c>
      <x:c r="F68" s="11" t="str">
        <x:v>Call lower with ["10", "10"]</x:v>
      </x:c>
      <x:c r="G68" s="11" t="str">
        <x:v>Exact value {"achieved": true, "deviation": "0"}</x:v>
      </x:c>
      <x:c r="H68" s="13" t="str">
        <x:v>Not run</x:v>
      </x:c>
      <x:c r="I68" s="13" t="str">
        <x:v>Reference implementation passed; production implementation not run.</x:v>
      </x:c>
      <x:c r="J68" s="13" t="str">
        <x:v>Automated in tests/test_reference.py; fixed expected fixture in fixtures/vectors.json.</x:v>
      </x:c>
    </x:row>
    <x:row r="69" ht="42" customHeight="1">
      <x:c r="A69" s="11" t="str">
        <x:v>UT-063</x:v>
      </x:c>
      <x:c r="B69" s="11" t="str">
        <x:v>CAL14</x:v>
      </x:c>
      <x:c r="C69" s="11" t="str">
        <x:v>P0 / shared control</x:v>
      </x:c>
      <x:c r="D69" s="11" t="str">
        <x:v>lower contract 63</x:v>
      </x:c>
      <x:c r="E69" s="11" t="str">
        <x:v>Pure deterministic input; no network, clock or identity service. Function lower</x:v>
      </x:c>
      <x:c r="F69" s="11" t="str">
        <x:v>Call lower with ["12", "10"]</x:v>
      </x:c>
      <x:c r="G69" s="11" t="str">
        <x:v>Exact value {"achieved": false, "deviation": "2"}</x:v>
      </x:c>
      <x:c r="H69" s="13" t="str">
        <x:v>Not run</x:v>
      </x:c>
      <x:c r="I69" s="13" t="str">
        <x:v>Reference implementation passed; production implementation not run.</x:v>
      </x:c>
      <x:c r="J69" s="13" t="str">
        <x:v>Automated in tests/test_reference.py; fixed expected fixture in fixtures/vectors.json.</x:v>
      </x:c>
    </x:row>
    <x:row r="70" ht="42" customHeight="1">
      <x:c r="A70" s="11" t="str">
        <x:v>UT-064</x:v>
      </x:c>
      <x:c r="B70" s="11" t="str">
        <x:v>SC04</x:v>
      </x:c>
      <x:c r="C70" s="11" t="str">
        <x:v>P0 / shared control</x:v>
      </x:c>
      <x:c r="D70" s="11" t="str">
        <x:v>Target range boundary 4</x:v>
      </x:c>
      <x:c r="E70" s="11" t="str">
        <x:v>Pure deterministic input; no network, clock or identity service. Function in_range</x:v>
      </x:c>
      <x:c r="F70" s="11" t="str">
        <x:v>Call in_range with ["4", "5", "10"]</x:v>
      </x:c>
      <x:c r="G70" s="11" t="str">
        <x:v>Exact value false</x:v>
      </x:c>
      <x:c r="H70" s="13" t="str">
        <x:v>Not run</x:v>
      </x:c>
      <x:c r="I70" s="13" t="str">
        <x:v>Reference implementation passed; production implementation not run.</x:v>
      </x:c>
      <x:c r="J70" s="13" t="str">
        <x:v>Automated in tests/test_reference.py; fixed expected fixture in fixtures/vectors.json.</x:v>
      </x:c>
    </x:row>
    <x:row r="71" ht="42" customHeight="1">
      <x:c r="A71" s="11" t="str">
        <x:v>UT-065</x:v>
      </x:c>
      <x:c r="B71" s="11" t="str">
        <x:v>SC04</x:v>
      </x:c>
      <x:c r="C71" s="11" t="str">
        <x:v>P0 / shared control</x:v>
      </x:c>
      <x:c r="D71" s="11" t="str">
        <x:v>Target range boundary 5</x:v>
      </x:c>
      <x:c r="E71" s="11" t="str">
        <x:v>Pure deterministic input; no network, clock or identity service. Function in_range</x:v>
      </x:c>
      <x:c r="F71" s="11" t="str">
        <x:v>Call in_range with ["5", "5", "10"]</x:v>
      </x:c>
      <x:c r="G71" s="11" t="str">
        <x:v>Exact value true</x:v>
      </x:c>
      <x:c r="H71" s="13" t="str">
        <x:v>Not run</x:v>
      </x:c>
      <x:c r="I71" s="13" t="str">
        <x:v>Reference implementation passed; production implementation not run.</x:v>
      </x:c>
      <x:c r="J71" s="13" t="str">
        <x:v>Automated in tests/test_reference.py; fixed expected fixture in fixtures/vectors.json.</x:v>
      </x:c>
    </x:row>
    <x:row r="72" ht="42" customHeight="1">
      <x:c r="A72" s="11" t="str">
        <x:v>UT-066</x:v>
      </x:c>
      <x:c r="B72" s="11" t="str">
        <x:v>SC04</x:v>
      </x:c>
      <x:c r="C72" s="11" t="str">
        <x:v>P0 / shared control</x:v>
      </x:c>
      <x:c r="D72" s="11" t="str">
        <x:v>Target range boundary 7</x:v>
      </x:c>
      <x:c r="E72" s="11" t="str">
        <x:v>Pure deterministic input; no network, clock or identity service. Function in_range</x:v>
      </x:c>
      <x:c r="F72" s="11" t="str">
        <x:v>Call in_range with ["7", "5", "10"]</x:v>
      </x:c>
      <x:c r="G72" s="11" t="str">
        <x:v>Exact value true</x:v>
      </x:c>
      <x:c r="H72" s="13" t="str">
        <x:v>Not run</x:v>
      </x:c>
      <x:c r="I72" s="13" t="str">
        <x:v>Reference implementation passed; production implementation not run.</x:v>
      </x:c>
      <x:c r="J72" s="13" t="str">
        <x:v>Automated in tests/test_reference.py; fixed expected fixture in fixtures/vectors.json.</x:v>
      </x:c>
    </x:row>
    <x:row r="73" ht="42" customHeight="1">
      <x:c r="A73" s="11" t="str">
        <x:v>UT-067</x:v>
      </x:c>
      <x:c r="B73" s="11" t="str">
        <x:v>SC04</x:v>
      </x:c>
      <x:c r="C73" s="11" t="str">
        <x:v>P0 / shared control</x:v>
      </x:c>
      <x:c r="D73" s="11" t="str">
        <x:v>Target range boundary 10</x:v>
      </x:c>
      <x:c r="E73" s="11" t="str">
        <x:v>Pure deterministic input; no network, clock or identity service. Function in_range</x:v>
      </x:c>
      <x:c r="F73" s="11" t="str">
        <x:v>Call in_range with ["10", "5", "10"]</x:v>
      </x:c>
      <x:c r="G73" s="11" t="str">
        <x:v>Exact value true</x:v>
      </x:c>
      <x:c r="H73" s="13" t="str">
        <x:v>Not run</x:v>
      </x:c>
      <x:c r="I73" s="13" t="str">
        <x:v>Reference implementation passed; production implementation not run.</x:v>
      </x:c>
      <x:c r="J73" s="13" t="str">
        <x:v>Automated in tests/test_reference.py; fixed expected fixture in fixtures/vectors.json.</x:v>
      </x:c>
    </x:row>
    <x:row r="74" ht="42" customHeight="1">
      <x:c r="A74" s="11" t="str">
        <x:v>UT-068</x:v>
      </x:c>
      <x:c r="B74" s="11" t="str">
        <x:v>SC04</x:v>
      </x:c>
      <x:c r="C74" s="11" t="str">
        <x:v>P0 / shared control</x:v>
      </x:c>
      <x:c r="D74" s="11" t="str">
        <x:v>Target range boundary 11</x:v>
      </x:c>
      <x:c r="E74" s="11" t="str">
        <x:v>Pure deterministic input; no network, clock or identity service. Function in_range</x:v>
      </x:c>
      <x:c r="F74" s="11" t="str">
        <x:v>Call in_range with ["11", "5", "10"]</x:v>
      </x:c>
      <x:c r="G74" s="11" t="str">
        <x:v>Exact value false</x:v>
      </x:c>
      <x:c r="H74" s="13" t="str">
        <x:v>Not run</x:v>
      </x:c>
      <x:c r="I74" s="13" t="str">
        <x:v>Reference implementation passed; production implementation not run.</x:v>
      </x:c>
      <x:c r="J74" s="13" t="str">
        <x:v>Automated in tests/test_reference.py; fixed expected fixture in fixtures/vectors.json.</x:v>
      </x:c>
    </x:row>
    <x:row r="75" ht="42" customHeight="1">
      <x:c r="A75" s="11" t="str">
        <x:v>UT-069</x:v>
      </x:c>
      <x:c r="B75" s="11" t="str">
        <x:v>SC04</x:v>
      </x:c>
      <x:c r="C75" s="11" t="str">
        <x:v>P0 / shared control</x:v>
      </x:c>
      <x:c r="D75" s="11" t="str">
        <x:v>Reversed range rejected</x:v>
      </x:c>
      <x:c r="E75" s="11" t="str">
        <x:v>Pure deterministic input; no network, clock or identity service. Function in_range</x:v>
      </x:c>
      <x:c r="F75" s="11" t="str">
        <x:v>Call in_range with ["7", "10", "5"]</x:v>
      </x:c>
      <x:c r="G75" s="11" t="str">
        <x:v>Raises VALIDATION_FAILED</x:v>
      </x:c>
      <x:c r="H75" s="13" t="str">
        <x:v>Not run</x:v>
      </x:c>
      <x:c r="I75" s="13" t="str">
        <x:v>Reference implementation passed; production implementation not run.</x:v>
      </x:c>
      <x:c r="J75" s="13" t="str">
        <x:v>Automated in tests/test_reference.py; fixed expected fixture in fixtures/vectors.json.</x:v>
      </x:c>
    </x:row>
    <x:row r="76" ht="42" customHeight="1">
      <x:c r="A76" s="11" t="str">
        <x:v>UT-070</x:v>
      </x:c>
      <x:c r="B76" s="11" t="str">
        <x:v>CAL07 CAL08</x:v>
      </x:c>
      <x:c r="C76" s="11" t="str">
        <x:v>P0 / shared control</x:v>
      </x:c>
      <x:c r="D76" s="11" t="str">
        <x:v>coverage contract 70</x:v>
      </x:c>
      <x:c r="E76" s="11" t="str">
        <x:v>Pure deterministic input; no network, clock or identity service. Function coverage</x:v>
      </x:c>
      <x:c r="F76" s="11" t="str">
        <x:v>Call coverage with [3, 5]</x:v>
      </x:c>
      <x:c r="G76" s="11" t="str">
        <x:v>Exact value {"state": "PRESENT", "percent": "60.00", "partial": true}</x:v>
      </x:c>
      <x:c r="H76" s="13" t="str">
        <x:v>Not run</x:v>
      </x:c>
      <x:c r="I76" s="13" t="str">
        <x:v>Reference implementation passed; production implementation not run.</x:v>
      </x:c>
      <x:c r="J76" s="13" t="str">
        <x:v>Automated in tests/test_reference.py; fixed expected fixture in fixtures/vectors.json.</x:v>
      </x:c>
    </x:row>
    <x:row r="77" ht="42" customHeight="1">
      <x:c r="A77" s="11" t="str">
        <x:v>UT-071</x:v>
      </x:c>
      <x:c r="B77" s="11" t="str">
        <x:v>CAL07 CAL08</x:v>
      </x:c>
      <x:c r="C77" s="11" t="str">
        <x:v>P0 / shared control</x:v>
      </x:c>
      <x:c r="D77" s="11" t="str">
        <x:v>coverage contract 71</x:v>
      </x:c>
      <x:c r="E77" s="11" t="str">
        <x:v>Pure deterministic input; no network, clock or identity service. Function coverage</x:v>
      </x:c>
      <x:c r="F77" s="11" t="str">
        <x:v>Call coverage with [0, 0]</x:v>
      </x:c>
      <x:c r="G77" s="11" t="str">
        <x:v>Exact value {"state": "NOT_APPLICABLE", "percent": null, "partial": false}</x:v>
      </x:c>
      <x:c r="H77" s="13" t="str">
        <x:v>Not run</x:v>
      </x:c>
      <x:c r="I77" s="13" t="str">
        <x:v>Reference implementation passed; production implementation not run.</x:v>
      </x:c>
      <x:c r="J77" s="13" t="str">
        <x:v>Automated in tests/test_reference.py; fixed expected fixture in fixtures/vectors.json.</x:v>
      </x:c>
    </x:row>
    <x:row r="78" ht="42" customHeight="1">
      <x:c r="A78" s="11" t="str">
        <x:v>UT-072</x:v>
      </x:c>
      <x:c r="B78" s="11" t="str">
        <x:v>CAL07 CAL08</x:v>
      </x:c>
      <x:c r="C78" s="11" t="str">
        <x:v>P0 / shared control</x:v>
      </x:c>
      <x:c r="D78" s="11" t="str">
        <x:v>coverage contract 72</x:v>
      </x:c>
      <x:c r="E78" s="11" t="str">
        <x:v>Pure deterministic input; no network, clock or identity service. Function coverage</x:v>
      </x:c>
      <x:c r="F78" s="11" t="str">
        <x:v>Call coverage with [5, 5]</x:v>
      </x:c>
      <x:c r="G78" s="11" t="str">
        <x:v>Exact value {"state": "PRESENT", "percent": "100.00", "partial": false}</x:v>
      </x:c>
      <x:c r="H78" s="13" t="str">
        <x:v>Not run</x:v>
      </x:c>
      <x:c r="I78" s="13" t="str">
        <x:v>Reference implementation passed; production implementation not run.</x:v>
      </x:c>
      <x:c r="J78" s="13" t="str">
        <x:v>Automated in tests/test_reference.py; fixed expected fixture in fixtures/vectors.json.</x:v>
      </x:c>
    </x:row>
    <x:row r="79" ht="42" customHeight="1">
      <x:c r="A79" s="11" t="str">
        <x:v>UT-073</x:v>
      </x:c>
      <x:c r="B79" s="11" t="str">
        <x:v>CAL07 CAL08</x:v>
      </x:c>
      <x:c r="C79" s="11" t="str">
        <x:v>P0 / shared control</x:v>
      </x:c>
      <x:c r="D79" s="11" t="str">
        <x:v>coverage contract 73</x:v>
      </x:c>
      <x:c r="E79" s="11" t="str">
        <x:v>Pure deterministic input; no network, clock or identity service. Function coverage</x:v>
      </x:c>
      <x:c r="F79" s="11" t="str">
        <x:v>Call coverage with [0, 5]</x:v>
      </x:c>
      <x:c r="G79" s="11" t="str">
        <x:v>Exact value {"state": "PRESENT", "percent": "0.00", "partial": true}</x:v>
      </x:c>
      <x:c r="H79" s="13" t="str">
        <x:v>Not run</x:v>
      </x:c>
      <x:c r="I79" s="13" t="str">
        <x:v>Reference implementation passed; production implementation not run.</x:v>
      </x:c>
      <x:c r="J79" s="13" t="str">
        <x:v>Automated in tests/test_reference.py; fixed expected fixture in fixtures/vectors.json.</x:v>
      </x:c>
    </x:row>
    <x:row r="80" ht="42" customHeight="1">
      <x:c r="A80" s="11" t="str">
        <x:v>UT-074</x:v>
      </x:c>
      <x:c r="B80" s="11" t="str">
        <x:v>SC04</x:v>
      </x:c>
      <x:c r="C80" s="11" t="str">
        <x:v>P0 / shared control</x:v>
      </x:c>
      <x:c r="D80" s="11" t="str">
        <x:v>Coverage count contract rejects invalid counts</x:v>
      </x:c>
      <x:c r="E80" s="11" t="str">
        <x:v>Pure deterministic input; no network, clock or identity service. Function coverage</x:v>
      </x:c>
      <x:c r="F80" s="11" t="str">
        <x:v>Call coverage with [6, 5]</x:v>
      </x:c>
      <x:c r="G80" s="11" t="str">
        <x:v>Raises VALIDATION_FAILED</x:v>
      </x:c>
      <x:c r="H80" s="13" t="str">
        <x:v>Not run</x:v>
      </x:c>
      <x:c r="I80" s="13" t="str">
        <x:v>Reference implementation passed; production implementation not run.</x:v>
      </x:c>
      <x:c r="J80" s="13" t="str">
        <x:v>Automated in tests/test_reference.py; fixed expected fixture in fixtures/vectors.json.</x:v>
      </x:c>
    </x:row>
    <x:row r="81" ht="42" customHeight="1">
      <x:c r="A81" s="11" t="str">
        <x:v>UT-075</x:v>
      </x:c>
      <x:c r="B81" s="11" t="str">
        <x:v>SC04</x:v>
      </x:c>
      <x:c r="C81" s="11" t="str">
        <x:v>P0 / shared control</x:v>
      </x:c>
      <x:c r="D81" s="11" t="str">
        <x:v>Coverage count contract rejects invalid counts</x:v>
      </x:c>
      <x:c r="E81" s="11" t="str">
        <x:v>Pure deterministic input; no network, clock or identity service. Function coverage</x:v>
      </x:c>
      <x:c r="F81" s="11" t="str">
        <x:v>Call coverage with [-1, 5]</x:v>
      </x:c>
      <x:c r="G81" s="11" t="str">
        <x:v>Raises VALIDATION_FAILED</x:v>
      </x:c>
      <x:c r="H81" s="13" t="str">
        <x:v>Not run</x:v>
      </x:c>
      <x:c r="I81" s="13" t="str">
        <x:v>Reference implementation passed; production implementation not run.</x:v>
      </x:c>
      <x:c r="J81" s="13" t="str">
        <x:v>Automated in tests/test_reference.py; fixed expected fixture in fixtures/vectors.json.</x:v>
      </x:c>
    </x:row>
    <x:row r="82" ht="42" customHeight="1">
      <x:c r="A82" s="11" t="str">
        <x:v>UT-076</x:v>
      </x:c>
      <x:c r="B82" s="11" t="str">
        <x:v>SC04</x:v>
      </x:c>
      <x:c r="C82" s="11" t="str">
        <x:v>P0 / shared control</x:v>
      </x:c>
      <x:c r="D82" s="11" t="str">
        <x:v>Coverage count contract rejects invalid counts</x:v>
      </x:c>
      <x:c r="E82" s="11" t="str">
        <x:v>Pure deterministic input; no network, clock or identity service. Function coverage</x:v>
      </x:c>
      <x:c r="F82" s="11" t="str">
        <x:v>Call coverage with [1, -1]</x:v>
      </x:c>
      <x:c r="G82" s="11" t="str">
        <x:v>Raises VALIDATION_FAILED</x:v>
      </x:c>
      <x:c r="H82" s="13" t="str">
        <x:v>Not run</x:v>
      </x:c>
      <x:c r="I82" s="13" t="str">
        <x:v>Reference implementation passed; production implementation not run.</x:v>
      </x:c>
      <x:c r="J82" s="13" t="str">
        <x:v>Automated in tests/test_reference.py; fixed expected fixture in fixtures/vectors.json.</x:v>
      </x:c>
    </x:row>
    <x:row r="83" ht="42" customHeight="1">
      <x:c r="A83" s="11" t="str">
        <x:v>UT-077</x:v>
      </x:c>
      <x:c r="B83" s="11" t="str">
        <x:v>SC04</x:v>
      </x:c>
      <x:c r="C83" s="11" t="str">
        <x:v>P0 / shared control</x:v>
      </x:c>
      <x:c r="D83" s="11" t="str">
        <x:v>Coverage count contract rejects invalid counts</x:v>
      </x:c>
      <x:c r="E83" s="11" t="str">
        <x:v>Pure deterministic input; no network, clock or identity service. Function coverage</x:v>
      </x:c>
      <x:c r="F83" s="11" t="str">
        <x:v>Call coverage with [true, 5]</x:v>
      </x:c>
      <x:c r="G83" s="11" t="str">
        <x:v>Raises VALIDATION_FAILED</x:v>
      </x:c>
      <x:c r="H83" s="13" t="str">
        <x:v>Not run</x:v>
      </x:c>
      <x:c r="I83" s="13" t="str">
        <x:v>Reference implementation passed; production implementation not run.</x:v>
      </x:c>
      <x:c r="J83" s="13" t="str">
        <x:v>Automated in tests/test_reference.py; fixed expected fixture in fixtures/vectors.json.</x:v>
      </x:c>
    </x:row>
    <x:row r="84" ht="42" customHeight="1">
      <x:c r="A84" s="11" t="str">
        <x:v>UT-078</x:v>
      </x:c>
      <x:c r="B84" s="11" t="str">
        <x:v>CAL15</x:v>
      </x:c>
      <x:c r="C84" s="11" t="str">
        <x:v>P0 / shared control</x:v>
      </x:c>
      <x:c r="D84" s="11" t="str">
        <x:v>Weighted score uses versioned weights</x:v>
      </x:c>
      <x:c r="E84" s="11" t="str">
        <x:v>Pure deterministic input; no network, clock or identity service. Function weighted</x:v>
      </x:c>
      <x:c r="F84" s="11" t="str">
        <x:v>Call weighted with [["60", "80"], ["0.4", "0.6"]]</x:v>
      </x:c>
      <x:c r="G84" s="11" t="str">
        <x:v>Exact value "72.00"</x:v>
      </x:c>
      <x:c r="H84" s="13" t="str">
        <x:v>Not run</x:v>
      </x:c>
      <x:c r="I84" s="13" t="str">
        <x:v>Reference implementation passed; production implementation not run.</x:v>
      </x:c>
      <x:c r="J84" s="13" t="str">
        <x:v>Automated in tests/test_reference.py; fixed expected fixture in fixtures/vectors.json.</x:v>
      </x:c>
    </x:row>
    <x:row r="85" ht="42" customHeight="1">
      <x:c r="A85" s="11" t="str">
        <x:v>UT-079</x:v>
      </x:c>
      <x:c r="B85" s="11" t="str">
        <x:v>CAL15</x:v>
      </x:c>
      <x:c r="C85" s="11" t="str">
        <x:v>P0 / shared control</x:v>
      </x:c>
      <x:c r="D85" s="11" t="str">
        <x:v>Zero weight does not alter score</x:v>
      </x:c>
      <x:c r="E85" s="11" t="str">
        <x:v>Pure deterministic input; no network, clock or identity service. Function weighted</x:v>
      </x:c>
      <x:c r="F85" s="11" t="str">
        <x:v>Call weighted with [["60", "80"], ["0", "1"]]</x:v>
      </x:c>
      <x:c r="G85" s="11" t="str">
        <x:v>Exact value "80.00"</x:v>
      </x:c>
      <x:c r="H85" s="13" t="str">
        <x:v>Not run</x:v>
      </x:c>
      <x:c r="I85" s="13" t="str">
        <x:v>Reference implementation passed; production implementation not run.</x:v>
      </x:c>
      <x:c r="J85" s="13" t="str">
        <x:v>Automated in tests/test_reference.py; fixed expected fixture in fixtures/vectors.json.</x:v>
      </x:c>
    </x:row>
    <x:row r="86" ht="42" customHeight="1">
      <x:c r="A86" s="11" t="str">
        <x:v>UT-080</x:v>
      </x:c>
      <x:c r="B86" s="11" t="str">
        <x:v>SC04</x:v>
      </x:c>
      <x:c r="C86" s="11" t="str">
        <x:v>P0 / shared control</x:v>
      </x:c>
      <x:c r="D86" s="11" t="str">
        <x:v>Weight shape and sum validated</x:v>
      </x:c>
      <x:c r="E86" s="11" t="str">
        <x:v>Pure deterministic input; no network, clock or identity service. Function weighted</x:v>
      </x:c>
      <x:c r="F86" s="11" t="str">
        <x:v>Call weighted with [["60", "80"], ["0.4", "0.5"]]</x:v>
      </x:c>
      <x:c r="G86" s="11" t="str">
        <x:v>Raises VALIDATION_FAILED</x:v>
      </x:c>
      <x:c r="H86" s="13" t="str">
        <x:v>Not run</x:v>
      </x:c>
      <x:c r="I86" s="13" t="str">
        <x:v>Reference implementation passed; production implementation not run.</x:v>
      </x:c>
      <x:c r="J86" s="13" t="str">
        <x:v>Automated in tests/test_reference.py; fixed expected fixture in fixtures/vectors.json.</x:v>
      </x:c>
    </x:row>
    <x:row r="87" ht="42" customHeight="1">
      <x:c r="A87" s="11" t="str">
        <x:v>UT-081</x:v>
      </x:c>
      <x:c r="B87" s="11" t="str">
        <x:v>SC04</x:v>
      </x:c>
      <x:c r="C87" s="11" t="str">
        <x:v>P0 / shared control</x:v>
      </x:c>
      <x:c r="D87" s="11" t="str">
        <x:v>Weight shape and sum validated</x:v>
      </x:c>
      <x:c r="E87" s="11" t="str">
        <x:v>Pure deterministic input; no network, clock or identity service. Function weighted</x:v>
      </x:c>
      <x:c r="F87" s="11" t="str">
        <x:v>Call weighted with [["60", "80"], ["-0.1", "1.1"]]</x:v>
      </x:c>
      <x:c r="G87" s="11" t="str">
        <x:v>Raises VALIDATION_FAILED</x:v>
      </x:c>
      <x:c r="H87" s="13" t="str">
        <x:v>Not run</x:v>
      </x:c>
      <x:c r="I87" s="13" t="str">
        <x:v>Reference implementation passed; production implementation not run.</x:v>
      </x:c>
      <x:c r="J87" s="13" t="str">
        <x:v>Automated in tests/test_reference.py; fixed expected fixture in fixtures/vectors.json.</x:v>
      </x:c>
    </x:row>
    <x:row r="88" ht="42" customHeight="1">
      <x:c r="A88" s="11" t="str">
        <x:v>UT-082</x:v>
      </x:c>
      <x:c r="B88" s="11" t="str">
        <x:v>SC04</x:v>
      </x:c>
      <x:c r="C88" s="11" t="str">
        <x:v>P0 / shared control</x:v>
      </x:c>
      <x:c r="D88" s="11" t="str">
        <x:v>Weight shape and sum validated</x:v>
      </x:c>
      <x:c r="E88" s="11" t="str">
        <x:v>Pure deterministic input; no network, clock or identity service. Function weighted</x:v>
      </x:c>
      <x:c r="F88" s="11" t="str">
        <x:v>Call weighted with [["60"], ["0.4", "0.6"]]</x:v>
      </x:c>
      <x:c r="G88" s="11" t="str">
        <x:v>Raises VALIDATION_FAILED</x:v>
      </x:c>
      <x:c r="H88" s="13" t="str">
        <x:v>Not run</x:v>
      </x:c>
      <x:c r="I88" s="13" t="str">
        <x:v>Reference implementation passed; production implementation not run.</x:v>
      </x:c>
      <x:c r="J88" s="13" t="str">
        <x:v>Automated in tests/test_reference.py; fixed expected fixture in fixtures/vectors.json.</x:v>
      </x:c>
    </x:row>
    <x:row r="89" ht="42" customHeight="1">
      <x:c r="A89" s="11" t="str">
        <x:v>UT-083</x:v>
      </x:c>
      <x:c r="B89" s="11" t="str">
        <x:v>CAL20</x:v>
      </x:c>
      <x:c r="C89" s="11" t="str">
        <x:v>P0 / shared control</x:v>
      </x:c>
      <x:c r="D89" s="11" t="str">
        <x:v>Reporting period boundary 2026-06-30T23:59:59Z</x:v>
      </x:c>
      <x:c r="E89" s="11" t="str">
        <x:v>Pure deterministic input; no network, clock or identity service. Function period_contains</x:v>
      </x:c>
      <x:c r="F89" s="11" t="str">
        <x:v>Call period_contains with ["2026-06-30T23:59:59Z", "2026-07-01T00:00:00Z", "2026-08-01T00:00:00Z"]</x:v>
      </x:c>
      <x:c r="G89" s="11" t="str">
        <x:v>Exact value false</x:v>
      </x:c>
      <x:c r="H89" s="13" t="str">
        <x:v>Not run</x:v>
      </x:c>
      <x:c r="I89" s="13" t="str">
        <x:v>Reference implementation passed; production implementation not run.</x:v>
      </x:c>
      <x:c r="J89" s="13" t="str">
        <x:v>Automated in tests/test_reference.py; fixed expected fixture in fixtures/vectors.json.</x:v>
      </x:c>
    </x:row>
    <x:row r="90" ht="42" customHeight="1">
      <x:c r="A90" s="11" t="str">
        <x:v>UT-084</x:v>
      </x:c>
      <x:c r="B90" s="11" t="str">
        <x:v>CAL20</x:v>
      </x:c>
      <x:c r="C90" s="11" t="str">
        <x:v>P0 / shared control</x:v>
      </x:c>
      <x:c r="D90" s="11" t="str">
        <x:v>Reporting period boundary 2026-07-01T00:00:00Z</x:v>
      </x:c>
      <x:c r="E90" s="11" t="str">
        <x:v>Pure deterministic input; no network, clock or identity service. Function period_contains</x:v>
      </x:c>
      <x:c r="F90" s="11" t="str">
        <x:v>Call period_contains with ["2026-07-01T00:00:00Z", "2026-07-01T00:00:00Z", "2026-08-01T00:00:00Z"]</x:v>
      </x:c>
      <x:c r="G90" s="11" t="str">
        <x:v>Exact value true</x:v>
      </x:c>
      <x:c r="H90" s="13" t="str">
        <x:v>Not run</x:v>
      </x:c>
      <x:c r="I90" s="13" t="str">
        <x:v>Reference implementation passed; production implementation not run.</x:v>
      </x:c>
      <x:c r="J90" s="13" t="str">
        <x:v>Automated in tests/test_reference.py; fixed expected fixture in fixtures/vectors.json.</x:v>
      </x:c>
    </x:row>
    <x:row r="91" ht="42" customHeight="1">
      <x:c r="A91" s="11" t="str">
        <x:v>UT-085</x:v>
      </x:c>
      <x:c r="B91" s="11" t="str">
        <x:v>CAL20</x:v>
      </x:c>
      <x:c r="C91" s="11" t="str">
        <x:v>P0 / shared control</x:v>
      </x:c>
      <x:c r="D91" s="11" t="str">
        <x:v>Reporting period boundary 2026-07-31T23:59:59Z</x:v>
      </x:c>
      <x:c r="E91" s="11" t="str">
        <x:v>Pure deterministic input; no network, clock or identity service. Function period_contains</x:v>
      </x:c>
      <x:c r="F91" s="11" t="str">
        <x:v>Call period_contains with ["2026-07-31T23:59:59Z", "2026-07-01T00:00:00Z", "2026-08-01T00:00:00Z"]</x:v>
      </x:c>
      <x:c r="G91" s="11" t="str">
        <x:v>Exact value true</x:v>
      </x:c>
      <x:c r="H91" s="13" t="str">
        <x:v>Not run</x:v>
      </x:c>
      <x:c r="I91" s="13" t="str">
        <x:v>Reference implementation passed; production implementation not run.</x:v>
      </x:c>
      <x:c r="J91" s="13" t="str">
        <x:v>Automated in tests/test_reference.py; fixed expected fixture in fixtures/vectors.json.</x:v>
      </x:c>
    </x:row>
    <x:row r="92" ht="42" customHeight="1">
      <x:c r="A92" s="11" t="str">
        <x:v>UT-086</x:v>
      </x:c>
      <x:c r="B92" s="11" t="str">
        <x:v>CAL20</x:v>
      </x:c>
      <x:c r="C92" s="11" t="str">
        <x:v>P0 / shared control</x:v>
      </x:c>
      <x:c r="D92" s="11" t="str">
        <x:v>Reporting period boundary 2026-08-01T00:00:00Z</x:v>
      </x:c>
      <x:c r="E92" s="11" t="str">
        <x:v>Pure deterministic input; no network, clock or identity service. Function period_contains</x:v>
      </x:c>
      <x:c r="F92" s="11" t="str">
        <x:v>Call period_contains with ["2026-08-01T00:00:00Z", "2026-07-01T00:00:00Z", "2026-08-01T00:00:00Z"]</x:v>
      </x:c>
      <x:c r="G92" s="11" t="str">
        <x:v>Exact value false</x:v>
      </x:c>
      <x:c r="H92" s="13" t="str">
        <x:v>Not run</x:v>
      </x:c>
      <x:c r="I92" s="13" t="str">
        <x:v>Reference implementation passed; production implementation not run.</x:v>
      </x:c>
      <x:c r="J92" s="13" t="str">
        <x:v>Automated in tests/test_reference.py; fixed expected fixture in fixtures/vectors.json.</x:v>
      </x:c>
    </x:row>
    <x:row r="93" ht="42" customHeight="1">
      <x:c r="A93" s="11" t="str">
        <x:v>UT-087</x:v>
      </x:c>
      <x:c r="B93" s="11" t="str">
        <x:v>CAL20</x:v>
      </x:c>
      <x:c r="C93" s="11" t="str">
        <x:v>P0 / shared control</x:v>
      </x:c>
      <x:c r="D93" s="11" t="str">
        <x:v>Reporting period boundary 2026-07-01T05:30:00+05:30</x:v>
      </x:c>
      <x:c r="E93" s="11" t="str">
        <x:v>Pure deterministic input; no network, clock or identity service. Function period_contains</x:v>
      </x:c>
      <x:c r="F93" s="11" t="str">
        <x:v>Call period_contains with ["2026-07-01T05:30:00+05:30", "2026-07-01T00:00:00Z", "2026-08-01T00:00:00Z"]</x:v>
      </x:c>
      <x:c r="G93" s="11" t="str">
        <x:v>Exact value true</x:v>
      </x:c>
      <x:c r="H93" s="13" t="str">
        <x:v>Not run</x:v>
      </x:c>
      <x:c r="I93" s="13" t="str">
        <x:v>Reference implementation passed; production implementation not run.</x:v>
      </x:c>
      <x:c r="J93" s="13" t="str">
        <x:v>Automated in tests/test_reference.py; fixed expected fixture in fixtures/vectors.json.</x:v>
      </x:c>
    </x:row>
    <x:row r="94" ht="42" customHeight="1">
      <x:c r="A94" s="11" t="str">
        <x:v>UT-088</x:v>
      </x:c>
      <x:c r="B94" s="11" t="str">
        <x:v>SC04</x:v>
      </x:c>
      <x:c r="C94" s="11" t="str">
        <x:v>P0 / shared control</x:v>
      </x:c>
      <x:c r="D94" s="11" t="str">
        <x:v>Naive time rejected</x:v>
      </x:c>
      <x:c r="E94" s="11" t="str">
        <x:v>Pure deterministic input; no network, clock or identity service. Function period_contains</x:v>
      </x:c>
      <x:c r="F94" s="11" t="str">
        <x:v>Call period_contains with ["2026-07-01T00:00:00", "2026-07-01T00:00:00Z", "2026-08-01T00:00:00Z"]</x:v>
      </x:c>
      <x:c r="G94" s="11" t="str">
        <x:v>Raises VALIDATION_FAILED</x:v>
      </x:c>
      <x:c r="H94" s="13" t="str">
        <x:v>Not run</x:v>
      </x:c>
      <x:c r="I94" s="13" t="str">
        <x:v>Reference implementation passed; production implementation not run.</x:v>
      </x:c>
      <x:c r="J94" s="13" t="str">
        <x:v>Automated in tests/test_reference.py; fixed expected fixture in fixtures/vectors.json.</x:v>
      </x:c>
    </x:row>
    <x:row r="95" ht="42" customHeight="1">
      <x:c r="A95" s="11" t="str">
        <x:v>UT-089</x:v>
      </x:c>
      <x:c r="B95" s="11" t="str">
        <x:v>SC04</x:v>
      </x:c>
      <x:c r="C95" s="11" t="str">
        <x:v>P0 / shared control</x:v>
      </x:c>
      <x:c r="D95" s="11" t="str">
        <x:v>Invalid period interval rejected</x:v>
      </x:c>
      <x:c r="E95" s="11" t="str">
        <x:v>Pure deterministic input; no network, clock or identity service. Function period_contains</x:v>
      </x:c>
      <x:c r="F95" s="11" t="str">
        <x:v>Call period_contains with ["2026-07-01T00:00:00Z", "2026-08-01T00:00:00Z", "2026-07-01T00:00:00Z"]</x:v>
      </x:c>
      <x:c r="G95" s="11" t="str">
        <x:v>Raises VALIDATION_FAILED</x:v>
      </x:c>
      <x:c r="H95" s="13" t="str">
        <x:v>Not run</x:v>
      </x:c>
      <x:c r="I95" s="13" t="str">
        <x:v>Reference implementation passed; production implementation not run.</x:v>
      </x:c>
      <x:c r="J95" s="13" t="str">
        <x:v>Automated in tests/test_reference.py; fixed expected fixture in fixtures/vectors.json.</x:v>
      </x:c>
    </x:row>
    <x:row r="96" ht="42" customHeight="1">
      <x:c r="A96" s="11" t="str">
        <x:v>UT-090</x:v>
      </x:c>
      <x:c r="B96" s="11" t="str">
        <x:v>SC04</x:v>
      </x:c>
      <x:c r="C96" s="11" t="str">
        <x:v>P0 / shared control</x:v>
      </x:c>
      <x:c r="D96" s="11" t="str">
        <x:v>MISSING is a typed absence</x:v>
      </x:c>
      <x:c r="E96" s="11" t="str">
        <x:v>Pure deterministic input; no network, clock or identity service. Function value_contract</x:v>
      </x:c>
      <x:c r="F96" s="11" t="str">
        <x:v>Call value_contract with ["MISSING", null]</x:v>
      </x:c>
      <x:c r="G96" s="11" t="str">
        <x:v>Exact value null</x:v>
      </x:c>
      <x:c r="H96" s="13" t="str">
        <x:v>Not run</x:v>
      </x:c>
      <x:c r="I96" s="13" t="str">
        <x:v>Reference implementation passed; production implementation not run.</x:v>
      </x:c>
      <x:c r="J96" s="13" t="str">
        <x:v>Automated in tests/test_reference.py; fixed expected fixture in fixtures/vectors.json.</x:v>
      </x:c>
    </x:row>
    <x:row r="97" ht="42" customHeight="1">
      <x:c r="A97" s="11" t="str">
        <x:v>UT-091</x:v>
      </x:c>
      <x:c r="B97" s="11" t="str">
        <x:v>SC04</x:v>
      </x:c>
      <x:c r="C97" s="11" t="str">
        <x:v>P0 / shared control</x:v>
      </x:c>
      <x:c r="D97" s="11" t="str">
        <x:v>NOT_COLLECTED is a typed absence</x:v>
      </x:c>
      <x:c r="E97" s="11" t="str">
        <x:v>Pure deterministic input; no network, clock or identity service. Function value_contract</x:v>
      </x:c>
      <x:c r="F97" s="11" t="str">
        <x:v>Call value_contract with ["NOT_COLLECTED", null]</x:v>
      </x:c>
      <x:c r="G97" s="11" t="str">
        <x:v>Exact value null</x:v>
      </x:c>
      <x:c r="H97" s="13" t="str">
        <x:v>Not run</x:v>
      </x:c>
      <x:c r="I97" s="13" t="str">
        <x:v>Reference implementation passed; production implementation not run.</x:v>
      </x:c>
      <x:c r="J97" s="13" t="str">
        <x:v>Automated in tests/test_reference.py; fixed expected fixture in fixtures/vectors.json.</x:v>
      </x:c>
    </x:row>
    <x:row r="98" ht="42" customHeight="1">
      <x:c r="A98" s="11" t="str">
        <x:v>UT-092</x:v>
      </x:c>
      <x:c r="B98" s="11" t="str">
        <x:v>SC04</x:v>
      </x:c>
      <x:c r="C98" s="11" t="str">
        <x:v>P0 / shared control</x:v>
      </x:c>
      <x:c r="D98" s="11" t="str">
        <x:v>NOT_APPLICABLE is a typed absence</x:v>
      </x:c>
      <x:c r="E98" s="11" t="str">
        <x:v>Pure deterministic input; no network, clock or identity service. Function value_contract</x:v>
      </x:c>
      <x:c r="F98" s="11" t="str">
        <x:v>Call value_contract with ["NOT_APPLICABLE", null]</x:v>
      </x:c>
      <x:c r="G98" s="11" t="str">
        <x:v>Exact value null</x:v>
      </x:c>
      <x:c r="H98" s="13" t="str">
        <x:v>Not run</x:v>
      </x:c>
      <x:c r="I98" s="13" t="str">
        <x:v>Reference implementation passed; production implementation not run.</x:v>
      </x:c>
      <x:c r="J98" s="13" t="str">
        <x:v>Automated in tests/test_reference.py; fixed expected fixture in fixtures/vectors.json.</x:v>
      </x:c>
    </x:row>
    <x:row r="99" ht="42" customHeight="1">
      <x:c r="A99" s="11" t="str">
        <x:v>UT-093</x:v>
      </x:c>
      <x:c r="B99" s="11" t="str">
        <x:v>SC04</x:v>
      </x:c>
      <x:c r="C99" s="11" t="str">
        <x:v>P0 / shared control</x:v>
      </x:c>
      <x:c r="D99" s="11" t="str">
        <x:v>INVALID is a typed absence</x:v>
      </x:c>
      <x:c r="E99" s="11" t="str">
        <x:v>Pure deterministic input; no network, clock or identity service. Function value_contract</x:v>
      </x:c>
      <x:c r="F99" s="11" t="str">
        <x:v>Call value_contract with ["INVALID", null]</x:v>
      </x:c>
      <x:c r="G99" s="11" t="str">
        <x:v>Exact value null</x:v>
      </x:c>
      <x:c r="H99" s="13" t="str">
        <x:v>Not run</x:v>
      </x:c>
      <x:c r="I99" s="13" t="str">
        <x:v>Reference implementation passed; production implementation not run.</x:v>
      </x:c>
      <x:c r="J99" s="13" t="str">
        <x:v>Automated in tests/test_reference.py; fixed expected fixture in fixtures/vectors.json.</x:v>
      </x:c>
    </x:row>
    <x:row r="100" ht="42" customHeight="1">
      <x:c r="A100" s="11" t="str">
        <x:v>UT-094</x:v>
      </x:c>
      <x:c r="B100" s="11" t="str">
        <x:v>SC04</x:v>
      </x:c>
      <x:c r="C100" s="11" t="str">
        <x:v>P0 / shared control</x:v>
      </x:c>
      <x:c r="D100" s="11" t="str">
        <x:v>UNDEFINED is a typed absence</x:v>
      </x:c>
      <x:c r="E100" s="11" t="str">
        <x:v>Pure deterministic input; no network, clock or identity service. Function value_contract</x:v>
      </x:c>
      <x:c r="F100" s="11" t="str">
        <x:v>Call value_contract with ["UNDEFINED", null]</x:v>
      </x:c>
      <x:c r="G100" s="11" t="str">
        <x:v>Exact value null</x:v>
      </x:c>
      <x:c r="H100" s="13" t="str">
        <x:v>Not run</x:v>
      </x:c>
      <x:c r="I100" s="13" t="str">
        <x:v>Reference implementation passed; production implementation not run.</x:v>
      </x:c>
      <x:c r="J100" s="13" t="str">
        <x:v>Automated in tests/test_reference.py; fixed expected fixture in fixtures/vectors.json.</x:v>
      </x:c>
    </x:row>
    <x:row r="101" ht="42" customHeight="1">
      <x:c r="A101" s="11" t="str">
        <x:v>UT-095</x:v>
      </x:c>
      <x:c r="B101" s="11" t="str">
        <x:v>SC04</x:v>
      </x:c>
      <x:c r="C101" s="11" t="str">
        <x:v>P0 / shared control</x:v>
      </x:c>
      <x:c r="D101" s="11" t="str">
        <x:v>Zero is present</x:v>
      </x:c>
      <x:c r="E101" s="11" t="str">
        <x:v>Pure deterministic input; no network, clock or identity service. Function value_contract</x:v>
      </x:c>
      <x:c r="F101" s="11" t="str">
        <x:v>Call value_contract with ["PRESENT", "0"]</x:v>
      </x:c>
      <x:c r="G101" s="11" t="str">
        <x:v>Exact value "0"</x:v>
      </x:c>
      <x:c r="H101" s="13" t="str">
        <x:v>Not run</x:v>
      </x:c>
      <x:c r="I101" s="13" t="str">
        <x:v>Reference implementation passed; production implementation not run.</x:v>
      </x:c>
      <x:c r="J101" s="13" t="str">
        <x:v>Automated in tests/test_reference.py; fixed expected fixture in fixtures/vectors.json.</x:v>
      </x:c>
    </x:row>
    <x:row r="102" ht="42" customHeight="1">
      <x:c r="A102" s="11" t="str">
        <x:v>UT-096</x:v>
      </x:c>
      <x:c r="B102" s="11" t="str">
        <x:v>SC04</x:v>
      </x:c>
      <x:c r="C102" s="11" t="str">
        <x:v>P0 / shared control</x:v>
      </x:c>
      <x:c r="D102" s="11" t="str">
        <x:v>Separate numeric and display workflow states</x:v>
      </x:c>
      <x:c r="E102" s="11" t="str">
        <x:v>Pure deterministic input; no network, clock or identity service. Function value_contract</x:v>
      </x:c>
      <x:c r="F102" s="11" t="str">
        <x:v>Call value_contract with ["PRESENT", null]</x:v>
      </x:c>
      <x:c r="G102" s="11" t="str">
        <x:v>Raises VALIDATION_FAILED</x:v>
      </x:c>
      <x:c r="H102" s="13" t="str">
        <x:v>Not run</x:v>
      </x:c>
      <x:c r="I102" s="13" t="str">
        <x:v>Reference implementation passed; production implementation not run.</x:v>
      </x:c>
      <x:c r="J102" s="13" t="str">
        <x:v>Automated in tests/test_reference.py; fixed expected fixture in fixtures/vectors.json.</x:v>
      </x:c>
    </x:row>
    <x:row r="103" ht="42" customHeight="1">
      <x:c r="A103" s="11" t="str">
        <x:v>UT-097</x:v>
      </x:c>
      <x:c r="B103" s="11" t="str">
        <x:v>SC04</x:v>
      </x:c>
      <x:c r="C103" s="11" t="str">
        <x:v>P0 / shared control</x:v>
      </x:c>
      <x:c r="D103" s="11" t="str">
        <x:v>Separate numeric and display workflow states</x:v>
      </x:c>
      <x:c r="E103" s="11" t="str">
        <x:v>Pure deterministic input; no network, clock or identity service. Function value_contract</x:v>
      </x:c>
      <x:c r="F103" s="11" t="str">
        <x:v>Call value_contract with ["MISSING", "0"]</x:v>
      </x:c>
      <x:c r="G103" s="11" t="str">
        <x:v>Raises VALIDATION_FAILED</x:v>
      </x:c>
      <x:c r="H103" s="13" t="str">
        <x:v>Not run</x:v>
      </x:c>
      <x:c r="I103" s="13" t="str">
        <x:v>Reference implementation passed; production implementation not run.</x:v>
      </x:c>
      <x:c r="J103" s="13" t="str">
        <x:v>Automated in tests/test_reference.py; fixed expected fixture in fixtures/vectors.json.</x:v>
      </x:c>
    </x:row>
    <x:row r="104" ht="42" customHeight="1">
      <x:c r="A104" s="11" t="str">
        <x:v>UT-098</x:v>
      </x:c>
      <x:c r="B104" s="11" t="str">
        <x:v>SC04</x:v>
      </x:c>
      <x:c r="C104" s="11" t="str">
        <x:v>P0 / shared control</x:v>
      </x:c>
      <x:c r="D104" s="11" t="str">
        <x:v>Separate numeric and display workflow states</x:v>
      </x:c>
      <x:c r="E104" s="11" t="str">
        <x:v>Pure deterministic input; no network, clock or identity service. Function value_contract</x:v>
      </x:c>
      <x:c r="F104" s="11" t="str">
        <x:v>Call value_contract with ["SUPPRESSED", "2"]</x:v>
      </x:c>
      <x:c r="G104" s="11" t="str">
        <x:v>Raises VALIDATION_FAILED</x:v>
      </x:c>
      <x:c r="H104" s="13" t="str">
        <x:v>Not run</x:v>
      </x:c>
      <x:c r="I104" s="13" t="str">
        <x:v>Reference implementation passed; production implementation not run.</x:v>
      </x:c>
      <x:c r="J104" s="13" t="str">
        <x:v>Automated in tests/test_reference.py; fixed expected fixture in fixtures/vectors.json.</x:v>
      </x:c>
    </x:row>
    <x:row r="105" ht="42" customHeight="1">
      <x:c r="A105" s="11" t="str">
        <x:v>UT-099</x:v>
      </x:c>
      <x:c r="B105" s="11" t="str">
        <x:v>SC04</x:v>
      </x:c>
      <x:c r="C105" s="11" t="str">
        <x:v>P0 / shared control</x:v>
      </x:c>
      <x:c r="D105" s="11" t="str">
        <x:v>Separate numeric and display workflow states</x:v>
      </x:c>
      <x:c r="E105" s="11" t="str">
        <x:v>Pure deterministic input; no network, clock or identity service. Function value_contract</x:v>
      </x:c>
      <x:c r="F105" s="11" t="str">
        <x:v>Call value_contract with ["PENDING_APPROVAL", null]</x:v>
      </x:c>
      <x:c r="G105" s="11" t="str">
        <x:v>Raises VALIDATION_FAILED</x:v>
      </x:c>
      <x:c r="H105" s="13" t="str">
        <x:v>Not run</x:v>
      </x:c>
      <x:c r="I105" s="13" t="str">
        <x:v>Reference implementation passed; production implementation not run.</x:v>
      </x:c>
      <x:c r="J105" s="13" t="str">
        <x:v>Automated in tests/test_reference.py; fixed expected fixture in fixtures/vectors.json.</x:v>
      </x:c>
    </x:row>
    <x:row r="106" ht="42" customHeight="1">
      <x:c r="A106" s="11" t="str">
        <x:v>UT-100</x:v>
      </x:c>
      <x:c r="B106" s="11" t="str">
        <x:v>AT12</x:v>
      </x:c>
      <x:c r="C106" s="11" t="str">
        <x:v>P0 / shared control</x:v>
      </x:c>
      <x:c r="D106" s="11" t="str">
        <x:v>Independent current reviewer approves exact revision</x:v>
      </x:c>
      <x:c r="E106" s="11" t="str">
        <x:v>Pure deterministic input; no network, clock or identity service. Function approve</x:v>
      </x:c>
      <x:c r="F106" s="11" t="str">
        <x:v>Call approve with ["reviewer", ["author"], true, "r1", "r1"]</x:v>
      </x:c>
      <x:c r="G106" s="11" t="str">
        <x:v>Exact value true</x:v>
      </x:c>
      <x:c r="H106" s="13" t="str">
        <x:v>Not run</x:v>
      </x:c>
      <x:c r="I106" s="13" t="str">
        <x:v>Reference implementation passed; production implementation not run.</x:v>
      </x:c>
      <x:c r="J106" s="13" t="str">
        <x:v>Automated in tests/test_reference.py; fixed expected fixture in fixtures/vectors.json.</x:v>
      </x:c>
    </x:row>
    <x:row r="107" ht="42" customHeight="1">
      <x:c r="A107" s="11" t="str">
        <x:v>UT-101</x:v>
      </x:c>
      <x:c r="B107" s="11" t="str">
        <x:v>AT12</x:v>
      </x:c>
      <x:c r="C107" s="11" t="str">
        <x:v>P0 / shared control</x:v>
      </x:c>
      <x:c r="D107" s="11" t="str">
        <x:v>Verified natural identity prevents self approval</x:v>
      </x:c>
      <x:c r="E107" s="11" t="str">
        <x:v>Pure deterministic input; no network, clock or identity service. Function approve</x:v>
      </x:c>
      <x:c r="F107" s="11" t="str">
        <x:v>Call approve with ["author", ["author"], true, "r1", "r1"]</x:v>
      </x:c>
      <x:c r="G107" s="11" t="str">
        <x:v>Raises INDEPENDENCE_REQUIRED</x:v>
      </x:c>
      <x:c r="H107" s="13" t="str">
        <x:v>Not run</x:v>
      </x:c>
      <x:c r="I107" s="13" t="str">
        <x:v>Reference implementation passed; production implementation not run.</x:v>
      </x:c>
      <x:c r="J107" s="13" t="str">
        <x:v>Automated in tests/test_reference.py; fixed expected fixture in fixtures/vectors.json.</x:v>
      </x:c>
    </x:row>
    <x:row r="108" ht="42" customHeight="1">
      <x:c r="A108" s="11" t="str">
        <x:v>UT-102</x:v>
      </x:c>
      <x:c r="B108" s="11" t="str">
        <x:v>SC04</x:v>
      </x:c>
      <x:c r="C108" s="11" t="str">
        <x:v>P0 / shared control</x:v>
      </x:c>
      <x:c r="D108" s="11" t="str">
        <x:v>Revoked reviewer cannot decide</x:v>
      </x:c>
      <x:c r="E108" s="11" t="str">
        <x:v>Pure deterministic input; no network, clock or identity service. Function approve</x:v>
      </x:c>
      <x:c r="F108" s="11" t="str">
        <x:v>Call approve with ["reviewer", ["author"], false, "r1", "r1"]</x:v>
      </x:c>
      <x:c r="G108" s="11" t="str">
        <x:v>Raises POLICY_DENIED</x:v>
      </x:c>
      <x:c r="H108" s="13" t="str">
        <x:v>Not run</x:v>
      </x:c>
      <x:c r="I108" s="13" t="str">
        <x:v>Reference implementation passed; production implementation not run.</x:v>
      </x:c>
      <x:c r="J108" s="13" t="str">
        <x:v>Automated in tests/test_reference.py; fixed expected fixture in fixtures/vectors.json.</x:v>
      </x:c>
    </x:row>
    <x:row r="109" ht="42" customHeight="1">
      <x:c r="A109" s="11" t="str">
        <x:v>UT-103</x:v>
      </x:c>
      <x:c r="B109" s="11" t="str">
        <x:v>SC04</x:v>
      </x:c>
      <x:c r="C109" s="11" t="str">
        <x:v>P0 / shared control</x:v>
      </x:c>
      <x:c r="D109" s="11" t="str">
        <x:v>Stale candidate cannot receive approval</x:v>
      </x:c>
      <x:c r="E109" s="11" t="str">
        <x:v>Pure deterministic input; no network, clock or identity service. Function approve</x:v>
      </x:c>
      <x:c r="F109" s="11" t="str">
        <x:v>Call approve with ["reviewer", ["author"], true, "r1", "r2"]</x:v>
      </x:c>
      <x:c r="G109" s="11" t="str">
        <x:v>Raises CONFLICT_VERSION</x:v>
      </x:c>
      <x:c r="H109" s="13" t="str">
        <x:v>Not run</x:v>
      </x:c>
      <x:c r="I109" s="13" t="str">
        <x:v>Reference implementation passed; production implementation not run.</x:v>
      </x:c>
      <x:c r="J109" s="13" t="str">
        <x:v>Automated in tests/test_reference.py; fixed expected fixture in fixtures/vectors.json.</x:v>
      </x:c>
    </x:row>
    <x:row r="110" ht="42" customHeight="1">
      <x:c r="A110" s="11" t="str">
        <x:v>UT-104</x:v>
      </x:c>
      <x:c r="B110" s="11" t="str">
        <x:v>SC04</x:v>
      </x:c>
      <x:c r="C110" s="11" t="str">
        <x:v>P0 / shared control</x:v>
      </x:c>
      <x:c r="D110" s="11" t="str">
        <x:v>Repeated reviewer does not satisfy quorum</x:v>
      </x:c>
      <x:c r="E110" s="11" t="str">
        <x:v>Pure deterministic input; no network, clock or identity service. Function approve</x:v>
      </x:c>
      <x:c r="F110" s="11" t="str">
        <x:v>Call approve with ["r1", ["author"], true, "v", "v", ["r1"], 2]</x:v>
      </x:c>
      <x:c r="G110" s="11" t="str">
        <x:v>Exact value false</x:v>
      </x:c>
      <x:c r="H110" s="13" t="str">
        <x:v>Not run</x:v>
      </x:c>
      <x:c r="I110" s="13" t="str">
        <x:v>Reference implementation passed; production implementation not run.</x:v>
      </x:c>
      <x:c r="J110" s="13" t="str">
        <x:v>Automated in tests/test_reference.py; fixed expected fixture in fixtures/vectors.json.</x:v>
      </x:c>
    </x:row>
    <x:row r="111" ht="42" customHeight="1">
      <x:c r="A111" s="11" t="str">
        <x:v>UT-105</x:v>
      </x:c>
      <x:c r="B111" s="11" t="str">
        <x:v>SC04</x:v>
      </x:c>
      <x:c r="C111" s="11" t="str">
        <x:v>P0 / shared control</x:v>
      </x:c>
      <x:c r="D111" s="11" t="str">
        <x:v>Two distinct eligible reviewers satisfy quorum</x:v>
      </x:c>
      <x:c r="E111" s="11" t="str">
        <x:v>Pure deterministic input; no network, clock or identity service. Function approve</x:v>
      </x:c>
      <x:c r="F111" s="11" t="str">
        <x:v>Call approve with ["r2", ["author"], true, "v", "v", ["r1"], 2]</x:v>
      </x:c>
      <x:c r="G111" s="11" t="str">
        <x:v>Exact value true</x:v>
      </x:c>
      <x:c r="H111" s="13" t="str">
        <x:v>Not run</x:v>
      </x:c>
      <x:c r="I111" s="13" t="str">
        <x:v>Reference implementation passed; production implementation not run.</x:v>
      </x:c>
      <x:c r="J111" s="13" t="str">
        <x:v>Automated in tests/test_reference.py; fixed expected fixture in fixtures/vectors.json.</x:v>
      </x:c>
    </x:row>
    <x:row r="112" ht="42" customHeight="1">
      <x:c r="A112" s="11" t="str">
        <x:v>UT-106</x:v>
      </x:c>
      <x:c r="B112" s="11" t="str">
        <x:v>VF-OFF-001</x:v>
      </x:c>
      <x:c r="C112" s="11" t="str">
        <x:v>P0 / shared control</x:v>
      </x:c>
      <x:c r="D112" s="11" t="str">
        <x:v>Offline lease boundary 0</x:v>
      </x:c>
      <x:c r="E112" s="11" t="str">
        <x:v>Pure deterministic input; no network, clock or identity service. Function offline_allowed</x:v>
      </x:c>
      <x:c r="F112" s="11" t="str">
        <x:v>Call offline_allowed with [0, false]</x:v>
      </x:c>
      <x:c r="G112" s="11" t="str">
        <x:v>Exact value true</x:v>
      </x:c>
      <x:c r="H112" s="13" t="str">
        <x:v>Not run</x:v>
      </x:c>
      <x:c r="I112" s="13" t="str">
        <x:v>Reference implementation passed; production implementation not run.</x:v>
      </x:c>
      <x:c r="J112" s="13" t="str">
        <x:v>Automated in tests/test_reference.py; fixed expected fixture in fixtures/vectors.json.</x:v>
      </x:c>
    </x:row>
    <x:row r="113" ht="42" customHeight="1">
      <x:c r="A113" s="11" t="str">
        <x:v>UT-107</x:v>
      </x:c>
      <x:c r="B113" s="11" t="str">
        <x:v>VF-OFF-001</x:v>
      </x:c>
      <x:c r="C113" s="11" t="str">
        <x:v>P0 / shared control</x:v>
      </x:c>
      <x:c r="D113" s="11" t="str">
        <x:v>Offline lease boundary 86399</x:v>
      </x:c>
      <x:c r="E113" s="11" t="str">
        <x:v>Pure deterministic input; no network, clock or identity service. Function offline_allowed</x:v>
      </x:c>
      <x:c r="F113" s="11" t="str">
        <x:v>Call offline_allowed with [86399, false]</x:v>
      </x:c>
      <x:c r="G113" s="11" t="str">
        <x:v>Exact value true</x:v>
      </x:c>
      <x:c r="H113" s="13" t="str">
        <x:v>Not run</x:v>
      </x:c>
      <x:c r="I113" s="13" t="str">
        <x:v>Reference implementation passed; production implementation not run.</x:v>
      </x:c>
      <x:c r="J113" s="13" t="str">
        <x:v>Automated in tests/test_reference.py; fixed expected fixture in fixtures/vectors.json.</x:v>
      </x:c>
    </x:row>
    <x:row r="114" ht="42" customHeight="1">
      <x:c r="A114" s="11" t="str">
        <x:v>UT-108</x:v>
      </x:c>
      <x:c r="B114" s="11" t="str">
        <x:v>VF-OFF-001</x:v>
      </x:c>
      <x:c r="C114" s="11" t="str">
        <x:v>P0 / shared control</x:v>
      </x:c>
      <x:c r="D114" s="11" t="str">
        <x:v>Offline lease boundary 86400</x:v>
      </x:c>
      <x:c r="E114" s="11" t="str">
        <x:v>Pure deterministic input; no network, clock or identity service. Function offline_allowed</x:v>
      </x:c>
      <x:c r="F114" s="11" t="str">
        <x:v>Call offline_allowed with [86400, false]</x:v>
      </x:c>
      <x:c r="G114" s="11" t="str">
        <x:v>Exact value false</x:v>
      </x:c>
      <x:c r="H114" s="13" t="str">
        <x:v>Not run</x:v>
      </x:c>
      <x:c r="I114" s="13" t="str">
        <x:v>Reference implementation passed; production implementation not run.</x:v>
      </x:c>
      <x:c r="J114" s="13" t="str">
        <x:v>Automated in tests/test_reference.py; fixed expected fixture in fixtures/vectors.json.</x:v>
      </x:c>
    </x:row>
    <x:row r="115" ht="42" customHeight="1">
      <x:c r="A115" s="11" t="str">
        <x:v>UT-109</x:v>
      </x:c>
      <x:c r="B115" s="11" t="str">
        <x:v>VF-OFF-001</x:v>
      </x:c>
      <x:c r="C115" s="11" t="str">
        <x:v>P0 / shared control</x:v>
      </x:c>
      <x:c r="D115" s="11" t="str">
        <x:v>Offline lease boundary 28799</x:v>
      </x:c>
      <x:c r="E115" s="11" t="str">
        <x:v>Pure deterministic input; no network, clock or identity service. Function offline_allowed</x:v>
      </x:c>
      <x:c r="F115" s="11" t="str">
        <x:v>Call offline_allowed with [28799, true]</x:v>
      </x:c>
      <x:c r="G115" s="11" t="str">
        <x:v>Exact value true</x:v>
      </x:c>
      <x:c r="H115" s="13" t="str">
        <x:v>Not run</x:v>
      </x:c>
      <x:c r="I115" s="13" t="str">
        <x:v>Reference implementation passed; production implementation not run.</x:v>
      </x:c>
      <x:c r="J115" s="13" t="str">
        <x:v>Automated in tests/test_reference.py; fixed expected fixture in fixtures/vectors.json.</x:v>
      </x:c>
    </x:row>
    <x:row r="116" ht="42" customHeight="1">
      <x:c r="A116" s="11" t="str">
        <x:v>UT-110</x:v>
      </x:c>
      <x:c r="B116" s="11" t="str">
        <x:v>VF-OFF-001</x:v>
      </x:c>
      <x:c r="C116" s="11" t="str">
        <x:v>P0 / shared control</x:v>
      </x:c>
      <x:c r="D116" s="11" t="str">
        <x:v>Offline lease boundary 28800</x:v>
      </x:c>
      <x:c r="E116" s="11" t="str">
        <x:v>Pure deterministic input; no network, clock or identity service. Function offline_allowed</x:v>
      </x:c>
      <x:c r="F116" s="11" t="str">
        <x:v>Call offline_allowed with [28800, true]</x:v>
      </x:c>
      <x:c r="G116" s="11" t="str">
        <x:v>Exact value false</x:v>
      </x:c>
      <x:c r="H116" s="13" t="str">
        <x:v>Not run</x:v>
      </x:c>
      <x:c r="I116" s="13" t="str">
        <x:v>Reference implementation passed; production implementation not run.</x:v>
      </x:c>
      <x:c r="J116" s="13" t="str">
        <x:v>Automated in tests/test_reference.py; fixed expected fixture in fixtures/vectors.json.</x:v>
      </x:c>
    </x:row>
    <x:row r="117" ht="42" customHeight="1">
      <x:c r="A117" s="11" t="str">
        <x:v>UT-111</x:v>
      </x:c>
      <x:c r="B117" s="11" t="str">
        <x:v>VF-OFF-001</x:v>
      </x:c>
      <x:c r="C117" s="11" t="str">
        <x:v>P0 / shared control</x:v>
      </x:c>
      <x:c r="D117" s="11" t="str">
        <x:v>Offline lease boundary -1</x:v>
      </x:c>
      <x:c r="E117" s="11" t="str">
        <x:v>Pure deterministic input; no network, clock or identity service. Function offline_allowed</x:v>
      </x:c>
      <x:c r="F117" s="11" t="str">
        <x:v>Call offline_allowed with [-1, false]</x:v>
      </x:c>
      <x:c r="G117" s="11" t="str">
        <x:v>Exact value false</x:v>
      </x:c>
      <x:c r="H117" s="13" t="str">
        <x:v>Not run</x:v>
      </x:c>
      <x:c r="I117" s="13" t="str">
        <x:v>Reference implementation passed; production implementation not run.</x:v>
      </x:c>
      <x:c r="J117" s="13" t="str">
        <x:v>Automated in tests/test_reference.py; fixed expected fixture in fixtures/vectors.json.</x:v>
      </x:c>
    </x:row>
    <x:row r="118" ht="42" customHeight="1">
      <x:c r="A118" s="11" t="str">
        <x:v>UT-112</x:v>
      </x:c>
      <x:c r="B118" s="11" t="str">
        <x:v>SC04</x:v>
      </x:c>
      <x:c r="C118" s="11" t="str">
        <x:v>P0 / shared control</x:v>
      </x:c>
      <x:c r="D118" s="11" t="str">
        <x:v>Lost monotonic anchor locks restricted package</x:v>
      </x:c>
      <x:c r="E118" s="11" t="str">
        <x:v>Pure deterministic input; no network, clock or identity service. Function offline_allowed</x:v>
      </x:c>
      <x:c r="F118" s="11" t="str">
        <x:v>Call offline_allowed with [1, true, false, false]</x:v>
      </x:c>
      <x:c r="G118" s="11" t="str">
        <x:v>Exact value false</x:v>
      </x:c>
      <x:c r="H118" s="13" t="str">
        <x:v>Not run</x:v>
      </x:c>
      <x:c r="I118" s="13" t="str">
        <x:v>Reference implementation passed; production implementation not run.</x:v>
      </x:c>
      <x:c r="J118" s="13" t="str">
        <x:v>Automated in tests/test_reference.py; fixed expected fixture in fixtures/vectors.json.</x:v>
      </x:c>
    </x:row>
    <x:row r="119" ht="42" customHeight="1">
      <x:c r="A119" s="11" t="str">
        <x:v>UT-113</x:v>
      </x:c>
      <x:c r="B119" s="11" t="str">
        <x:v>SC04</x:v>
      </x:c>
      <x:c r="C119" s="11" t="str">
        <x:v>P0 / shared control</x:v>
      </x:c>
      <x:c r="D119" s="11" t="str">
        <x:v>Known revocation locks cached package</x:v>
      </x:c>
      <x:c r="E119" s="11" t="str">
        <x:v>Pure deterministic input; no network, clock or identity service. Function offline_allowed</x:v>
      </x:c>
      <x:c r="F119" s="11" t="str">
        <x:v>Call offline_allowed with [1, false, true, true]</x:v>
      </x:c>
      <x:c r="G119" s="11" t="str">
        <x:v>Exact value false</x:v>
      </x:c>
      <x:c r="H119" s="13" t="str">
        <x:v>Not run</x:v>
      </x:c>
      <x:c r="I119" s="13" t="str">
        <x:v>Reference implementation passed; production implementation not run.</x:v>
      </x:c>
      <x:c r="J119" s="13" t="str">
        <x:v>Automated in tests/test_reference.py; fixed expected fixture in fixtures/vectors.json.</x:v>
      </x:c>
    </x:row>
    <x:row r="120" ht="42" customHeight="1">
      <x:c r="A120" s="11" t="str">
        <x:v>UT-114</x:v>
      </x:c>
      <x:c r="B120" s="11" t="str">
        <x:v>SC03</x:v>
      </x:c>
      <x:c r="C120" s="11" t="str">
        <x:v>P0 / shared control</x:v>
      </x:c>
      <x:c r="D120" s="11" t="str">
        <x:v>Identical intent reuses recorded outcome</x:v>
      </x:c>
      <x:c r="E120" s="11" t="str">
        <x:v>Pure deterministic input; no network, clock or identity service. Function replay</x:v>
      </x:c>
      <x:c r="F120" s="11" t="str">
        <x:v>Call replay with ["abc", "abc", true]</x:v>
      </x:c>
      <x:c r="G120" s="11" t="str">
        <x:v>Exact value "ORIGINAL_RECEIPT"</x:v>
      </x:c>
      <x:c r="H120" s="13" t="str">
        <x:v>Not run</x:v>
      </x:c>
      <x:c r="I120" s="13" t="str">
        <x:v>Reference implementation passed; production implementation not run.</x:v>
      </x:c>
      <x:c r="J120" s="13" t="str">
        <x:v>Automated in tests/test_reference.py; fixed expected fixture in fixtures/vectors.json.</x:v>
      </x:c>
    </x:row>
    <x:row r="121" ht="42" customHeight="1">
      <x:c r="A121" s="11" t="str">
        <x:v>UT-115</x:v>
      </x:c>
      <x:c r="B121" s="11" t="str">
        <x:v>SC03</x:v>
      </x:c>
      <x:c r="C121" s="11" t="str">
        <x:v>P0 / shared control</x:v>
      </x:c>
      <x:c r="D121" s="11" t="str">
        <x:v>Changed intent under same operation ID rejected</x:v>
      </x:c>
      <x:c r="E121" s="11" t="str">
        <x:v>Pure deterministic input; no network, clock or identity service. Function replay</x:v>
      </x:c>
      <x:c r="F121" s="11" t="str">
        <x:v>Call replay with ["abc", "xyz", true]</x:v>
      </x:c>
      <x:c r="G121" s="11" t="str">
        <x:v>Raises CONFLICT_OPERATION</x:v>
      </x:c>
      <x:c r="H121" s="13" t="str">
        <x:v>Not run</x:v>
      </x:c>
      <x:c r="I121" s="13" t="str">
        <x:v>Reference implementation passed; production implementation not run.</x:v>
      </x:c>
      <x:c r="J121" s="13" t="str">
        <x:v>Automated in tests/test_reference.py; fixed expected fixture in fixtures/vectors.json.</x:v>
      </x:c>
    </x:row>
    <x:row r="122" ht="42" customHeight="1">
      <x:c r="A122" s="11" t="str">
        <x:v>UT-116</x:v>
      </x:c>
      <x:c r="B122" s="11" t="str">
        <x:v>SC03</x:v>
      </x:c>
      <x:c r="C122" s="11" t="str">
        <x:v>P0 / shared control</x:v>
      </x:c>
      <x:c r="D122" s="11" t="str">
        <x:v>Replay rechecks current authority</x:v>
      </x:c>
      <x:c r="E122" s="11" t="str">
        <x:v>Pure deterministic input; no network, clock or identity service. Function replay</x:v>
      </x:c>
      <x:c r="F122" s="11" t="str">
        <x:v>Call replay with ["abc", "abc", false]</x:v>
      </x:c>
      <x:c r="G122" s="11" t="str">
        <x:v>Raises POLICY_DENIED</x:v>
      </x:c>
      <x:c r="H122" s="13" t="str">
        <x:v>Not run</x:v>
      </x:c>
      <x:c r="I122" s="13" t="str">
        <x:v>Reference implementation passed; production implementation not run.</x:v>
      </x:c>
      <x:c r="J122" s="13" t="str">
        <x:v>Automated in tests/test_reference.py; fixed expected fixture in fixtures/vectors.json.</x:v>
      </x:c>
    </x:row>
    <x:row r="123" ht="42" customHeight="1">
      <x:c r="A123" s="11" t="str">
        <x:v>UT-117</x:v>
      </x:c>
      <x:c r="B123" s="11" t="str">
        <x:v>SC04</x:v>
      </x:c>
      <x:c r="C123" s="11" t="str">
        <x:v>P0 / shared control</x:v>
      </x:c>
      <x:c r="D123" s="11" t="str">
        <x:v>Current optimistic revision accepted</x:v>
      </x:c>
      <x:c r="E123" s="11" t="str">
        <x:v>Pure deterministic input; no network, clock or identity service. Function revision</x:v>
      </x:c>
      <x:c r="F123" s="11" t="str">
        <x:v>Call revision with ["r1", "r1"]</x:v>
      </x:c>
      <x:c r="G123" s="11" t="str">
        <x:v>Exact value true</x:v>
      </x:c>
      <x:c r="H123" s="13" t="str">
        <x:v>Not run</x:v>
      </x:c>
      <x:c r="I123" s="13" t="str">
        <x:v>Reference implementation passed; production implementation not run.</x:v>
      </x:c>
      <x:c r="J123" s="13" t="str">
        <x:v>Automated in tests/test_reference.py; fixed expected fixture in fixtures/vectors.json.</x:v>
      </x:c>
    </x:row>
    <x:row r="124" ht="42" customHeight="1">
      <x:c r="A124" s="11" t="str">
        <x:v>UT-118</x:v>
      </x:c>
      <x:c r="B124" s="11" t="str">
        <x:v>SC04</x:v>
      </x:c>
      <x:c r="C124" s="11" t="str">
        <x:v>P0 / shared control</x:v>
      </x:c>
      <x:c r="D124" s="11" t="str">
        <x:v>Lost update prevented</x:v>
      </x:c>
      <x:c r="E124" s="11" t="str">
        <x:v>Pure deterministic input; no network, clock or identity service. Function revision</x:v>
      </x:c>
      <x:c r="F124" s="11" t="str">
        <x:v>Call revision with ["r1", "r2"]</x:v>
      </x:c>
      <x:c r="G124" s="11" t="str">
        <x:v>Raises CONFLICT_VERSION</x:v>
      </x:c>
      <x:c r="H124" s="13" t="str">
        <x:v>Not run</x:v>
      </x:c>
      <x:c r="I124" s="13" t="str">
        <x:v>Reference implementation passed; production implementation not run.</x:v>
      </x:c>
      <x:c r="J124" s="13" t="str">
        <x:v>Automated in tests/test_reference.py; fixed expected fixture in fixtures/vectors.json.</x:v>
      </x:c>
    </x:row>
    <x:row r="125" ht="42" customHeight="1">
      <x:c r="A125" s="11" t="str">
        <x:v>UT-119</x:v>
      </x:c>
      <x:c r="B125" s="11" t="str">
        <x:v>SC04</x:v>
      </x:c>
      <x:c r="C125" s="11" t="str">
        <x:v>P0 / shared control</x:v>
      </x:c>
      <x:c r="D125" s="11" t="str">
        <x:v>All parsed rows have exactly one terminal outcome</x:v>
      </x:c>
      <x:c r="E125" s="11" t="str">
        <x:v>Pure deterministic input; no network, clock or identity service. Function row_accounting</x:v>
      </x:c>
      <x:c r="F125" s="11" t="str">
        <x:v>Call row_accounting with [10, [4, 2, 1, 1, 1, 1]]</x:v>
      </x:c>
      <x:c r="G125" s="11" t="str">
        <x:v>Exact value true</x:v>
      </x:c>
      <x:c r="H125" s="13" t="str">
        <x:v>Not run</x:v>
      </x:c>
      <x:c r="I125" s="13" t="str">
        <x:v>Reference implementation passed; production implementation not run.</x:v>
      </x:c>
      <x:c r="J125" s="13" t="str">
        <x:v>Automated in tests/test_reference.py; fixed expected fixture in fixtures/vectors.json.</x:v>
      </x:c>
    </x:row>
    <x:row r="126" ht="42" customHeight="1">
      <x:c r="A126" s="11" t="str">
        <x:v>UT-120</x:v>
      </x:c>
      <x:c r="B126" s="11" t="str">
        <x:v>SC04</x:v>
      </x:c>
      <x:c r="C126" s="11" t="str">
        <x:v>P0 / shared control</x:v>
      </x:c>
      <x:c r="D126" s="11" t="str">
        <x:v>All parsed rows have exactly one terminal outcome</x:v>
      </x:c>
      <x:c r="E126" s="11" t="str">
        <x:v>Pure deterministic input; no network, clock or identity service. Function row_accounting</x:v>
      </x:c>
      <x:c r="F126" s="11" t="str">
        <x:v>Call row_accounting with [10, [4, 2, 1, 1, 1, 0]]</x:v>
      </x:c>
      <x:c r="G126" s="11" t="str">
        <x:v>Exact value false</x:v>
      </x:c>
      <x:c r="H126" s="13" t="str">
        <x:v>Not run</x:v>
      </x:c>
      <x:c r="I126" s="13" t="str">
        <x:v>Reference implementation passed; production implementation not run.</x:v>
      </x:c>
      <x:c r="J126" s="13" t="str">
        <x:v>Automated in tests/test_reference.py; fixed expected fixture in fixtures/vectors.json.</x:v>
      </x:c>
    </x:row>
    <x:row r="127" ht="42" customHeight="1">
      <x:c r="A127" s="11" t="str">
        <x:v>UT-121</x:v>
      </x:c>
      <x:c r="B127" s="11" t="str">
        <x:v>SC04</x:v>
      </x:c>
      <x:c r="C127" s="11" t="str">
        <x:v>P0 / shared control</x:v>
      </x:c>
      <x:c r="D127" s="11" t="str">
        <x:v>All parsed rows have exactly one terminal outcome</x:v>
      </x:c>
      <x:c r="E127" s="11" t="str">
        <x:v>Pure deterministic input; no network, clock or identity service. Function row_accounting</x:v>
      </x:c>
      <x:c r="F127" s="11" t="str">
        <x:v>Call row_accounting with [0, [0, 0, 0, 0, 0, 0]]</x:v>
      </x:c>
      <x:c r="G127" s="11" t="str">
        <x:v>Exact value true</x:v>
      </x:c>
      <x:c r="H127" s="13" t="str">
        <x:v>Not run</x:v>
      </x:c>
      <x:c r="I127" s="13" t="str">
        <x:v>Reference implementation passed; production implementation not run.</x:v>
      </x:c>
      <x:c r="J127" s="13" t="str">
        <x:v>Automated in tests/test_reference.py; fixed expected fixture in fixtures/vectors.json.</x:v>
      </x:c>
    </x:row>
    <x:row r="128" ht="42" customHeight="1">
      <x:c r="A128" s="11" t="str">
        <x:v>UT-122</x:v>
      </x:c>
      <x:c r="B128" s="11" t="str">
        <x:v>SC04</x:v>
      </x:c>
      <x:c r="C128" s="11" t="str">
        <x:v>P0 / shared control</x:v>
      </x:c>
      <x:c r="D128" s="11" t="str">
        <x:v>Invalid row manifest rejected</x:v>
      </x:c>
      <x:c r="E128" s="11" t="str">
        <x:v>Pure deterministic input; no network, clock or identity service. Function row_accounting</x:v>
      </x:c>
      <x:c r="F128" s="11" t="str">
        <x:v>Call row_accounting with [1, [-1, 0, 0, 0, 0, 2]]</x:v>
      </x:c>
      <x:c r="G128" s="11" t="str">
        <x:v>Raises VALIDATION_FAILED</x:v>
      </x:c>
      <x:c r="H128" s="13" t="str">
        <x:v>Not run</x:v>
      </x:c>
      <x:c r="I128" s="13" t="str">
        <x:v>Reference implementation passed; production implementation not run.</x:v>
      </x:c>
      <x:c r="J128" s="13" t="str">
        <x:v>Automated in tests/test_reference.py; fixed expected fixture in fixtures/vectors.json.</x:v>
      </x:c>
    </x:row>
    <x:row r="129" ht="42" customHeight="1">
      <x:c r="A129" s="11" t="str">
        <x:v>UT-123</x:v>
      </x:c>
      <x:c r="B129" s="11" t="str">
        <x:v>SC04</x:v>
      </x:c>
      <x:c r="C129" s="11" t="str">
        <x:v>P0 / shared control</x:v>
      </x:c>
      <x:c r="D129" s="11" t="str">
        <x:v>Invalid row manifest rejected</x:v>
      </x:c>
      <x:c r="E129" s="11" t="str">
        <x:v>Pure deterministic input; no network, clock or identity service. Function row_accounting</x:v>
      </x:c>
      <x:c r="F129" s="11" t="str">
        <x:v>Call row_accounting with [1, [1, 0]]</x:v>
      </x:c>
      <x:c r="G129" s="11" t="str">
        <x:v>Raises VALIDATION_FAILED</x:v>
      </x:c>
      <x:c r="H129" s="13" t="str">
        <x:v>Not run</x:v>
      </x:c>
      <x:c r="I129" s="13" t="str">
        <x:v>Reference implementation passed; production implementation not run.</x:v>
      </x:c>
      <x:c r="J129" s="13" t="str">
        <x:v>Automated in tests/test_reference.py; fixed expected fixture in fixtures/vectors.json.</x:v>
      </x:c>
    </x:row>
    <x:row r="130" ht="42" customHeight="1">
      <x:c r="A130" s="11" t="str">
        <x:v>UT-124</x:v>
      </x:c>
      <x:c r="B130" s="11" t="str">
        <x:v>SC04</x:v>
      </x:c>
      <x:c r="C130" s="11" t="str">
        <x:v>P0 / shared control</x:v>
      </x:c>
      <x:c r="D130" s="11" t="str">
        <x:v>Invalid row manifest rejected</x:v>
      </x:c>
      <x:c r="E130" s="11" t="str">
        <x:v>Pure deterministic input; no network, clock or identity service. Function row_accounting</x:v>
      </x:c>
      <x:c r="F130" s="11" t="str">
        <x:v>Call row_accounting with [true, [1, 0, 0, 0, 0, 0]]</x:v>
      </x:c>
      <x:c r="G130" s="11" t="str">
        <x:v>Raises VALIDATION_FAILED</x:v>
      </x:c>
      <x:c r="H130" s="13" t="str">
        <x:v>Not run</x:v>
      </x:c>
      <x:c r="I130" s="13" t="str">
        <x:v>Reference implementation passed; production implementation not run.</x:v>
      </x:c>
      <x:c r="J130" s="13" t="str">
        <x:v>Automated in tests/test_reference.py; fixed expected fixture in fixtures/vectors.json.</x:v>
      </x:c>
    </x:row>
    <x:row r="131" ht="116" customHeight="1">
      <x:c r="A131" s="11" t="str">
        <x:v>UT-125</x:v>
      </x:c>
      <x:c r="B131" s="11" t="str">
        <x:v>SC04</x:v>
      </x:c>
      <x:c r="C131" s="11" t="str">
        <x:v>P0 / shared control</x:v>
      </x:c>
      <x:c r="D131" s="11" t="str">
        <x:v>Unicode scalar limit accepts 64 emoji</x:v>
      </x:c>
      <x:c r="E131" s="11" t="str">
        <x:v>Pure deterministic input; no network, clock or identity service. Function text_limit</x:v>
      </x:c>
      <x:c r="F131" s="11" t="str">
        <x:v>Call text_limit with ["\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 64]</x:v>
      </x:c>
      <x:c r="G131" s="11" t="str">
        <x:v>Exact value true</x:v>
      </x:c>
      <x:c r="H131" s="13" t="str">
        <x:v>Not run</x:v>
      </x:c>
      <x:c r="I131" s="13" t="str">
        <x:v>Reference implementation passed; production implementation not run.</x:v>
      </x:c>
      <x:c r="J131" s="13" t="str">
        <x:v>Automated in tests/test_reference.py; fixed expected fixture in fixtures/vectors.json.</x:v>
      </x:c>
    </x:row>
    <x:row r="132" ht="116" customHeight="1">
      <x:c r="A132" s="11" t="str">
        <x:v>UT-126</x:v>
      </x:c>
      <x:c r="B132" s="11" t="str">
        <x:v>SC04</x:v>
      </x:c>
      <x:c r="C132" s="11" t="str">
        <x:v>P0 / shared control</x:v>
      </x:c>
      <x:c r="D132" s="11" t="str">
        <x:v>65 emoji exceeds code limit</x:v>
      </x:c>
      <x:c r="E132" s="11" t="str">
        <x:v>Pure deterministic input; no network, clock or identity service. Function text_limit</x:v>
      </x:c>
      <x:c r="F132" s="11" t="str">
        <x:v>Call text_limit with ["\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 64]</x:v>
      </x:c>
      <x:c r="G132" s="11" t="str">
        <x:v>Raises VALIDATION_FAILED</x:v>
      </x:c>
      <x:c r="H132" s="13" t="str">
        <x:v>Not run</x:v>
      </x:c>
      <x:c r="I132" s="13" t="str">
        <x:v>Reference implementation passed; production implementation not run.</x:v>
      </x:c>
      <x:c r="J132" s="13" t="str">
        <x:v>Automated in tests/test_reference.py; fixed expected fixture in fixtures/vectors.json.</x:v>
      </x:c>
    </x:row>
    <x:row r="133" ht="42" customHeight="1">
      <x:c r="A133" s="11" t="str">
        <x:v>UT-127</x:v>
      </x:c>
      <x:c r="B133" s="11" t="str">
        <x:v>SC04</x:v>
      </x:c>
      <x:c r="C133" s="11" t="str">
        <x:v>P0 / shared control</x:v>
      </x:c>
      <x:c r="D133" s="11" t="str">
        <x:v>Unpaired surrogate rejected</x:v>
      </x:c>
      <x:c r="E133" s="11" t="str">
        <x:v>Pure deterministic input; no network, clock or identity service. Function text_limit</x:v>
      </x:c>
      <x:c r="F133" s="11" t="str">
        <x:v>Call text_limit with ["\ud800", 64]</x:v>
      </x:c>
      <x:c r="G133" s="11" t="str">
        <x:v>Raises VALIDATION_FAILED</x:v>
      </x:c>
      <x:c r="H133" s="13" t="str">
        <x:v>Not run</x:v>
      </x:c>
      <x:c r="I133" s="13" t="str">
        <x:v>Reference implementation passed; production implementation not run.</x:v>
      </x:c>
      <x:c r="J133" s="13" t="str">
        <x:v>Automated in tests/test_reference.py; fixed expected fixture in fixtures/vectors.json.</x:v>
      </x:c>
    </x:row>
    <x:row r="134" ht="42" customHeight="1">
      <x:c r="A134" s="11" t="str">
        <x:v>UT-128</x:v>
      </x:c>
      <x:c r="B134" s="11" t="str">
        <x:v>SC04</x:v>
      </x:c>
      <x:c r="C134" s="11" t="str">
        <x:v>P0 / shared control</x:v>
      </x:c>
      <x:c r="D134" s="11" t="str">
        <x:v>Acyclic dependencies evaluated in order</x:v>
      </x:c>
      <x:c r="E134" s="11" t="str">
        <x:v>Pure deterministic input; no network, clock or identity service. Function dependency_order</x:v>
      </x:c>
      <x:c r="F134" s="11" t="str">
        <x:v>Call dependency_order with [{"b": ["a"], "c": ["b"]}]</x:v>
      </x:c>
      <x:c r="G134" s="11" t="str">
        <x:v>Exact value ["a", "b", "c"]</x:v>
      </x:c>
      <x:c r="H134" s="13" t="str">
        <x:v>Not run</x:v>
      </x:c>
      <x:c r="I134" s="13" t="str">
        <x:v>Reference implementation passed; production implementation not run.</x:v>
      </x:c>
      <x:c r="J134" s="13" t="str">
        <x:v>Automated in tests/test_reference.py; fixed expected fixture in fixtures/vectors.json.</x:v>
      </x:c>
    </x:row>
    <x:row r="135" ht="42" customHeight="1">
      <x:c r="A135" s="11" t="str">
        <x:v>UT-129</x:v>
      </x:c>
      <x:c r="B135" s="11" t="str">
        <x:v>SC04</x:v>
      </x:c>
      <x:c r="C135" s="11" t="str">
        <x:v>P0 / shared control</x:v>
      </x:c>
      <x:c r="D135" s="11" t="str">
        <x:v>Expression dependency cycle rejected</x:v>
      </x:c>
      <x:c r="E135" s="11" t="str">
        <x:v>Pure deterministic input; no network, clock or identity service. Function dependency_order</x:v>
      </x:c>
      <x:c r="F135" s="11" t="str">
        <x:v>Call dependency_order with [{"a": ["b"], "b": ["a"]}]</x:v>
      </x:c>
      <x:c r="G135" s="11" t="str">
        <x:v>Raises VALIDATION_FAILED</x:v>
      </x:c>
      <x:c r="H135" s="13" t="str">
        <x:v>Not run</x:v>
      </x:c>
      <x:c r="I135" s="13" t="str">
        <x:v>Reference implementation passed; production implementation not run.</x:v>
      </x:c>
      <x:c r="J135" s="13" t="str">
        <x:v>Automated in tests/test_reference.py; fixed expected fixture in fixtures/vectors.json.</x:v>
      </x:c>
    </x:row>
    <x:row r="136" ht="42" customHeight="1">
      <x:c r="A136" s="11" t="str">
        <x:v>UT-130</x:v>
      </x:c>
      <x:c r="B136" s="11" t="str">
        <x:v>SC04</x:v>
      </x:c>
      <x:c r="C136" s="11" t="str">
        <x:v>P0 / shared control</x:v>
      </x:c>
      <x:c r="D136" s="11" t="str">
        <x:v>Self dependency rejected</x:v>
      </x:c>
      <x:c r="E136" s="11" t="str">
        <x:v>Pure deterministic input; no network, clock or identity service. Function dependency_order</x:v>
      </x:c>
      <x:c r="F136" s="11" t="str">
        <x:v>Call dependency_order with [{"a": ["a"]}]</x:v>
      </x:c>
      <x:c r="G136" s="11" t="str">
        <x:v>Raises VALIDATION_FAILED</x:v>
      </x:c>
      <x:c r="H136" s="13" t="str">
        <x:v>Not run</x:v>
      </x:c>
      <x:c r="I136" s="13" t="str">
        <x:v>Reference implementation passed; production implementation not run.</x:v>
      </x:c>
      <x:c r="J136" s="13" t="str">
        <x:v>Automated in tests/test_reference.py; fixed expected fixture in fixtures/vectors.json.</x:v>
      </x:c>
    </x:row>
    <x:row r="137" ht="42" customHeight="1">
      <x:c r="A137" s="11" t="str">
        <x:v>UT-131</x:v>
      </x:c>
      <x:c r="B137" s="11" t="str">
        <x:v>CAL19</x:v>
      </x:c>
      <x:c r="C137" s="11" t="str">
        <x:v>P0 / shared control</x:v>
      </x:c>
      <x:c r="D137" s="11" t="str">
        <x:v>Complementary suppression prevents reconstructing two</x:v>
      </x:c>
      <x:c r="E137" s="11" t="str">
        <x:v>Pure deterministic input; no network, clock or identity service. Function public_cells</x:v>
      </x:c>
      <x:c r="F137" s="11" t="str">
        <x:v>Call public_cells with [[2, 8]]</x:v>
      </x:c>
      <x:c r="G137" s="11" t="str">
        <x:v>Exact value {"cells": [null, null], "total": null}</x:v>
      </x:c>
      <x:c r="H137" s="13" t="str">
        <x:v>Not run</x:v>
      </x:c>
      <x:c r="I137" s="13" t="str">
        <x:v>Reference implementation passed; production implementation not run.</x:v>
      </x:c>
      <x:c r="J137" s="13" t="str">
        <x:v>Automated in tests/test_reference.py; fixed expected fixture in fixtures/vectors.json.</x:v>
      </x:c>
    </x:row>
    <x:row r="138" ht="42" customHeight="1">
      <x:c r="A138" s="11" t="str">
        <x:v>UT-132</x:v>
      </x:c>
      <x:c r="B138" s="11" t="str">
        <x:v>SC04</x:v>
      </x:c>
      <x:c r="C138" s="11" t="str">
        <x:v>P0 / shared control</x:v>
      </x:c>
      <x:c r="D138" s="11" t="str">
        <x:v>Qualified threshold boundary five</x:v>
      </x:c>
      <x:c r="E138" s="11" t="str">
        <x:v>Pure deterministic input; no network, clock or identity service. Function public_cells</x:v>
      </x:c>
      <x:c r="F138" s="11" t="str">
        <x:v>Call public_cells with [[5, 8]]</x:v>
      </x:c>
      <x:c r="G138" s="11" t="str">
        <x:v>Exact value {"cells": [5, 8], "total": 13}</x:v>
      </x:c>
      <x:c r="H138" s="13" t="str">
        <x:v>Not run</x:v>
      </x:c>
      <x:c r="I138" s="13" t="str">
        <x:v>Reference implementation passed; production implementation not run.</x:v>
      </x:c>
      <x:c r="J138" s="13" t="str">
        <x:v>Automated in tests/test_reference.py; fixed expected fixture in fixtures/vectors.json.</x:v>
      </x:c>
    </x:row>
    <x:row r="139" ht="42" customHeight="1">
      <x:c r="A139" s="11" t="str">
        <x:v>UT-133</x:v>
      </x:c>
      <x:c r="B139" s="11" t="str">
        <x:v>SC04</x:v>
      </x:c>
      <x:c r="C139" s="11" t="str">
        <x:v>P0 / shared control</x:v>
      </x:c>
      <x:c r="D139" s="11" t="str">
        <x:v>True zero is not a small positive group</x:v>
      </x:c>
      <x:c r="E139" s="11" t="str">
        <x:v>Pure deterministic input; no network, clock or identity service. Function public_cells</x:v>
      </x:c>
      <x:c r="F139" s="11" t="str">
        <x:v>Call public_cells with [[0, 8]]</x:v>
      </x:c>
      <x:c r="G139" s="11" t="str">
        <x:v>Exact value {"cells": [0, 8], "total": 8}</x:v>
      </x:c>
      <x:c r="H139" s="13" t="str">
        <x:v>Not run</x:v>
      </x:c>
      <x:c r="I139" s="13" t="str">
        <x:v>Reference implementation passed; production implementation not run.</x:v>
      </x:c>
      <x:c r="J139" s="13" t="str">
        <x:v>Automated in tests/test_reference.py; fixed expected fixture in fixtures/vectors.json.</x:v>
      </x:c>
    </x:row>
    <x:row r="140" ht="42" customHeight="1">
      <x:c r="A140" s="11" t="str">
        <x:v>UT-134</x:v>
      </x:c>
      <x:c r="B140" s="11" t="str">
        <x:v>SC04</x:v>
      </x:c>
      <x:c r="C140" s="11" t="str">
        <x:v>P0 / shared control</x:v>
      </x:c>
      <x:c r="D140" s="11" t="str">
        <x:v>Invalid disclosure counts rejected</x:v>
      </x:c>
      <x:c r="E140" s="11" t="str">
        <x:v>Pure deterministic input; no network, clock or identity service. Function public_cells</x:v>
      </x:c>
      <x:c r="F140" s="11" t="str">
        <x:v>Call public_cells with [[-1, 8]]</x:v>
      </x:c>
      <x:c r="G140" s="11" t="str">
        <x:v>Raises VALIDATION_FAILED</x:v>
      </x:c>
      <x:c r="H140" s="13" t="str">
        <x:v>Not run</x:v>
      </x:c>
      <x:c r="I140" s="13" t="str">
        <x:v>Reference implementation passed; production implementation not run.</x:v>
      </x:c>
      <x:c r="J140" s="13" t="str">
        <x:v>Automated in tests/test_reference.py; fixed expected fixture in fixtures/vectors.json.</x:v>
      </x:c>
    </x:row>
    <x:row r="141" ht="42" customHeight="1">
      <x:c r="A141" s="11" t="str">
        <x:v>UT-135</x:v>
      </x:c>
      <x:c r="B141" s="11" t="str">
        <x:v>CAL16</x:v>
      </x:c>
      <x:c r="C141" s="11" t="str">
        <x:v>P0 / shared control</x:v>
      </x:c>
      <x:c r="D141" s="11" t="str">
        <x:v>Median uses raw pooled values</x:v>
      </x:c>
      <x:c r="E141" s="11" t="str">
        <x:v>Pure deterministic input; no network, clock or identity service. Function median</x:v>
      </x:c>
      <x:c r="F141" s="11" t="str">
        <x:v>Call median with [["1", "2", "100", "3", "4"]]</x:v>
      </x:c>
      <x:c r="G141" s="11" t="str">
        <x:v>Exact value "3.00"</x:v>
      </x:c>
      <x:c r="H141" s="13" t="str">
        <x:v>Not run</x:v>
      </x:c>
      <x:c r="I141" s="13" t="str">
        <x:v>Reference implementation passed; production implementation not run.</x:v>
      </x:c>
      <x:c r="J141" s="13" t="str">
        <x:v>Automated in tests/test_reference.py; fixed expected fixture in fixtures/vectors.json.</x:v>
      </x:c>
    </x:row>
    <x:row r="142" ht="42" customHeight="1">
      <x:c r="A142" s="11" t="str">
        <x:v>UT-136</x:v>
      </x:c>
      <x:c r="B142" s="11" t="str">
        <x:v>CAL16</x:v>
      </x:c>
      <x:c r="C142" s="11" t="str">
        <x:v>P0 / shared control</x:v>
      </x:c>
      <x:c r="D142" s="11" t="str">
        <x:v>Empty median is unavailable</x:v>
      </x:c>
      <x:c r="E142" s="11" t="str">
        <x:v>Pure deterministic input; no network, clock or identity service. Function median</x:v>
      </x:c>
      <x:c r="F142" s="11" t="str">
        <x:v>Call median with [[]]</x:v>
      </x:c>
      <x:c r="G142" s="11" t="str">
        <x:v>Exact value null</x:v>
      </x:c>
      <x:c r="H142" s="13" t="str">
        <x:v>Not run</x:v>
      </x:c>
      <x:c r="I142" s="13" t="str">
        <x:v>Reference implementation passed; production implementation not run.</x:v>
      </x:c>
      <x:c r="J142" s="13" t="str">
        <x:v>Automated in tests/test_reference.py; fixed expected fixture in fixtures/vectors.json.</x:v>
      </x:c>
    </x:row>
    <x:row r="143" ht="42" customHeight="1">
      <x:c r="A143" s="11" t="str">
        <x:v>UT-137</x:v>
      </x:c>
      <x:c r="B143" s="11" t="str">
        <x:v>CAL17</x:v>
      </x:c>
      <x:c r="C143" s="11" t="str">
        <x:v>P0 / shared control</x:v>
      </x:c>
      <x:c r="D143" s="11" t="str">
        <x:v>Currency conversion preserves rate direction</x:v>
      </x:c>
      <x:c r="E143" s="11" t="str">
        <x:v>Pure deterministic input; no network, clock or identity service. Function currency</x:v>
      </x:c>
      <x:c r="F143" s="11" t="str">
        <x:v>Call currency with ["100", "83"]</x:v>
      </x:c>
      <x:c r="G143" s="11" t="str">
        <x:v>Exact value "8300.000000000000"</x:v>
      </x:c>
      <x:c r="H143" s="13" t="str">
        <x:v>Not run</x:v>
      </x:c>
      <x:c r="I143" s="13" t="str">
        <x:v>Reference implementation passed; production implementation not run.</x:v>
      </x:c>
      <x:c r="J143" s="13" t="str">
        <x:v>Automated in tests/test_reference.py; fixed expected fixture in fixtures/vectors.json.</x:v>
      </x:c>
    </x:row>
    <x:row r="144" ht="42" customHeight="1">
      <x:c r="A144" s="11" t="str">
        <x:v>UT-138</x:v>
      </x:c>
      <x:c r="B144" s="11" t="str">
        <x:v>SC04</x:v>
      </x:c>
      <x:c r="C144" s="11" t="str">
        <x:v>P0 / shared control</x:v>
      </x:c>
      <x:c r="D144" s="11" t="str">
        <x:v>Nonpositive exchange rate rejected</x:v>
      </x:c>
      <x:c r="E144" s="11" t="str">
        <x:v>Pure deterministic input; no network, clock or identity service. Function currency</x:v>
      </x:c>
      <x:c r="F144" s="11" t="str">
        <x:v>Call currency with ["100", "0"]</x:v>
      </x:c>
      <x:c r="G144" s="11" t="str">
        <x:v>Raises VALIDATION_FAILED</x:v>
      </x:c>
      <x:c r="H144" s="13" t="str">
        <x:v>Not run</x:v>
      </x:c>
      <x:c r="I144" s="13" t="str">
        <x:v>Reference implementation passed; production implementation not run.</x:v>
      </x:c>
      <x:c r="J144" s="13" t="str">
        <x:v>Automated in tests/test_reference.py; fixed expected fixture in fixtures/vectors.json.</x:v>
      </x:c>
    </x:row>
    <x:row r="145" ht="42" customHeight="1">
      <x:c r="A145" s="11" t="str">
        <x:v>UT-139</x:v>
      </x:c>
      <x:c r="B145" s="11" t="str">
        <x:v>CAL10</x:v>
      </x:c>
      <x:c r="C145" s="11" t="str">
        <x:v>P0 / shared control</x:v>
      </x:c>
      <x:c r="D145" s="11" t="str">
        <x:v>Diamond source identity contributes once</x:v>
      </x:c>
      <x:c r="E145" s="11" t="str">
        <x:v>Pure deterministic input; no network, clock or identity service. Function contribution_sum</x:v>
      </x:c>
      <x:c r="F145" s="11" t="str">
        <x:v>Call contribution_sum with [[["source1", "7", "people"], ["source1", "7", "people"]], "people"]</x:v>
      </x:c>
      <x:c r="G145" s="11" t="str">
        <x:v>Exact value "7"</x:v>
      </x:c>
      <x:c r="H145" s="13" t="str">
        <x:v>Not run</x:v>
      </x:c>
      <x:c r="I145" s="13" t="str">
        <x:v>Reference implementation passed; production implementation not run.</x:v>
      </x:c>
      <x:c r="J145" s="13" t="str">
        <x:v>Automated in tests/test_reference.py; fixed expected fixture in fixtures/vectors.json.</x:v>
      </x:c>
    </x:row>
    <x:row r="146" ht="42" customHeight="1">
      <x:c r="A146" s="11" t="str">
        <x:v>UT-140</x:v>
      </x:c>
      <x:c r="B146" s="11" t="str">
        <x:v>CAL11</x:v>
      </x:c>
      <x:c r="C146" s="11" t="str">
        <x:v>P0 / shared control</x:v>
      </x:c>
      <x:c r="D146" s="11" t="str">
        <x:v>Households cannot be added to people</x:v>
      </x:c>
      <x:c r="E146" s="11" t="str">
        <x:v>Pure deterministic input; no network, clock or identity service. Function contribution_sum</x:v>
      </x:c>
      <x:c r="F146" s="11" t="str">
        <x:v>Call contribution_sum with [[["source1", "100", "households"], ["source2", "100", "people"]], "people"]</x:v>
      </x:c>
      <x:c r="G146" s="11" t="str">
        <x:v>Raises INCOMPATIBLE_MEASURE</x:v>
      </x:c>
      <x:c r="H146" s="13" t="str">
        <x:v>Not run</x:v>
      </x:c>
      <x:c r="I146" s="13" t="str">
        <x:v>Reference implementation passed; production implementation not run.</x:v>
      </x:c>
      <x:c r="J146" s="13" t="str">
        <x:v>Automated in tests/test_reference.py; fixed expected fixture in fixtures/vectors.json.</x:v>
      </x:c>
    </x:row>
    <x:row r="147" ht="42" customHeight="1">
      <x:c r="A147" s="11" t="str">
        <x:v>UT-141</x:v>
      </x:c>
      <x:c r="B147" s="11" t="str">
        <x:v>SC03</x:v>
      </x:c>
      <x:c r="C147" s="11" t="str">
        <x:v>P0 / R1</x:v>
      </x:c>
      <x:c r="D147" s="11" t="str">
        <x:v>Canonical object order</x:v>
      </x:c>
      <x:c r="E147" s="11" t="str">
        <x:v>Reference canonicalisation implementation</x:v>
      </x:c>
      <x:c r="F147" s="11" t="str">
        <x:v>Hash objects with identical members in opposite key order</x:v>
      </x:c>
      <x:c r="G147" s="11" t="str">
        <x:v>Identical digests</x:v>
      </x:c>
      <x:c r="H147" s="13" t="str">
        <x:v>Not run</x:v>
      </x:c>
      <x:c r="I147" s="13" t="str">
        <x:v>Reference implementation passed; production implementation not run.</x:v>
      </x:c>
      <x:c r="J147" s="13" t="str"/>
    </x:row>
    <x:row r="148" ht="42" customHeight="1">
      <x:c r="A148" s="11" t="str">
        <x:v>UT-142</x:v>
      </x:c>
      <x:c r="B148" s="11" t="str">
        <x:v>SC03</x:v>
      </x:c>
      <x:c r="C148" s="11" t="str">
        <x:v>P0 / R1</x:v>
      </x:c>
      <x:c r="D148" s="11" t="str">
        <x:v>Canonical array order</x:v>
      </x:c>
      <x:c r="E148" s="11" t="str">
        <x:v>Reference canonicalisation implementation</x:v>
      </x:c>
      <x:c r="F148" s="11" t="str">
        <x:v>Hash arrays [1,2] and [2,1]</x:v>
      </x:c>
      <x:c r="G148" s="11" t="str">
        <x:v>Different digests</x:v>
      </x:c>
      <x:c r="H148" s="13" t="str">
        <x:v>Not run</x:v>
      </x:c>
      <x:c r="I148" s="13" t="str">
        <x:v>Reference implementation passed; production implementation not run.</x:v>
      </x:c>
      <x:c r="J148" s="13" t="str"/>
    </x:row>
    <x:row r="149" ht="42" customHeight="1">
      <x:c r="A149" s="11" t="str">
        <x:v>UT-143</x:v>
      </x:c>
      <x:c r="B149" s="11" t="str">
        <x:v>SC03</x:v>
      </x:c>
      <x:c r="C149" s="11" t="str">
        <x:v>P0 / R1</x:v>
      </x:c>
      <x:c r="D149" s="11" t="str">
        <x:v>Reject nonfinite payload</x:v>
      </x:c>
      <x:c r="E149" s="11" t="str">
        <x:v>Reference canonicalisation implementation</x:v>
      </x:c>
      <x:c r="F149" s="11" t="str">
        <x:v>Hash an object containing NaN</x:v>
      </x:c>
      <x:c r="G149" s="11" t="str">
        <x:v>Reject before command receipt or intent hash</x:v>
      </x:c>
      <x:c r="H149" s="13" t="str">
        <x:v>Not run</x:v>
      </x:c>
      <x:c r="I149" s="13" t="str">
        <x:v>Reference implementation passed; production implementation not run.</x:v>
      </x:c>
      <x:c r="J149" s="13" t="str"/>
    </x:row>
  </x:sheetData>
  <x:conditionalFormatting sqref="H7:H149">
    <x:cfRule type="cellIs" dxfId="9" priority="1" operator="equal">
      <x:formula>"Pass"</x:formula>
    </x:cfRule>
    <x:cfRule type="cellIs" dxfId="10" priority="2" operator="equal">
      <x:formula>"Fail"</x:formula>
    </x:cfRule>
    <x:cfRule type="cellIs" dxfId="11" priority="3" operator="equal">
      <x:formula>"Blocked"</x:formula>
    </x:cfRule>
  </x:conditionalFormatting>
  <x:dataValidations count="1">
    <x:dataValidation type="list" sqref="H7:H149">
      <x:formula1>"Not run,In progress,Pass,Fail,Blocked,Not applicable"</x:formula1>
    </x:dataValidation>
  </x:dataValidations>
  <x:pageMargins left="0.7" right="0.7" top="0.75" bottom="0.75" header="0.3" footer="0.3"/>
  <x:tableParts count="1">
    <x:tablePart xmlns:r="http://schemas.openxmlformats.org/officeDocument/2006/relationships" r:id="Rf43f6eee8c484653"/>
  </x:tableParts>
</x:worksheet>
</file>

<file path=xl/worksheets/sheet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24" hidden="0" customWidth="1"/>
    <x:col min="2" max="2" width="38" hidden="0" customWidth="1"/>
    <x:col min="3" max="3" width="20" hidden="0" customWidth="1"/>
    <x:col min="4" max="4" width="45" hidden="0" customWidth="1"/>
    <x:col min="5" max="5" width="75" hidden="0" customWidth="1"/>
    <x:col min="6" max="6" width="115" hidden="0" customWidth="1"/>
    <x:col min="7" max="7" width="115" hidden="0" customWidth="1"/>
    <x:col min="8" max="8" width="17" hidden="0" customWidth="1"/>
    <x:col min="9" max="9" width="60" hidden="0" customWidth="1"/>
    <x:col min="10" max="10" width="64" hidden="0" customWidth="1"/>
  </x:cols>
  <x:sheetData>
    <x:row r="1" ht="12" customHeight="1">
      <x:c r="A1" s="1"/>
      <x:c r="B1" s="1"/>
      <x:c r="C1" s="1"/>
      <x:c r="D1" s="1"/>
      <x:c r="E1" s="1"/>
      <x:c r="F1" s="1"/>
      <x:c r="G1" s="1"/>
      <x:c r="H1" s="1"/>
      <x:c r="I1" s="1"/>
      <x:c r="J1" s="1"/>
    </x:row>
    <x:row r="2" ht="32" customHeight="1">
      <x:c r="A2" s="2" t="str">
        <x:v>API integration cases</x:v>
      </x:c>
      <x:c r="B2" s="1"/>
      <x:c r="C2" s="1"/>
      <x:c r="D2" s="1"/>
      <x:c r="E2" s="1"/>
      <x:c r="F2" s="1"/>
      <x:c r="G2" s="1"/>
      <x:c r="H2" s="1"/>
      <x:c r="I2" s="1"/>
      <x:c r="J2" s="1"/>
    </x:row>
    <x:row r="3">
      <x:c r="A3" s="1"/>
      <x:c r="B3" s="1"/>
      <x:c r="C3" s="1"/>
      <x:c r="D3" s="1"/>
      <x:c r="E3" s="1"/>
      <x:c r="F3" s="1"/>
      <x:c r="G3" s="1"/>
      <x:c r="H3" s="1"/>
      <x:c r="I3" s="1"/>
      <x:c r="J3" s="1"/>
    </x:row>
    <x:row r="4" ht="20" customHeight="1">
      <x:c r="A4" s="3" t="str">
        <x:v>18 cases • All product execution statuses start at Not run</x:v>
      </x:c>
      <x:c r="B4" s="1"/>
      <x:c r="C4" s="1"/>
      <x:c r="D4" s="1"/>
      <x:c r="E4" s="1"/>
      <x:c r="F4" s="1"/>
      <x:c r="G4" s="1"/>
      <x:c r="H4" s="1"/>
      <x:c r="I4" s="1"/>
      <x:c r="J4" s="1"/>
    </x:row>
    <x:row r="5">
      <x:c r="A5" s="4"/>
      <x:c r="B5" s="4"/>
      <x:c r="C5" s="4"/>
      <x:c r="D5" s="4"/>
      <x:c r="E5" s="4"/>
      <x:c r="F5" s="4"/>
      <x:c r="G5" s="4"/>
      <x:c r="H5" s="4"/>
      <x:c r="I5" s="4"/>
      <x:c r="J5" s="4"/>
    </x:row>
    <x:row r="6" ht="34" customHeight="1">
      <x:c r="A6" s="9" t="str">
        <x:v>Test ID</x:v>
      </x:c>
      <x:c r="B6" s="9" t="str">
        <x:v>FSD and BRD reference</x:v>
      </x:c>
      <x:c r="C6" s="9" t="str">
        <x:v>Priority and release</x:v>
      </x:c>
      <x:c r="D6" s="9" t="str">
        <x:v>Scenario</x:v>
      </x:c>
      <x:c r="E6" s="9" t="str">
        <x:v>Preconditions and data</x:v>
      </x:c>
      <x:c r="F6" s="9" t="str">
        <x:v>Steps</x:v>
      </x:c>
      <x:c r="G6" s="9" t="str">
        <x:v>Expected outcome</x:v>
      </x:c>
      <x:c r="H6" s="9" t="str">
        <x:v>Status</x:v>
      </x:c>
      <x:c r="I6" s="9" t="str">
        <x:v>Evidence or run ID</x:v>
      </x:c>
      <x:c r="J6" s="9" t="str">
        <x:v>Defect and notes</x:v>
      </x:c>
    </x:row>
    <x:row r="7" ht="51" customHeight="1">
      <x:c r="A7" s="11" t="str">
        <x:v>IT-001</x:v>
      </x:c>
      <x:c r="B7" s="11" t="str">
        <x:v>SC01</x:v>
      </x:c>
      <x:c r="C7" s="11" t="str">
        <x:v>P0 / R1</x:v>
      </x:c>
      <x:c r="D7" s="11" t="str">
        <x:v>Unauthenticated request</x:v>
      </x:c>
      <x:c r="E7" s="11" t="str">
        <x:v>No bearer or session</x:v>
      </x:c>
      <x:c r="F7" s="11" t="str">
        <x:v>GET programmes</x:v>
      </x:c>
      <x:c r="G7" s="11" t="str">
        <x:v>401 AUTH_REQUIRED; no records</x:v>
      </x:c>
      <x:c r="H7" s="13" t="str">
        <x:v>Not run</x:v>
      </x:c>
      <x:c r="I7" s="13" t="str">
        <x:v>Blocked — no deployed API and provisioned fixture.</x:v>
      </x:c>
      <x:c r="J7" s="13" t="str">
        <x:v>Executable tests/test_integration.py. Mutation cases 13–18 require three independent environment/fixture opt ins.</x:v>
      </x:c>
    </x:row>
    <x:row r="8" ht="51" customHeight="1">
      <x:c r="A8" s="11" t="str">
        <x:v>IT-002</x:v>
      </x:c>
      <x:c r="B8" s="11" t="str">
        <x:v>FR-ACC-002</x:v>
      </x:c>
      <x:c r="C8" s="11" t="str">
        <x:v>P0 / R1</x:v>
      </x:c>
      <x:c r="D8" s="11" t="str">
        <x:v>Permitted scoped read</x:v>
      </x:c>
      <x:c r="E8" s="11" t="str">
        <x:v>A author token; programme A</x:v>
      </x:c>
      <x:c r="F8" s="11" t="str">
        <x:v>GET programme A in tenant A</x:v>
      </x:c>
      <x:c r="G8" s="11" t="str">
        <x:v>200 correct tenant and object</x:v>
      </x:c>
      <x:c r="H8" s="13" t="str">
        <x:v>Not run</x:v>
      </x:c>
      <x:c r="I8" s="13" t="str">
        <x:v>Blocked — no deployed API and provisioned fixture.</x:v>
      </x:c>
      <x:c r="J8" s="13" t="str">
        <x:v>Executable tests/test_integration.py. Mutation cases 13–18 require three independent environment/fixture opt ins.</x:v>
      </x:c>
    </x:row>
    <x:row r="9" ht="51" customHeight="1">
      <x:c r="A9" s="11" t="str">
        <x:v>IT-003</x:v>
      </x:c>
      <x:c r="B9" s="11" t="str">
        <x:v>FR-SEC-003</x:v>
      </x:c>
      <x:c r="C9" s="11" t="str">
        <x:v>P0 / R1</x:v>
      </x:c>
      <x:c r="D9" s="11" t="str">
        <x:v>Tenant route boundary</x:v>
      </x:c>
      <x:c r="E9" s="11" t="str">
        <x:v>A author; B object</x:v>
      </x:c>
      <x:c r="F9" s="11" t="str">
        <x:v>GET tenant B programme B</x:v>
      </x:c>
      <x:c r="G9" s="11" t="str">
        <x:v>404 RESOURCE_UNAVAILABLE</x:v>
      </x:c>
      <x:c r="H9" s="13" t="str">
        <x:v>Not run</x:v>
      </x:c>
      <x:c r="I9" s="13" t="str">
        <x:v>Blocked — no deployed API and provisioned fixture.</x:v>
      </x:c>
      <x:c r="J9" s="13" t="str">
        <x:v>Executable tests/test_integration.py. Mutation cases 13–18 require three independent environment/fixture opt ins.</x:v>
      </x:c>
    </x:row>
    <x:row r="10" ht="51" customHeight="1">
      <x:c r="A10" s="11" t="str">
        <x:v>IT-004</x:v>
      </x:c>
      <x:c r="B10" s="11" t="str">
        <x:v>FR-SEC-003</x:v>
      </x:c>
      <x:c r="C10" s="11" t="str">
        <x:v>P0 / R1</x:v>
      </x:c>
      <x:c r="D10" s="11" t="str">
        <x:v>Object route boundary</x:v>
      </x:c>
      <x:c r="E10" s="11" t="str">
        <x:v>A author; B object</x:v>
      </x:c>
      <x:c r="F10" s="11" t="str">
        <x:v>GET tenant A with B object ID</x:v>
      </x:c>
      <x:c r="G10" s="11" t="str">
        <x:v>404 RESOURCE_UNAVAILABLE</x:v>
      </x:c>
      <x:c r="H10" s="13" t="str">
        <x:v>Not run</x:v>
      </x:c>
      <x:c r="I10" s="13" t="str">
        <x:v>Blocked — no deployed API and provisioned fixture.</x:v>
      </x:c>
      <x:c r="J10" s="13" t="str">
        <x:v>Executable tests/test_integration.py. Mutation cases 13–18 require three independent environment/fixture opt ins.</x:v>
      </x:c>
    </x:row>
    <x:row r="11" ht="51" customHeight="1">
      <x:c r="A11" s="11" t="str">
        <x:v>IT-005</x:v>
      </x:c>
      <x:c r="B11" s="11" t="str">
        <x:v>VF-IAM-001</x:v>
      </x:c>
      <x:c r="C11" s="11" t="str">
        <x:v>P0 / R1</x:v>
      </x:c>
      <x:c r="D11" s="11" t="str">
        <x:v>Revoked report access</x:v>
      </x:c>
      <x:c r="E11" s="11" t="str">
        <x:v>Revoked principal; report A</x:v>
      </x:c>
      <x:c r="F11" s="11" t="str">
        <x:v>GET report metadata</x:v>
      </x:c>
      <x:c r="G11" s="11" t="str">
        <x:v>401 or 404; no data member</x:v>
      </x:c>
      <x:c r="H11" s="13" t="str">
        <x:v>Not run</x:v>
      </x:c>
      <x:c r="I11" s="13" t="str">
        <x:v>Blocked — no deployed API and provisioned fixture.</x:v>
      </x:c>
      <x:c r="J11" s="13" t="str">
        <x:v>Executable tests/test_integration.py. Mutation cases 13–18 require three independent environment/fixture opt ins.</x:v>
      </x:c>
    </x:row>
    <x:row r="12" ht="51" customHeight="1">
      <x:c r="A12" s="11" t="str">
        <x:v>IT-006</x:v>
      </x:c>
      <x:c r="B12" s="11" t="str">
        <x:v>FR-ACC-003</x:v>
      </x:c>
      <x:c r="C12" s="11" t="str">
        <x:v>P0 / R1</x:v>
      </x:c>
      <x:c r="D12" s="11" t="str">
        <x:v>Effective permissions</x:v>
      </x:c>
      <x:c r="E12" s="11" t="str">
        <x:v>A active author</x:v>
      </x:c>
      <x:c r="F12" s="11" t="str">
        <x:v>GET me/access</x:v>
      </x:c>
      <x:c r="G12" s="11" t="str">
        <x:v>Tenant A and typed capabilities, epochs</x:v>
      </x:c>
      <x:c r="H12" s="13" t="str">
        <x:v>Not run</x:v>
      </x:c>
      <x:c r="I12" s="13" t="str">
        <x:v>Blocked — no deployed API and provisioned fixture.</x:v>
      </x:c>
      <x:c r="J12" s="13" t="str">
        <x:v>Executable tests/test_integration.py. Mutation cases 13–18 require three independent environment/fixture opt ins.</x:v>
      </x:c>
    </x:row>
    <x:row r="13" ht="51" customHeight="1">
      <x:c r="A13" s="11" t="str">
        <x:v>IT-007</x:v>
      </x:c>
      <x:c r="B13" s="11" t="str">
        <x:v>FD20</x:v>
      </x:c>
      <x:c r="C13" s="11" t="str">
        <x:v>P0 / R1</x:v>
      </x:c>
      <x:c r="D13" s="11" t="str">
        <x:v>Maximum list size</x:v>
      </x:c>
      <x:c r="E13" s="11" t="str">
        <x:v>A active author</x:v>
      </x:c>
      <x:c r="F13" s="11" t="str">
        <x:v>GET programmes?limit=101</x:v>
      </x:c>
      <x:c r="G13" s="11" t="str">
        <x:v>422 VALIDATION_FAILED</x:v>
      </x:c>
      <x:c r="H13" s="13" t="str">
        <x:v>Not run</x:v>
      </x:c>
      <x:c r="I13" s="13" t="str">
        <x:v>Blocked — no deployed API and provisioned fixture.</x:v>
      </x:c>
      <x:c r="J13" s="13" t="str">
        <x:v>Executable tests/test_integration.py. Mutation cases 13–18 require three independent environment/fixture opt ins.</x:v>
      </x:c>
    </x:row>
    <x:row r="14" ht="51" customHeight="1">
      <x:c r="A14" s="11" t="str">
        <x:v>IT-008</x:v>
      </x:c>
      <x:c r="B14" s="11" t="str">
        <x:v>SC01</x:v>
      </x:c>
      <x:c r="C14" s="11" t="str">
        <x:v>P0 / R1</x:v>
      </x:c>
      <x:c r="D14" s="11" t="str">
        <x:v>Bounded page</x:v>
      </x:c>
      <x:c r="E14" s="11" t="str">
        <x:v>At least two permitted programmes</x:v>
      </x:c>
      <x:c r="F14" s="11" t="str">
        <x:v>GET programmes?limit=1</x:v>
      </x:c>
      <x:c r="G14" s="11" t="str">
        <x:v>At most one item; scope_label and next_cursor</x:v>
      </x:c>
      <x:c r="H14" s="13" t="str">
        <x:v>Not run</x:v>
      </x:c>
      <x:c r="I14" s="13" t="str">
        <x:v>Blocked — no deployed API and provisioned fixture.</x:v>
      </x:c>
      <x:c r="J14" s="13" t="str">
        <x:v>Executable tests/test_integration.py. Mutation cases 13–18 require three independent environment/fixture opt ins.</x:v>
      </x:c>
    </x:row>
    <x:row r="15" ht="51" customHeight="1">
      <x:c r="A15" s="11" t="str">
        <x:v>IT-009</x:v>
      </x:c>
      <x:c r="B15" s="11" t="str">
        <x:v>CAL01</x:v>
      </x:c>
      <x:c r="C15" s="11" t="str">
        <x:v>P0 / R1</x:v>
      </x:c>
      <x:c r="D15" s="11" t="str">
        <x:v>Official numeric contract</x:v>
      </x:c>
      <x:c r="E15" s="11" t="str">
        <x:v>CAL01 approved result fixture</x:v>
      </x:c>
      <x:c r="F15" s="11" t="str">
        <x:v>GET calculated result</x:v>
      </x:c>
      <x:c r="G15" s="11" t="str">
        <x:v>OFFICIAL PRESENT; value 46.363636363636; display 46.36; lineage</x:v>
      </x:c>
      <x:c r="H15" s="13" t="str">
        <x:v>Not run</x:v>
      </x:c>
      <x:c r="I15" s="13" t="str">
        <x:v>Blocked — no deployed API and provisioned fixture.</x:v>
      </x:c>
      <x:c r="J15" s="13" t="str">
        <x:v>Executable tests/test_integration.py. Mutation cases 13–18 require three independent environment/fixture opt ins.</x:v>
      </x:c>
    </x:row>
    <x:row r="16" ht="51" customHeight="1">
      <x:c r="A16" s="11" t="str">
        <x:v>IT-010</x:v>
      </x:c>
      <x:c r="B16" s="11" t="str">
        <x:v>FR-IAM-009</x:v>
      </x:c>
      <x:c r="C16" s="11" t="str">
        <x:v>P0 / R1</x:v>
      </x:c>
      <x:c r="D16" s="11" t="str">
        <x:v>Delegated administration boundary</x:v>
      </x:c>
      <x:c r="E16" s="11" t="str">
        <x:v>Partner without member-list permission</x:v>
      </x:c>
      <x:c r="F16" s="11" t="str">
        <x:v>GET memberships with partner token</x:v>
      </x:c>
      <x:c r="G16" s="11" t="str">
        <x:v>403/404; no items</x:v>
      </x:c>
      <x:c r="H16" s="13" t="str">
        <x:v>Not run</x:v>
      </x:c>
      <x:c r="I16" s="13" t="str">
        <x:v>Blocked — no deployed API and provisioned fixture.</x:v>
      </x:c>
      <x:c r="J16" s="13" t="str">
        <x:v>Executable tests/test_integration.py. Mutation cases 13–18 require three independent environment/fixture opt ins.</x:v>
      </x:c>
    </x:row>
    <x:row r="17" ht="51" customHeight="1">
      <x:c r="A17" s="11" t="str">
        <x:v>IT-011</x:v>
      </x:c>
      <x:c r="B17" s="11" t="str">
        <x:v>SC01</x:v>
      </x:c>
      <x:c r="C17" s="11" t="str">
        <x:v>P0 / R1</x:v>
      </x:c>
      <x:c r="D17" s="11" t="str">
        <x:v>Hidden resource indistinguishability</x:v>
      </x:c>
      <x:c r="E17" s="11" t="str">
        <x:v>Random absent UUID and B object</x:v>
      </x:c>
      <x:c r="F17" s="11" t="str">
        <x:v>GET both in tenant A</x:v>
      </x:c>
      <x:c r="G17" s="11" t="str">
        <x:v>Same 404 code, message and field shape</x:v>
      </x:c>
      <x:c r="H17" s="13" t="str">
        <x:v>Not run</x:v>
      </x:c>
      <x:c r="I17" s="13" t="str">
        <x:v>Blocked — no deployed API and provisioned fixture.</x:v>
      </x:c>
      <x:c r="J17" s="13" t="str">
        <x:v>Executable tests/test_integration.py. Mutation cases 13–18 require three independent environment/fixture opt ins.</x:v>
      </x:c>
    </x:row>
    <x:row r="18" ht="51" customHeight="1">
      <x:c r="A18" s="11" t="str">
        <x:v>IT-012</x:v>
      </x:c>
      <x:c r="B18" s="11" t="str">
        <x:v>FR-SEC-006</x:v>
      </x:c>
      <x:c r="C18" s="11" t="str">
        <x:v>P0 / R1</x:v>
      </x:c>
      <x:c r="D18" s="11" t="str">
        <x:v>Secret response exclusion</x:v>
      </x:c>
      <x:c r="E18" s="11" t="str">
        <x:v>Admin connection read</x:v>
      </x:c>
      <x:c r="F18" s="11" t="str">
        <x:v>Recursively inspect response keys</x:v>
      </x:c>
      <x:c r="G18" s="11" t="str">
        <x:v>No secret, password, access_token, refresh_token or client_secret</x:v>
      </x:c>
      <x:c r="H18" s="13" t="str">
        <x:v>Not run</x:v>
      </x:c>
      <x:c r="I18" s="13" t="str">
        <x:v>Blocked — no deployed API and provisioned fixture.</x:v>
      </x:c>
      <x:c r="J18" s="13" t="str">
        <x:v>Executable tests/test_integration.py. Mutation cases 13–18 require three independent environment/fixture opt ins.</x:v>
      </x:c>
    </x:row>
    <x:row r="19" ht="51" customHeight="1">
      <x:c r="A19" s="11" t="str">
        <x:v>IT-013</x:v>
      </x:c>
      <x:c r="B19" s="11" t="str">
        <x:v>AT12</x:v>
      </x:c>
      <x:c r="C19" s="11" t="str">
        <x:v>P0 / R1</x:v>
      </x:c>
      <x:c r="D19" s="11" t="str">
        <x:v>Independent approval</x:v>
      </x:c>
      <x:c r="E19" s="11" t="str">
        <x:v>Own workflow, candidate/revision, write opt in</x:v>
      </x:c>
      <x:c r="F19" s="11" t="str">
        <x:v>POST own workflow approve</x:v>
      </x:c>
      <x:c r="G19" s="11" t="str">
        <x:v>403 POLICY_DENIED; INDEPENDENCE_REQUIRED</x:v>
      </x:c>
      <x:c r="H19" s="13" t="str">
        <x:v>Not run</x:v>
      </x:c>
      <x:c r="I19" s="13" t="str">
        <x:v>Blocked — no deployed API and provisioned fixture.</x:v>
      </x:c>
      <x:c r="J19" s="13" t="str">
        <x:v>Executable tests/test_integration.py. Mutation cases 13–18 require three independent environment/fixture opt ins.</x:v>
      </x:c>
    </x:row>
    <x:row r="20" ht="51" customHeight="1">
      <x:c r="A20" s="11" t="str">
        <x:v>IT-014</x:v>
      </x:c>
      <x:c r="B20" s="11" t="str">
        <x:v>SC02</x:v>
      </x:c>
      <x:c r="C20" s="11" t="str">
        <x:v>P0 / R1</x:v>
      </x:c>
      <x:c r="D20" s="11" t="str">
        <x:v>Stale revision</x:v>
      </x:c>
      <x:c r="E20" s="11" t="str">
        <x:v>Mutable test programme; write opt in</x:v>
      </x:c>
      <x:c r="F20" s="11" t="str">
        <x:v>PATCH title with stale expected revision</x:v>
      </x:c>
      <x:c r="G20" s="11" t="str">
        <x:v>409 CONFLICT_VERSION</x:v>
      </x:c>
      <x:c r="H20" s="13" t="str">
        <x:v>Not run</x:v>
      </x:c>
      <x:c r="I20" s="13" t="str">
        <x:v>Blocked — no deployed API and provisioned fixture.</x:v>
      </x:c>
      <x:c r="J20" s="13" t="str">
        <x:v>Executable tests/test_integration.py. Mutation cases 13–18 require three independent environment/fixture opt ins.</x:v>
      </x:c>
    </x:row>
    <x:row r="21" ht="51" customHeight="1">
      <x:c r="A21" s="11" t="str">
        <x:v>IT-015</x:v>
      </x:c>
      <x:c r="B21" s="11" t="str">
        <x:v>SC04</x:v>
      </x:c>
      <x:c r="C21" s="11" t="str">
        <x:v>P0 / R1</x:v>
      </x:c>
      <x:c r="D21" s="11" t="str">
        <x:v>State field forgery</x:v>
      </x:c>
      <x:c r="E21" s="11" t="str">
        <x:v>Current mutable programme; write opt in</x:v>
      </x:c>
      <x:c r="F21" s="11" t="str">
        <x:v>PATCH data.lifecycle_state Approved</x:v>
      </x:c>
      <x:c r="G21" s="11" t="str">
        <x:v>422 VALIDATION_FAILED; no state transition</x:v>
      </x:c>
      <x:c r="H21" s="13" t="str">
        <x:v>Not run</x:v>
      </x:c>
      <x:c r="I21" s="13" t="str">
        <x:v>Blocked — no deployed API and provisioned fixture.</x:v>
      </x:c>
      <x:c r="J21" s="13" t="str">
        <x:v>Executable tests/test_integration.py. Mutation cases 13–18 require three independent environment/fixture opt ins.</x:v>
      </x:c>
    </x:row>
    <x:row r="22" ht="51" customHeight="1">
      <x:c r="A22" s="11" t="str">
        <x:v>IT-016</x:v>
      </x:c>
      <x:c r="B22" s="11" t="str">
        <x:v>SC03</x:v>
      </x:c>
      <x:c r="C22" s="11" t="str">
        <x:v>P0 / R1</x:v>
      </x:c>
      <x:c r="D22" s="11" t="str">
        <x:v>Idempotent write and changed intent</x:v>
      </x:c>
      <x:c r="E22" s="11" t="str">
        <x:v>Dedicated mutable programme; write opt in</x:v>
      </x:c>
      <x:c r="F22" s="11" t="str">
        <x:v>PATCH unique title; replay; alter title under same operation; read head; restore</x:v>
      </x:c>
      <x:c r="G22" s="11" t="str">
        <x:v>Same receipt, one head; changed payload 409 CONFLICT_OPERATION; original title restored</x:v>
      </x:c>
      <x:c r="H22" s="13" t="str">
        <x:v>Not run</x:v>
      </x:c>
      <x:c r="I22" s="13" t="str">
        <x:v>Blocked — no deployed API and provisioned fixture.</x:v>
      </x:c>
      <x:c r="J22" s="13" t="str">
        <x:v>Executable tests/test_integration.py. Mutation cases 13–18 require three independent environment/fixture opt ins.</x:v>
      </x:c>
    </x:row>
    <x:row r="23" ht="51" customHeight="1">
      <x:c r="A23" s="11" t="str">
        <x:v>IT-017</x:v>
      </x:c>
      <x:c r="B23" s="11" t="str">
        <x:v>VF-DIN-002</x:v>
      </x:c>
      <x:c r="C23" s="11" t="str">
        <x:v>P0 / R1</x:v>
      </x:c>
      <x:c r="D23" s="11" t="str">
        <x:v>Concurrent edit race</x:v>
      </x:c>
      <x:c r="E23" s="11" t="str">
        <x:v>Dedicated mutable programme; write opt in</x:v>
      </x:c>
      <x:c r="F23" s="11" t="str">
        <x:v>Send two titles with same expected revision and distinct operation IDs concurrently; restore</x:v>
      </x:c>
      <x:c r="G23" s="11" t="str">
        <x:v>One 200 and one 409; head is winner revision; original title restored</x:v>
      </x:c>
      <x:c r="H23" s="13" t="str">
        <x:v>Not run</x:v>
      </x:c>
      <x:c r="I23" s="13" t="str">
        <x:v>Blocked — no deployed API and provisioned fixture.</x:v>
      </x:c>
      <x:c r="J23" s="13" t="str">
        <x:v>Executable tests/test_integration.py. Mutation cases 13–18 require three independent environment/fixture opt ins.</x:v>
      </x:c>
    </x:row>
    <x:row r="24" ht="51" customHeight="1">
      <x:c r="A24" s="11" t="str">
        <x:v>IT-018</x:v>
      </x:c>
      <x:c r="B24" s="11" t="str">
        <x:v>VF-OFF-001</x:v>
      </x:c>
      <x:c r="C24" s="11" t="str">
        <x:v>P0 / R1</x:v>
      </x:c>
      <x:c r="D24" s="11" t="str">
        <x:v>Expired offline sync grant</x:v>
      </x:c>
      <x:c r="E24" s="11" t="str">
        <x:v>Expired grant bound to enumerator/device/form; write opt in</x:v>
      </x:c>
      <x:c r="F24" s="11" t="str">
        <x:v>POST offline-sync with exact bound assignment</x:v>
      </x:c>
      <x:c r="G24" s="11" t="str">
        <x:v>410 EXPIRED_GRANT; no accepted submission</x:v>
      </x:c>
      <x:c r="H24" s="13" t="str">
        <x:v>Not run</x:v>
      </x:c>
      <x:c r="I24" s="13" t="str">
        <x:v>Blocked — no deployed API and provisioned fixture.</x:v>
      </x:c>
      <x:c r="J24" s="13" t="str">
        <x:v>Executable tests/test_integration.py. Mutation cases 13–18 require three independent environment/fixture opt ins.</x:v>
      </x:c>
    </x:row>
  </x:sheetData>
  <x:conditionalFormatting sqref="H7:H24">
    <x:cfRule type="cellIs" dxfId="12" priority="1" operator="equal">
      <x:formula>"Pass"</x:formula>
    </x:cfRule>
    <x:cfRule type="cellIs" dxfId="13" priority="2" operator="equal">
      <x:formula>"Fail"</x:formula>
    </x:cfRule>
    <x:cfRule type="cellIs" dxfId="14" priority="3" operator="equal">
      <x:formula>"Blocked"</x:formula>
    </x:cfRule>
  </x:conditionalFormatting>
  <x:dataValidations count="1">
    <x:dataValidation type="list" sqref="H7:H24">
      <x:formula1>"Not run,In progress,Pass,Fail,Blocked,Not applicable"</x:formula1>
    </x:dataValidation>
  </x:dataValidations>
  <x:pageMargins left="0.7" right="0.7" top="0.75" bottom="0.75" header="0.3" footer="0.3"/>
  <x:tableParts count="1">
    <x:tablePart xmlns:r="http://schemas.openxmlformats.org/officeDocument/2006/relationships" r:id="Rfc1bcd069ee24482"/>
  </x:tableParts>
</x:worksheet>
</file>

<file path=xl/worksheets/sheet7.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24" hidden="0" customWidth="1"/>
    <x:col min="2" max="2" width="38" hidden="0" customWidth="1"/>
    <x:col min="3" max="3" width="20" hidden="0" customWidth="1"/>
    <x:col min="4" max="4" width="45" hidden="0" customWidth="1"/>
    <x:col min="5" max="5" width="75" hidden="0" customWidth="1"/>
    <x:col min="6" max="6" width="115" hidden="0" customWidth="1"/>
    <x:col min="7" max="7" width="115" hidden="0" customWidth="1"/>
    <x:col min="8" max="8" width="17" hidden="0" customWidth="1"/>
    <x:col min="9" max="9" width="60" hidden="0" customWidth="1"/>
    <x:col min="10" max="10" width="64" hidden="0" customWidth="1"/>
  </x:cols>
  <x:sheetData>
    <x:row r="1" ht="12" customHeight="1">
      <x:c r="A1" s="1"/>
      <x:c r="B1" s="1"/>
      <x:c r="C1" s="1"/>
      <x:c r="D1" s="1"/>
      <x:c r="E1" s="1"/>
      <x:c r="F1" s="1"/>
      <x:c r="G1" s="1"/>
      <x:c r="H1" s="1"/>
      <x:c r="I1" s="1"/>
      <x:c r="J1" s="1"/>
    </x:row>
    <x:row r="2" ht="32" customHeight="1">
      <x:c r="A2" s="2" t="str">
        <x:v>Deployment smoke cases</x:v>
      </x:c>
      <x:c r="B2" s="1"/>
      <x:c r="C2" s="1"/>
      <x:c r="D2" s="1"/>
      <x:c r="E2" s="1"/>
      <x:c r="F2" s="1"/>
      <x:c r="G2" s="1"/>
      <x:c r="H2" s="1"/>
      <x:c r="I2" s="1"/>
      <x:c r="J2" s="1"/>
    </x:row>
    <x:row r="3">
      <x:c r="A3" s="1"/>
      <x:c r="B3" s="1"/>
      <x:c r="C3" s="1"/>
      <x:c r="D3" s="1"/>
      <x:c r="E3" s="1"/>
      <x:c r="F3" s="1"/>
      <x:c r="G3" s="1"/>
      <x:c r="H3" s="1"/>
      <x:c r="I3" s="1"/>
      <x:c r="J3" s="1"/>
    </x:row>
    <x:row r="4" ht="20" customHeight="1">
      <x:c r="A4" s="3" t="str">
        <x:v>12 cases • All product execution statuses start at Not run</x:v>
      </x:c>
      <x:c r="B4" s="1"/>
      <x:c r="C4" s="1"/>
      <x:c r="D4" s="1"/>
      <x:c r="E4" s="1"/>
      <x:c r="F4" s="1"/>
      <x:c r="G4" s="1"/>
      <x:c r="H4" s="1"/>
      <x:c r="I4" s="1"/>
      <x:c r="J4" s="1"/>
    </x:row>
    <x:row r="5">
      <x:c r="A5" s="4"/>
      <x:c r="B5" s="4"/>
      <x:c r="C5" s="4"/>
      <x:c r="D5" s="4"/>
      <x:c r="E5" s="4"/>
      <x:c r="F5" s="4"/>
      <x:c r="G5" s="4"/>
      <x:c r="H5" s="4"/>
      <x:c r="I5" s="4"/>
      <x:c r="J5" s="4"/>
    </x:row>
    <x:row r="6" ht="34" customHeight="1">
      <x:c r="A6" s="9" t="str">
        <x:v>Test ID</x:v>
      </x:c>
      <x:c r="B6" s="9" t="str">
        <x:v>FSD and BRD reference</x:v>
      </x:c>
      <x:c r="C6" s="9" t="str">
        <x:v>Priority and release</x:v>
      </x:c>
      <x:c r="D6" s="9" t="str">
        <x:v>Scenario</x:v>
      </x:c>
      <x:c r="E6" s="9" t="str">
        <x:v>Preconditions and data</x:v>
      </x:c>
      <x:c r="F6" s="9" t="str">
        <x:v>Steps</x:v>
      </x:c>
      <x:c r="G6" s="9" t="str">
        <x:v>Expected outcome</x:v>
      </x:c>
      <x:c r="H6" s="9" t="str">
        <x:v>Status</x:v>
      </x:c>
      <x:c r="I6" s="9" t="str">
        <x:v>Evidence or run ID</x:v>
      </x:c>
      <x:c r="J6" s="9" t="str">
        <x:v>Defect and notes</x:v>
      </x:c>
    </x:row>
    <x:row r="7" ht="42" customHeight="1">
      <x:c r="A7" s="11" t="str">
        <x:v>SM-001</x:v>
      </x:c>
      <x:c r="B7" s="11" t="str">
        <x:v>Release readiness / SC01</x:v>
      </x:c>
      <x:c r="C7" s="11" t="str">
        <x:v>P0 / every deployment</x:v>
      </x:c>
      <x:c r="D7" s="11" t="str">
        <x:v>Readiness</x:v>
      </x:c>
      <x:c r="E7" s="11" t="str">
        <x:v>Readonly synthetic release fixture and tokens; approved environment URL</x:v>
      </x:c>
      <x:c r="F7" s="11" t="str">
        <x:v>GET /health/ready</x:v>
      </x:c>
      <x:c r="G7" s="11" t="str">
        <x:v>200 status ready</x:v>
      </x:c>
      <x:c r="H7" s="13" t="str">
        <x:v>Not run</x:v>
      </x:c>
      <x:c r="I7" s="13" t="str">
        <x:v>Blocked — no deployed API and provisioned fixture.</x:v>
      </x:c>
      <x:c r="J7" s="13" t="str">
        <x:v>Executable tests/test_smoke.py; these checks do not replace a create to publication journey.</x:v>
      </x:c>
    </x:row>
    <x:row r="8" ht="42" customHeight="1">
      <x:c r="A8" s="11" t="str">
        <x:v>SM-002</x:v>
      </x:c>
      <x:c r="B8" s="11" t="str">
        <x:v>Release readiness / SC01</x:v>
      </x:c>
      <x:c r="C8" s="11" t="str">
        <x:v>P0 / every deployment</x:v>
      </x:c>
      <x:c r="D8" s="11" t="str">
        <x:v>Release manifest</x:v>
      </x:c>
      <x:c r="E8" s="11" t="str">
        <x:v>Readonly synthetic release fixture and tokens; approved environment URL</x:v>
      </x:c>
      <x:c r="F8" s="11" t="str">
        <x:v>GET /v1/runtime-manifest</x:v>
      </x:c>
      <x:c r="G8" s="11" t="str">
        <x:v>200 build and schema versions</x:v>
      </x:c>
      <x:c r="H8" s="13" t="str">
        <x:v>Not run</x:v>
      </x:c>
      <x:c r="I8" s="13" t="str">
        <x:v>Blocked — no deployed API and provisioned fixture.</x:v>
      </x:c>
      <x:c r="J8" s="13" t="str">
        <x:v>Executable tests/test_smoke.py; these checks do not replace a create to publication journey.</x:v>
      </x:c>
    </x:row>
    <x:row r="9" ht="42" customHeight="1">
      <x:c r="A9" s="11" t="str">
        <x:v>SM-003</x:v>
      </x:c>
      <x:c r="B9" s="11" t="str">
        <x:v>Release readiness / SC01</x:v>
      </x:c>
      <x:c r="C9" s="11" t="str">
        <x:v>P0 / every deployment</x:v>
      </x:c>
      <x:c r="D9" s="11" t="str">
        <x:v>Access context</x:v>
      </x:c>
      <x:c r="E9" s="11" t="str">
        <x:v>Readonly synthetic release fixture and tokens; approved environment URL</x:v>
      </x:c>
      <x:c r="F9" s="11" t="str">
        <x:v>GET me/access</x:v>
      </x:c>
      <x:c r="G9" s="11" t="str">
        <x:v>200 correct tenant</x:v>
      </x:c>
      <x:c r="H9" s="13" t="str">
        <x:v>Not run</x:v>
      </x:c>
      <x:c r="I9" s="13" t="str">
        <x:v>Blocked — no deployed API and provisioned fixture.</x:v>
      </x:c>
      <x:c r="J9" s="13" t="str">
        <x:v>Executable tests/test_smoke.py; these checks do not replace a create to publication journey.</x:v>
      </x:c>
    </x:row>
    <x:row r="10" ht="42" customHeight="1">
      <x:c r="A10" s="11" t="str">
        <x:v>SM-004</x:v>
      </x:c>
      <x:c r="B10" s="11" t="str">
        <x:v>Release readiness / SC01</x:v>
      </x:c>
      <x:c r="C10" s="11" t="str">
        <x:v>P0 / every deployment</x:v>
      </x:c>
      <x:c r="D10" s="11" t="str">
        <x:v>Programme read</x:v>
      </x:c>
      <x:c r="E10" s="11" t="str">
        <x:v>Readonly synthetic release fixture and tokens; approved environment URL</x:v>
      </x:c>
      <x:c r="F10" s="11" t="str">
        <x:v>GET programmes/{programme_a}</x:v>
      </x:c>
      <x:c r="G10" s="11" t="str">
        <x:v>200 permitted metadata</x:v>
      </x:c>
      <x:c r="H10" s="13" t="str">
        <x:v>Not run</x:v>
      </x:c>
      <x:c r="I10" s="13" t="str">
        <x:v>Blocked — no deployed API and provisioned fixture.</x:v>
      </x:c>
      <x:c r="J10" s="13" t="str">
        <x:v>Executable tests/test_smoke.py; these checks do not replace a create to publication journey.</x:v>
      </x:c>
    </x:row>
    <x:row r="11" ht="42" customHeight="1">
      <x:c r="A11" s="11" t="str">
        <x:v>SM-005</x:v>
      </x:c>
      <x:c r="B11" s="11" t="str">
        <x:v>Release readiness / SC01</x:v>
      </x:c>
      <x:c r="C11" s="11" t="str">
        <x:v>P0 / every deployment</x:v>
      </x:c>
      <x:c r="D11" s="11" t="str">
        <x:v>Official result</x:v>
      </x:c>
      <x:c r="E11" s="11" t="str">
        <x:v>Readonly synthetic release fixture and tokens; approved environment URL</x:v>
      </x:c>
      <x:c r="F11" s="11" t="str">
        <x:v>GET calculated-results/{pooled_result}</x:v>
      </x:c>
      <x:c r="G11" s="11" t="str">
        <x:v>200 PRESENT display 46.36</x:v>
      </x:c>
      <x:c r="H11" s="13" t="str">
        <x:v>Not run</x:v>
      </x:c>
      <x:c r="I11" s="13" t="str">
        <x:v>Blocked — no deployed API and provisioned fixture.</x:v>
      </x:c>
      <x:c r="J11" s="13" t="str">
        <x:v>Executable tests/test_smoke.py; these checks do not replace a create to publication journey.</x:v>
      </x:c>
    </x:row>
    <x:row r="12" ht="42" customHeight="1">
      <x:c r="A12" s="11" t="str">
        <x:v>SM-006</x:v>
      </x:c>
      <x:c r="B12" s="11" t="str">
        <x:v>Release readiness / SC01</x:v>
      </x:c>
      <x:c r="C12" s="11" t="str">
        <x:v>P0 / every deployment</x:v>
      </x:c>
      <x:c r="D12" s="11" t="str">
        <x:v>Evidence metadata</x:v>
      </x:c>
      <x:c r="E12" s="11" t="str">
        <x:v>Readonly synthetic release fixture and tokens; approved environment URL</x:v>
      </x:c>
      <x:c r="F12" s="11" t="str">
        <x:v>GET evidence/{evidence_a}</x:v>
      </x:c>
      <x:c r="G12" s="11" t="str">
        <x:v>200 permitted metadata</x:v>
      </x:c>
      <x:c r="H12" s="13" t="str">
        <x:v>Not run</x:v>
      </x:c>
      <x:c r="I12" s="13" t="str">
        <x:v>Blocked — no deployed API and provisioned fixture.</x:v>
      </x:c>
      <x:c r="J12" s="13" t="str">
        <x:v>Executable tests/test_smoke.py; these checks do not replace a create to publication journey.</x:v>
      </x:c>
    </x:row>
    <x:row r="13" ht="42" customHeight="1">
      <x:c r="A13" s="11" t="str">
        <x:v>SM-007</x:v>
      </x:c>
      <x:c r="B13" s="11" t="str">
        <x:v>Release readiness / SC01</x:v>
      </x:c>
      <x:c r="C13" s="11" t="str">
        <x:v>P0 / every deployment</x:v>
      </x:c>
      <x:c r="D13" s="11" t="str">
        <x:v>Report metadata</x:v>
      </x:c>
      <x:c r="E13" s="11" t="str">
        <x:v>Readonly synthetic release fixture and tokens; approved environment URL</x:v>
      </x:c>
      <x:c r="F13" s="11" t="str">
        <x:v>GET reports/{report_a}</x:v>
      </x:c>
      <x:c r="G13" s="11" t="str">
        <x:v>200 permitted metadata</x:v>
      </x:c>
      <x:c r="H13" s="13" t="str">
        <x:v>Not run</x:v>
      </x:c>
      <x:c r="I13" s="13" t="str">
        <x:v>Blocked — no deployed API and provisioned fixture.</x:v>
      </x:c>
      <x:c r="J13" s="13" t="str">
        <x:v>Executable tests/test_smoke.py; these checks do not replace a create to publication journey.</x:v>
      </x:c>
    </x:row>
    <x:row r="14" ht="42" customHeight="1">
      <x:c r="A14" s="11" t="str">
        <x:v>SM-008</x:v>
      </x:c>
      <x:c r="B14" s="11" t="str">
        <x:v>Release readiness / SC01</x:v>
      </x:c>
      <x:c r="C14" s="11" t="str">
        <x:v>P0 / every deployment</x:v>
      </x:c>
      <x:c r="D14" s="11" t="str">
        <x:v>Published form metadata</x:v>
      </x:c>
      <x:c r="E14" s="11" t="str">
        <x:v>Readonly synthetic release fixture and tokens; approved environment URL</x:v>
      </x:c>
      <x:c r="F14" s="11" t="str">
        <x:v>GET forms/{form_a}</x:v>
      </x:c>
      <x:c r="G14" s="11" t="str">
        <x:v>200 permitted metadata</x:v>
      </x:c>
      <x:c r="H14" s="13" t="str">
        <x:v>Not run</x:v>
      </x:c>
      <x:c r="I14" s="13" t="str">
        <x:v>Blocked — no deployed API and provisioned fixture.</x:v>
      </x:c>
      <x:c r="J14" s="13" t="str">
        <x:v>Executable tests/test_smoke.py; these checks do not replace a create to publication journey.</x:v>
      </x:c>
    </x:row>
    <x:row r="15" ht="42" customHeight="1">
      <x:c r="A15" s="11" t="str">
        <x:v>SM-009</x:v>
      </x:c>
      <x:c r="B15" s="11" t="str">
        <x:v>Release readiness / SC01</x:v>
      </x:c>
      <x:c r="C15" s="11" t="str">
        <x:v>P0 / every deployment</x:v>
      </x:c>
      <x:c r="D15" s="11" t="str">
        <x:v>Unauthenticated denial</x:v>
      </x:c>
      <x:c r="E15" s="11" t="str">
        <x:v>Readonly synthetic release fixture and tokens; approved environment URL</x:v>
      </x:c>
      <x:c r="F15" s="11" t="str">
        <x:v>GET programmes without auth</x:v>
      </x:c>
      <x:c r="G15" s="11" t="str">
        <x:v>401 AUTH_REQUIRED</x:v>
      </x:c>
      <x:c r="H15" s="13" t="str">
        <x:v>Not run</x:v>
      </x:c>
      <x:c r="I15" s="13" t="str">
        <x:v>Blocked — no deployed API and provisioned fixture.</x:v>
      </x:c>
      <x:c r="J15" s="13" t="str">
        <x:v>Executable tests/test_smoke.py; these checks do not replace a create to publication journey.</x:v>
      </x:c>
    </x:row>
    <x:row r="16" ht="42" customHeight="1">
      <x:c r="A16" s="11" t="str">
        <x:v>SM-010</x:v>
      </x:c>
      <x:c r="B16" s="11" t="str">
        <x:v>Release readiness / SC01</x:v>
      </x:c>
      <x:c r="C16" s="11" t="str">
        <x:v>P0 / every deployment</x:v>
      </x:c>
      <x:c r="D16" s="11" t="str">
        <x:v>Cross tenant denial</x:v>
      </x:c>
      <x:c r="E16" s="11" t="str">
        <x:v>Readonly synthetic release fixture and tokens; approved environment URL</x:v>
      </x:c>
      <x:c r="F16" s="11" t="str">
        <x:v>GET programme B ID under A</x:v>
      </x:c>
      <x:c r="G16" s="11" t="str">
        <x:v>404 RESOURCE_UNAVAILABLE</x:v>
      </x:c>
      <x:c r="H16" s="13" t="str">
        <x:v>Not run</x:v>
      </x:c>
      <x:c r="I16" s="13" t="str">
        <x:v>Blocked — no deployed API and provisioned fixture.</x:v>
      </x:c>
      <x:c r="J16" s="13" t="str">
        <x:v>Executable tests/test_smoke.py; these checks do not replace a create to publication journey.</x:v>
      </x:c>
    </x:row>
    <x:row r="17" ht="42" customHeight="1">
      <x:c r="A17" s="11" t="str">
        <x:v>SM-011</x:v>
      </x:c>
      <x:c r="B17" s="11" t="str">
        <x:v>Release readiness / SC01</x:v>
      </x:c>
      <x:c r="C17" s="11" t="str">
        <x:v>P0 / every deployment</x:v>
      </x:c>
      <x:c r="D17" s="11" t="str">
        <x:v>Bounded indicator list</x:v>
      </x:c>
      <x:c r="E17" s="11" t="str">
        <x:v>Readonly synthetic release fixture and tokens; approved environment URL</x:v>
      </x:c>
      <x:c r="F17" s="11" t="str">
        <x:v>GET indicator-instances?limit=10</x:v>
      </x:c>
      <x:c r="G17" s="11" t="str">
        <x:v>200 at most 10 items</x:v>
      </x:c>
      <x:c r="H17" s="13" t="str">
        <x:v>Not run</x:v>
      </x:c>
      <x:c r="I17" s="13" t="str">
        <x:v>Blocked — no deployed API and provisioned fixture.</x:v>
      </x:c>
      <x:c r="J17" s="13" t="str">
        <x:v>Executable tests/test_smoke.py; these checks do not replace a create to publication journey.</x:v>
      </x:c>
    </x:row>
    <x:row r="18" ht="42" customHeight="1">
      <x:c r="A18" s="11" t="str">
        <x:v>SM-012</x:v>
      </x:c>
      <x:c r="B18" s="11" t="str">
        <x:v>Release readiness / SC01</x:v>
      </x:c>
      <x:c r="C18" s="11" t="str">
        <x:v>P0 / every deployment</x:v>
      </x:c>
      <x:c r="D18" s="11" t="str">
        <x:v>Revoked identity denial</x:v>
      </x:c>
      <x:c r="E18" s="11" t="str">
        <x:v>Readonly synthetic release fixture and tokens; approved environment URL</x:v>
      </x:c>
      <x:c r="F18" s="11" t="str">
        <x:v>GET report A with revoked token</x:v>
      </x:c>
      <x:c r="G18" s="11" t="str">
        <x:v>401/404 no data</x:v>
      </x:c>
      <x:c r="H18" s="13" t="str">
        <x:v>Not run</x:v>
      </x:c>
      <x:c r="I18" s="13" t="str">
        <x:v>Blocked — no deployed API and provisioned fixture.</x:v>
      </x:c>
      <x:c r="J18" s="13" t="str">
        <x:v>Executable tests/test_smoke.py; these checks do not replace a create to publication journey.</x:v>
      </x:c>
    </x:row>
  </x:sheetData>
  <x:conditionalFormatting sqref="H7:H18">
    <x:cfRule type="cellIs" dxfId="15" priority="1" operator="equal">
      <x:formula>"Pass"</x:formula>
    </x:cfRule>
    <x:cfRule type="cellIs" dxfId="16" priority="2" operator="equal">
      <x:formula>"Fail"</x:formula>
    </x:cfRule>
    <x:cfRule type="cellIs" dxfId="17" priority="3" operator="equal">
      <x:formula>"Blocked"</x:formula>
    </x:cfRule>
  </x:conditionalFormatting>
  <x:dataValidations count="1">
    <x:dataValidation type="list" sqref="H7:H18">
      <x:formula1>"Not run,In progress,Pass,Fail,Blocked,Not applicable"</x:formula1>
    </x:dataValidation>
  </x:dataValidations>
  <x:pageMargins left="0.7" right="0.7" top="0.75" bottom="0.75" header="0.3" footer="0.3"/>
  <x:tableParts count="1">
    <x:tablePart xmlns:r="http://schemas.openxmlformats.org/officeDocument/2006/relationships" r:id="R1c2466c2f03443b9"/>
  </x:tableParts>
</x:worksheet>
</file>

<file path=xl/worksheets/sheet8.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24" hidden="0" customWidth="1"/>
    <x:col min="2" max="2" width="38" hidden="0" customWidth="1"/>
    <x:col min="3" max="3" width="20" hidden="0" customWidth="1"/>
    <x:col min="4" max="4" width="45" hidden="0" customWidth="1"/>
    <x:col min="5" max="5" width="75" hidden="0" customWidth="1"/>
    <x:col min="6" max="6" width="115" hidden="0" customWidth="1"/>
    <x:col min="7" max="7" width="115" hidden="0" customWidth="1"/>
    <x:col min="8" max="8" width="17" hidden="0" customWidth="1"/>
    <x:col min="9" max="9" width="60" hidden="0" customWidth="1"/>
    <x:col min="10" max="10" width="64" hidden="0" customWidth="1"/>
  </x:cols>
  <x:sheetData>
    <x:row r="1" ht="12" customHeight="1">
      <x:c r="A1" s="1"/>
      <x:c r="B1" s="1"/>
      <x:c r="C1" s="1"/>
      <x:c r="D1" s="1"/>
      <x:c r="E1" s="1"/>
      <x:c r="F1" s="1"/>
      <x:c r="G1" s="1"/>
      <x:c r="H1" s="1"/>
      <x:c r="I1" s="1"/>
      <x:c r="J1" s="1"/>
    </x:row>
    <x:row r="2" ht="32" customHeight="1">
      <x:c r="A2" s="2" t="str">
        <x:v>Security and boundary cases</x:v>
      </x:c>
      <x:c r="B2" s="1"/>
      <x:c r="C2" s="1"/>
      <x:c r="D2" s="1"/>
      <x:c r="E2" s="1"/>
      <x:c r="F2" s="1"/>
      <x:c r="G2" s="1"/>
      <x:c r="H2" s="1"/>
      <x:c r="I2" s="1"/>
      <x:c r="J2" s="1"/>
    </x:row>
    <x:row r="3">
      <x:c r="A3" s="1"/>
      <x:c r="B3" s="1"/>
      <x:c r="C3" s="1"/>
      <x:c r="D3" s="1"/>
      <x:c r="E3" s="1"/>
      <x:c r="F3" s="1"/>
      <x:c r="G3" s="1"/>
      <x:c r="H3" s="1"/>
      <x:c r="I3" s="1"/>
      <x:c r="J3" s="1"/>
    </x:row>
    <x:row r="4" ht="20" customHeight="1">
      <x:c r="A4" s="3" t="str">
        <x:v>45 cases • All product execution statuses start at Not run</x:v>
      </x:c>
      <x:c r="B4" s="1"/>
      <x:c r="C4" s="1"/>
      <x:c r="D4" s="1"/>
      <x:c r="E4" s="1"/>
      <x:c r="F4" s="1"/>
      <x:c r="G4" s="1"/>
      <x:c r="H4" s="1"/>
      <x:c r="I4" s="1"/>
      <x:c r="J4" s="1"/>
    </x:row>
    <x:row r="5">
      <x:c r="A5" s="4"/>
      <x:c r="B5" s="4"/>
      <x:c r="C5" s="4"/>
      <x:c r="D5" s="4"/>
      <x:c r="E5" s="4"/>
      <x:c r="F5" s="4"/>
      <x:c r="G5" s="4"/>
      <x:c r="H5" s="4"/>
      <x:c r="I5" s="4"/>
      <x:c r="J5" s="4"/>
    </x:row>
    <x:row r="6" ht="34" customHeight="1">
      <x:c r="A6" s="9" t="str">
        <x:v>Test ID</x:v>
      </x:c>
      <x:c r="B6" s="9" t="str">
        <x:v>FSD and BRD reference</x:v>
      </x:c>
      <x:c r="C6" s="9" t="str">
        <x:v>Priority and release</x:v>
      </x:c>
      <x:c r="D6" s="9" t="str">
        <x:v>Scenario</x:v>
      </x:c>
      <x:c r="E6" s="9" t="str">
        <x:v>Preconditions and data</x:v>
      </x:c>
      <x:c r="F6" s="9" t="str">
        <x:v>Steps</x:v>
      </x:c>
      <x:c r="G6" s="9" t="str">
        <x:v>Expected outcome</x:v>
      </x:c>
      <x:c r="H6" s="9" t="str">
        <x:v>Status</x:v>
      </x:c>
      <x:c r="I6" s="9" t="str">
        <x:v>Evidence or run ID</x:v>
      </x:c>
      <x:c r="J6" s="9" t="str">
        <x:v>Defect and notes</x:v>
      </x:c>
    </x:row>
    <x:row r="7" ht="42" customHeight="1">
      <x:c r="A7" s="11" t="str">
        <x:v>SEC-001</x:v>
      </x:c>
      <x:c r="B7" s="11" t="str">
        <x:v>FR-ACC-001</x:v>
      </x:c>
      <x:c r="C7" s="11" t="str">
        <x:v>P0 / applicable release</x:v>
      </x:c>
      <x:c r="D7" s="11" t="str">
        <x:v>Default deny</x:v>
      </x:c>
      <x:c r="E7" s="11" t="str">
        <x:v>New identity without membership and member without scope</x:v>
      </x:c>
      <x:c r="F7" s="11" t="str">
        <x:v>1. Request every object, collection, count, search facet and export 2. Inspect durable state, eligible response and safe audit evidence. 3. Repeat on relevant alternate channel.</x:v>
      </x:c>
      <x:c r="G7" s="11" t="str">
        <x:v>No protected markers, counts or existence signals; deny has safe correlation reference</x:v>
      </x:c>
      <x:c r="H7" s="13" t="str">
        <x:v>Not run</x:v>
      </x:c>
      <x:c r="I7" s="13" t="str"/>
      <x:c r="J7" s="13" t="str"/>
    </x:row>
    <x:row r="8" ht="51" customHeight="1">
      <x:c r="A8" s="11" t="str">
        <x:v>SEC-002</x:v>
      </x:c>
      <x:c r="B8" s="11" t="str">
        <x:v>VF-IAM-001</x:v>
      </x:c>
      <x:c r="C8" s="11" t="str">
        <x:v>P0 / applicable release</x:v>
      </x:c>
      <x:c r="D8" s="11" t="str">
        <x:v>Revocation across channels</x:v>
      </x:c>
      <x:c r="E8" s="11" t="str">
        <x:v>Active tabs, download, API token, AI session and queued export</x:v>
      </x:c>
      <x:c r="F8" s="11" t="str">
        <x:v>1. Revoke at recorded platform receipt; poll all channels through 60 seconds; start job sensitive stage 2. Inspect durable state, eligible response and safe audit evidence. 3. Repeat on relevant alternate channel.</x:v>
      </x:c>
      <x:c r="G8" s="11" t="str">
        <x:v>No protected response after maximum 60 seconds; job rechecks before side effect</x:v>
      </x:c>
      <x:c r="H8" s="13" t="str">
        <x:v>Not run</x:v>
      </x:c>
      <x:c r="I8" s="13" t="str"/>
      <x:c r="J8" s="13" t="str"/>
    </x:row>
    <x:row r="9" ht="42" customHeight="1">
      <x:c r="A9" s="11" t="str">
        <x:v>SEC-003</x:v>
      </x:c>
      <x:c r="B9" s="11" t="str">
        <x:v>FR-ACC-005</x:v>
      </x:c>
      <x:c r="C9" s="11" t="str">
        <x:v>P0 / applicable release</x:v>
      </x:c>
      <x:c r="D9" s="11" t="str">
        <x:v>Restricted field propagation</x:v>
      </x:c>
      <x:c r="E9" s="11" t="str">
        <x:v>Dataset with restricted identifier and unrestricted total</x:v>
      </x:c>
      <x:c r="F9" s="11" t="str">
        <x:v>1. Read page, search, facet, CSV, report, AI answer and cached preview as limited viewer 2. Inspect durable state, eligible response and safe audit evidence. 3. Repeat on relevant alternate channel.</x:v>
      </x:c>
      <x:c r="G9" s="11" t="str">
        <x:v>Restricted value and field name absent when field existence is protected; derived private artifacts inherit restrictions</x:v>
      </x:c>
      <x:c r="H9" s="13" t="str">
        <x:v>Not run</x:v>
      </x:c>
      <x:c r="I9" s="13" t="str"/>
      <x:c r="J9" s="13" t="str"/>
    </x:row>
    <x:row r="10" ht="42" customHeight="1">
      <x:c r="A10" s="11" t="str">
        <x:v>SEC-004</x:v>
      </x:c>
      <x:c r="B10" s="11" t="str">
        <x:v>FR-PRV-004</x:v>
      </x:c>
      <x:c r="C10" s="11" t="str">
        <x:v>P0 / applicable release</x:v>
      </x:c>
      <x:c r="D10" s="11" t="str">
        <x:v>Purpose withdrawal</x:v>
      </x:c>
      <x:c r="E10" s="11" t="str">
        <x:v>Participant permits purpose A; derived exports and AI snippets exist</x:v>
      </x:c>
      <x:c r="F10" s="11" t="str">
        <x:v>1. Withdraw A; requery originals, derivatives and planned job 2. Inspect durable state, eligible response and safe audit evidence. 3. Repeat on relevant alternate channel.</x:v>
      </x:c>
      <x:c r="G10" s="11" t="str">
        <x:v>Affected processing stops; unrelated authorised purpose separately evaluated; no cached resurrection</x:v>
      </x:c>
      <x:c r="H10" s="13" t="str">
        <x:v>Not run</x:v>
      </x:c>
      <x:c r="I10" s="13" t="str"/>
      <x:c r="J10" s="13" t="str"/>
    </x:row>
    <x:row r="11" ht="42" customHeight="1">
      <x:c r="A11" s="11" t="str">
        <x:v>SEC-005</x:v>
      </x:c>
      <x:c r="B11" s="11" t="str">
        <x:v>FR-SEC-003</x:v>
      </x:c>
      <x:c r="C11" s="11" t="str">
        <x:v>P0 / applicable release</x:v>
      </x:c>
      <x:c r="D11" s="11" t="str">
        <x:v>Composite foreign keys</x:v>
      </x:c>
      <x:c r="E11" s="11" t="str">
        <x:v>Tenant A/B rows in real PostgreSQL</x:v>
      </x:c>
      <x:c r="F11" s="11" t="str">
        <x:v>1. Attempt insert of A child with B parent and revision using actual runtime connection 2. Inspect durable state, eligible response and safe audit evidence. 3. Repeat on relevant alternate channel.</x:v>
      </x:c>
      <x:c r="G11" s="11" t="str">
        <x:v>Transaction rejected; no cross-tenant relationships</x:v>
      </x:c>
      <x:c r="H11" s="13" t="str">
        <x:v>Not run</x:v>
      </x:c>
      <x:c r="I11" s="13" t="str"/>
      <x:c r="J11" s="13" t="str"/>
    </x:row>
    <x:row r="12" ht="42" customHeight="1">
      <x:c r="A12" s="11" t="str">
        <x:v>SEC-006</x:v>
      </x:c>
      <x:c r="B12" s="11" t="str">
        <x:v>FR-SEC-003</x:v>
      </x:c>
      <x:c r="C12" s="11" t="str">
        <x:v>P0 / applicable release</x:v>
      </x:c>
      <x:c r="D12" s="11" t="str">
        <x:v>Runtime RLS</x:v>
      </x:c>
      <x:c r="E12" s="11" t="str">
        <x:v>Nonowner runtime role; forced RLS; malicious object UUID</x:v>
      </x:c>
      <x:c r="F12" s="11" t="str">
        <x:v>1. Query directly with missing, A and B tenant context; attempt policy/role bypass 2. Inspect durable state, eligible response and safe audit evidence. 3. Repeat on relevant alternate channel.</x:v>
      </x:c>
      <x:c r="G12" s="11" t="str">
        <x:v>Missing context reads nothing and writes fail; A never reads B; role has no BYPASSRLS, owner or TRUNCATE</x:v>
      </x:c>
      <x:c r="H12" s="13" t="str">
        <x:v>Not run</x:v>
      </x:c>
      <x:c r="I12" s="13" t="str"/>
      <x:c r="J12" s="13" t="str"/>
    </x:row>
    <x:row r="13" ht="42" customHeight="1">
      <x:c r="A13" s="11" t="str">
        <x:v>SEC-007</x:v>
      </x:c>
      <x:c r="B13" s="11" t="str">
        <x:v>FR-SEC-003</x:v>
      </x:c>
      <x:c r="C13" s="11" t="str">
        <x:v>P0 / applicable release</x:v>
      </x:c>
      <x:c r="D13" s="11" t="str">
        <x:v>Connection pool context reset</x:v>
      </x:c>
      <x:c r="E13" s="11" t="str">
        <x:v>One pooled DB connection reused across two requests</x:v>
      </x:c>
      <x:c r="F13" s="11" t="str">
        <x:v>1. Alternate A/B transactions; abort one transaction; run contextless request 2. Inspect durable state, eligible response and safe audit evidence. 3. Repeat on relevant alternate channel.</x:v>
      </x:c>
      <x:c r="G13" s="11" t="str">
        <x:v>SET LOCAL tenant reset at transaction end; no marker leaks after rollback</x:v>
      </x:c>
      <x:c r="H13" s="13" t="str">
        <x:v>Not run</x:v>
      </x:c>
      <x:c r="I13" s="13" t="str"/>
      <x:c r="J13" s="13" t="str"/>
    </x:row>
    <x:row r="14" ht="51" customHeight="1">
      <x:c r="A14" s="11" t="str">
        <x:v>SEC-008</x:v>
      </x:c>
      <x:c r="B14" s="11" t="str">
        <x:v>SC04</x:v>
      </x:c>
      <x:c r="C14" s="11" t="str">
        <x:v>P0 / applicable release</x:v>
      </x:c>
      <x:c r="D14" s="11" t="str">
        <x:v>Authority metadata forgery</x:v>
      </x:c>
      <x:c r="E14" s="11" t="str">
        <x:v>Author create/patch DTOs</x:v>
      </x:c>
      <x:c r="F14" s="11" t="str">
        <x:v>1. Supply actor, issuer, joined time, scan status, approval status and commercial status in payloads 2. Inspect durable state, eligible response and safe audit evidence. 3. Repeat on relevant alternate channel.</x:v>
      </x:c>
      <x:c r="G14" s="11" t="str">
        <x:v>422 VALIDATION_FAILED; server-owned fields cannot be assigned by clients</x:v>
      </x:c>
      <x:c r="H14" s="13" t="str">
        <x:v>Not run</x:v>
      </x:c>
      <x:c r="I14" s="13" t="str"/>
      <x:c r="J14" s="13" t="str"/>
    </x:row>
    <x:row r="15" ht="42" customHeight="1">
      <x:c r="A15" s="11" t="str">
        <x:v>SEC-009</x:v>
      </x:c>
      <x:c r="B15" s="11" t="str">
        <x:v>FR-IAM-001</x:v>
      </x:c>
      <x:c r="C15" s="11" t="str">
        <x:v>P0 / applicable release</x:v>
      </x:c>
      <x:c r="D15" s="11" t="str">
        <x:v>Invitation races and resend</x:v>
      </x:c>
      <x:c r="E15" s="11" t="str">
        <x:v>Two tokens after resend; intended and unrelated identities</x:v>
      </x:c>
      <x:c r="F15" s="11" t="str">
        <x:v>1. Accept old token, wrong identity, expired token; race two valid accepts 2. Inspect durable state, eligible response and safe audit evidence. 3. Repeat on relevant alternate channel.</x:v>
      </x:c>
      <x:c r="G15" s="11" t="str">
        <x:v>Only one intended membership; old/consumed tokens rejected; no tenant information leaked</x:v>
      </x:c>
      <x:c r="H15" s="13" t="str">
        <x:v>Not run</x:v>
      </x:c>
      <x:c r="I15" s="13" t="str"/>
      <x:c r="J15" s="13" t="str"/>
    </x:row>
    <x:row r="16" ht="51" customHeight="1">
      <x:c r="A16" s="11" t="str">
        <x:v>SEC-010</x:v>
      </x:c>
      <x:c r="B16" s="11" t="str">
        <x:v>FR-TEN-010</x:v>
      </x:c>
      <x:c r="C16" s="11" t="str">
        <x:v>P0 / applicable release</x:v>
      </x:c>
      <x:c r="D16" s="11" t="str">
        <x:v>Last owner continuity</x:v>
      </x:c>
      <x:c r="E16" s="11" t="str">
        <x:v>Sole eligible owner; successor pending</x:v>
      </x:c>
      <x:c r="F16" s="11" t="str">
        <x:v>1. Revoke/suspend owner; race transfer with successor expiry; then complete two-actor transfer 2. Inspect durable state, eligible response and safe audit evidence. 3. Repeat on relevant alternate channel.</x:v>
      </x:c>
      <x:c r="G16" s="11" t="str">
        <x:v>No ownerless active tenant; stale custody rejected; successful transfer preserves history and no extra data grant</x:v>
      </x:c>
      <x:c r="H16" s="13" t="str">
        <x:v>Not run</x:v>
      </x:c>
      <x:c r="I16" s="13" t="str"/>
      <x:c r="J16" s="13" t="str"/>
    </x:row>
    <x:row r="17" ht="42" customHeight="1">
      <x:c r="A17" s="11" t="str">
        <x:v>SEC-011</x:v>
      </x:c>
      <x:c r="B17" s="11" t="str">
        <x:v>FR-IAM-003</x:v>
      </x:c>
      <x:c r="C17" s="11" t="str">
        <x:v>P0 / applicable release</x:v>
      </x:c>
      <x:c r="D17" s="11" t="str">
        <x:v>Assurance freshness</x:v>
      </x:c>
      <x:c r="E17" s="11" t="str">
        <x:v>Privileged session older than five minutes since assurance</x:v>
      </x:c>
      <x:c r="F17" s="11" t="str">
        <x:v>1. Publish publicly and change grants; refresh assurance then replay reviewed intent 2. Inspect durable state, eligible response and safe audit evidence. 3. Repeat on relevant alternate channel.</x:v>
      </x:c>
      <x:c r="G17" s="11" t="str">
        <x:v>Step-up before effect; fresh assurance bound to actor/action; unrelated pending command not executed</x:v>
      </x:c>
      <x:c r="H17" s="13" t="str">
        <x:v>Not run</x:v>
      </x:c>
      <x:c r="I17" s="13" t="str"/>
      <x:c r="J17" s="13" t="str"/>
    </x:row>
    <x:row r="18" ht="51" customHeight="1">
      <x:c r="A18" s="11" t="str">
        <x:v>SEC-012</x:v>
      </x:c>
      <x:c r="B18" s="11" t="str">
        <x:v>FR-SEC-004</x:v>
      </x:c>
      <x:c r="C18" s="11" t="str">
        <x:v>P0 / applicable release</x:v>
      </x:c>
      <x:c r="D18" s="11" t="str">
        <x:v>CSRF protection</x:v>
      </x:c>
      <x:c r="E18" s="11" t="str">
        <x:v>Authenticated browser cookie</x:v>
      </x:c>
      <x:c r="F18" s="11" t="str">
        <x:v>1. Send mutation from foreign origin with absent/invalid CSRF token; repeat valid same-origin token 2. Inspect durable state, eligible response and safe audit evidence. 3. Repeat on relevant alternate channel.</x:v>
      </x:c>
      <x:c r="G18" s="11" t="str">
        <x:v>Reject forged request; session cookie Secure HttpOnly host-only; legitimate mutation succeeds</x:v>
      </x:c>
      <x:c r="H18" s="13" t="str">
        <x:v>Not run</x:v>
      </x:c>
      <x:c r="I18" s="13" t="str"/>
      <x:c r="J18" s="13" t="str"/>
    </x:row>
    <x:row r="19" ht="42" customHeight="1">
      <x:c r="A19" s="11" t="str">
        <x:v>SEC-013</x:v>
      </x:c>
      <x:c r="B19" s="11" t="str">
        <x:v>FR-SEC-004</x:v>
      </x:c>
      <x:c r="C19" s="11" t="str">
        <x:v>P0 / applicable release</x:v>
      </x:c>
      <x:c r="D19" s="11" t="str">
        <x:v>Stored script and spreadsheet formula</x:v>
      </x:c>
      <x:c r="E19" s="11" t="str">
        <x:v>Texts containing script markup and =,+,-,@ formula prefixes</x:v>
      </x:c>
      <x:c r="F19" s="11" t="str">
        <x:v>1. Save, render, comment, export CSV/XLSX and reopen in supported applications 2. Inspect durable state, eligible response and safe audit evidence. 3. Repeat on relevant alternate channel.</x:v>
      </x:c>
      <x:c r="G19" s="11" t="str">
        <x:v>No script or formula execution; source text preserved through documented safe export encoding</x:v>
      </x:c>
      <x:c r="H19" s="13" t="str">
        <x:v>Not run</x:v>
      </x:c>
      <x:c r="I19" s="13" t="str"/>
      <x:c r="J19" s="13" t="str"/>
    </x:row>
    <x:row r="20" ht="51" customHeight="1">
      <x:c r="A20" s="11" t="str">
        <x:v>SEC-014</x:v>
      </x:c>
      <x:c r="B20" s="11" t="str">
        <x:v>FR-SEC-005</x:v>
      </x:c>
      <x:c r="C20" s="11" t="str">
        <x:v>P0 / applicable release</x:v>
      </x:c>
      <x:c r="D20" s="11" t="str">
        <x:v>Outbound request boundaries</x:v>
      </x:c>
      <x:c r="E20" s="11" t="str">
        <x:v>Connector URL redirects and DNS-rebinding fixtures</x:v>
      </x:c>
      <x:c r="F20" s="11" t="str">
        <x:v>1. Try loopback, link-local, metadata address, private IPv4/IPv6, alternate encoding and redirected destinations 2. Inspect durable state, eligible response and safe audit evidence. 3. Repeat on relevant alternate channel.</x:v>
      </x:c>
      <x:c r="G20" s="11" t="str">
        <x:v>Block nonapproved destinations at resolution and connection; no secrets forwarded on redirects</x:v>
      </x:c>
      <x:c r="H20" s="13" t="str">
        <x:v>Not run</x:v>
      </x:c>
      <x:c r="I20" s="13" t="str"/>
      <x:c r="J20" s="13" t="str"/>
    </x:row>
    <x:row r="21" ht="51" customHeight="1">
      <x:c r="A21" s="11" t="str">
        <x:v>SEC-015</x:v>
      </x:c>
      <x:c r="B21" s="11" t="str">
        <x:v>FR-SEC-005</x:v>
      </x:c>
      <x:c r="C21" s="11" t="str">
        <x:v>P0 / applicable release</x:v>
      </x:c>
      <x:c r="D21" s="11" t="str">
        <x:v>File safety</x:v>
      </x:c>
      <x:c r="E21" s="11" t="str">
        <x:v>Malicious, renamed, encrypted and expansion-bomb fixtures</x:v>
      </x:c>
      <x:c r="F21" s="11" t="str">
        <x:v>1. Upload each file; attempt preview/download/mandatory-evidence approval before and after scan 2. Inspect durable state, eligible response and safe audit evidence. 3. Repeat on relevant alternate channel.</x:v>
      </x:c>
      <x:c r="G21" s="11" t="str">
        <x:v>Quarantine or reject; bounded extraction; digest verified; scan success never implies authenticity</x:v>
      </x:c>
      <x:c r="H21" s="13" t="str">
        <x:v>Not run</x:v>
      </x:c>
      <x:c r="I21" s="13" t="str"/>
      <x:c r="J21" s="13" t="str"/>
    </x:row>
    <x:row r="22" ht="42" customHeight="1">
      <x:c r="A22" s="11" t="str">
        <x:v>SEC-016</x:v>
      </x:c>
      <x:c r="B22" s="11" t="str">
        <x:v>VF-IAM-001</x:v>
      </x:c>
      <x:c r="C22" s="11" t="str">
        <x:v>P0 / applicable release</x:v>
      </x:c>
      <x:c r="D22" s="11" t="str">
        <x:v>Streaming download revocation</x:v>
      </x:c>
      <x:c r="E22" s="11" t="str">
        <x:v>Large protected artifact; reader streaming slowly</x:v>
      </x:c>
      <x:c r="F22" s="11" t="str">
        <x:v>1. Revoke while streaming; request additional ranges and replay old handle 2. Inspect durable state, eligible response and safe audit evidence. 3. Repeat on relevant alternate channel.</x:v>
      </x:c>
      <x:c r="G22" s="11" t="str">
        <x:v>Bounded chunks reauthorise; new bytes stopped within 60 seconds; delivered external bytes not claimed recalled</x:v>
      </x:c>
      <x:c r="H22" s="13" t="str">
        <x:v>Not run</x:v>
      </x:c>
      <x:c r="I22" s="13" t="str"/>
      <x:c r="J22" s="13" t="str"/>
    </x:row>
    <x:row r="23" ht="42" customHeight="1">
      <x:c r="A23" s="11" t="str">
        <x:v>SEC-017</x:v>
      </x:c>
      <x:c r="B23" s="11" t="str">
        <x:v>FR-ACC-004</x:v>
      </x:c>
      <x:c r="C23" s="11" t="str">
        <x:v>P0 / applicable release</x:v>
      </x:c>
      <x:c r="D23" s="11" t="str">
        <x:v>Alias self approval</x:v>
      </x:c>
      <x:c r="E23" s="11" t="str">
        <x:v>Two verified federation identities belonging to same natural person</x:v>
      </x:c>
      <x:c r="F23" s="11" t="str">
        <x:v>1. Approve own authored candidate via alternate group, identity and delegation 2. Inspect durable state, eligible response and safe audit evidence. 3. Repeat on relevant alternate channel.</x:v>
      </x:c>
      <x:c r="G23" s="11" t="str">
        <x:v>Independence checked on verified person identity; no bypass by membership aliases</x:v>
      </x:c>
      <x:c r="H23" s="13" t="str">
        <x:v>Not run</x:v>
      </x:c>
      <x:c r="I23" s="13" t="str"/>
      <x:c r="J23" s="13" t="str"/>
    </x:row>
    <x:row r="24" ht="42" customHeight="1">
      <x:c r="A24" s="11" t="str">
        <x:v>SEC-018</x:v>
      </x:c>
      <x:c r="B24" s="11" t="str">
        <x:v>VF-DIN-002</x:v>
      </x:c>
      <x:c r="C24" s="11" t="str">
        <x:v>P0 / applicable release</x:v>
      </x:c>
      <x:c r="D24" s="11" t="str">
        <x:v>Edit versus approval race</x:v>
      </x:c>
      <x:c r="E24" s="11" t="str">
        <x:v>Candidate r1 in review</x:v>
      </x:c>
      <x:c r="F24" s="11" t="str">
        <x:v>1. Race edit/new candidate r2 with approval of r1 2. Inspect durable state, eligible response and safe audit evidence. 3. Repeat on relevant alternate channel.</x:v>
      </x:c>
      <x:c r="G24" s="11" t="str">
        <x:v>No r1 decision attaches to r2; serialised version check; one coherent outcome</x:v>
      </x:c>
      <x:c r="H24" s="13" t="str">
        <x:v>Not run</x:v>
      </x:c>
      <x:c r="I24" s="13" t="str"/>
      <x:c r="J24" s="13" t="str"/>
    </x:row>
    <x:row r="25" ht="42" customHeight="1">
      <x:c r="A25" s="11" t="str">
        <x:v>SEC-019</x:v>
      </x:c>
      <x:c r="B25" s="11" t="str">
        <x:v>FR-WFL-002</x:v>
      </x:c>
      <x:c r="C25" s="11" t="str">
        <x:v>P0 / applicable release</x:v>
      </x:c>
      <x:c r="D25" s="11" t="str">
        <x:v>Returned candidate invalidates quorum</x:v>
      </x:c>
      <x:c r="E25" s="11" t="str">
        <x:v>Parallel workflow partially approved</x:v>
      </x:c>
      <x:c r="F25" s="11" t="str">
        <x:v>1. Return candidate; author changes; re-submit; inspect old decisions 2. Inspect durable state, eligible response and safe audit evidence. 3. Repeat on relevant alternate channel.</x:v>
      </x:c>
      <x:c r="G25" s="11" t="str">
        <x:v>New candidate requires new eligible decisions; mandatory stages and distinct quorum satisfied</x:v>
      </x:c>
      <x:c r="H25" s="13" t="str">
        <x:v>Not run</x:v>
      </x:c>
      <x:c r="I25" s="13" t="str"/>
      <x:c r="J25" s="13" t="str"/>
    </x:row>
    <x:row r="26" ht="42" customHeight="1">
      <x:c r="A26" s="11" t="str">
        <x:v>SEC-020</x:v>
      </x:c>
      <x:c r="B26" s="11" t="str">
        <x:v>FR-RPT-009</x:v>
      </x:c>
      <x:c r="C26" s="11" t="str">
        <x:v>P0 / applicable release</x:v>
      </x:c>
      <x:c r="D26" s="11" t="str">
        <x:v>Frozen snapshot and current privacy</x:v>
      </x:c>
      <x:c r="E26" s="11" t="str">
        <x:v>Published frozen report then correction and privacy restriction</x:v>
      </x:c>
      <x:c r="F26" s="11" t="str">
        <x:v>1. Open original, live result and restated report after restrictions 2. Inspect durable state, eligible response and safe audit evidence. 3. Repeat on relevant alternate channel.</x:v>
      </x:c>
      <x:c r="G26" s="11" t="str">
        <x:v>Original arithmetic unchanged; prohibited component withheld; corrected publication new version and recipient history</x:v>
      </x:c>
      <x:c r="H26" s="13" t="str">
        <x:v>Not run</x:v>
      </x:c>
      <x:c r="I26" s="13" t="str"/>
      <x:c r="J26" s="13" t="str"/>
    </x:row>
    <x:row r="27" ht="42" customHeight="1">
      <x:c r="A27" s="11" t="str">
        <x:v>SEC-021</x:v>
      </x:c>
      <x:c r="B27" s="11" t="str">
        <x:v>FR-ACC-009</x:v>
      </x:c>
      <x:c r="C27" s="11" t="str">
        <x:v>P0 / applicable release</x:v>
      </x:c>
      <x:c r="D27" s="11" t="str">
        <x:v>Complementary disclosure</x:v>
      </x:c>
      <x:c r="E27" s="11" t="str">
        <x:v>Cells 2 and 8; total 10; prior published slices</x:v>
      </x:c>
      <x:c r="F27" s="11" t="str">
        <x:v>1. Attempt release with only 2 hidden; combine prior releases and filters 2. Inspect durable state, eligible response and safe audit evidence. 3. Repeat on relevant alternate channel.</x:v>
      </x:c>
      <x:c r="G27" s="11" t="str">
        <x:v>Reject reconstructable combination or suppress complements/total; raw values absent from metadata and downloads</x:v>
      </x:c>
      <x:c r="H27" s="13" t="str">
        <x:v>Not run</x:v>
      </x:c>
      <x:c r="I27" s="13" t="str"/>
      <x:c r="J27" s="13" t="str"/>
    </x:row>
    <x:row r="28" ht="42" customHeight="1">
      <x:c r="A28" s="11" t="str">
        <x:v>SEC-022</x:v>
      </x:c>
      <x:c r="B28" s="11" t="str">
        <x:v>FR-DAT-005</x:v>
      </x:c>
      <x:c r="C28" s="11" t="str">
        <x:v>P0 / applicable release</x:v>
      </x:c>
      <x:c r="D28" s="11" t="str">
        <x:v>Import row accounting and cancellation</x:v>
      </x:c>
      <x:c r="E28" s="11" t="str">
        <x:v>10 parsed rows covering six terminal categories</x:v>
      </x:c>
      <x:c r="F28" s="11" t="str">
        <x:v>1. Cancel after known commit boundary; inspect manifest; retry eligible rows 2. Inspect durable state, eligible response and safe audit evidence. 3. Repeat on relevant alternate channel.</x:v>
      </x:c>
      <x:c r="G28" s="11" t="str">
        <x:v>Inserted+revised+duplicates+rejected+quarantined+unprocessed=10; no duplicate effects</x:v>
      </x:c>
      <x:c r="H28" s="13" t="str">
        <x:v>Not run</x:v>
      </x:c>
      <x:c r="I28" s="13" t="str"/>
      <x:c r="J28" s="13" t="str"/>
    </x:row>
    <x:row r="29" ht="42" customHeight="1">
      <x:c r="A29" s="11" t="str">
        <x:v>SEC-023</x:v>
      </x:c>
      <x:c r="B29" s="11" t="str">
        <x:v>SC02</x:v>
      </x:c>
      <x:c r="C29" s="11" t="str">
        <x:v>P0 / applicable release</x:v>
      </x:c>
      <x:c r="D29" s="11" t="str">
        <x:v>Atomic import rollback</x:v>
      </x:c>
      <x:c r="E29" s="11" t="str">
        <x:v>Atomic 100-row batch with last-row validation failure</x:v>
      </x:c>
      <x:c r="F29" s="11" t="str">
        <x:v>1. Commit in atomic mode; interrupt transaction before ack 2. Inspect durable state, eligible response and safe audit evidence. 3. Repeat on relevant alternate channel.</x:v>
      </x:c>
      <x:c r="G29" s="11" t="str">
        <x:v>No batch business records committed; staging/diagnostic receipt accounted; partial mode cannot be silently substituted</x:v>
      </x:c>
      <x:c r="H29" s="13" t="str">
        <x:v>Not run</x:v>
      </x:c>
      <x:c r="I29" s="13" t="str"/>
      <x:c r="J29" s="13" t="str"/>
    </x:row>
    <x:row r="30" ht="42" customHeight="1">
      <x:c r="A30" s="11" t="str">
        <x:v>SEC-024</x:v>
      </x:c>
      <x:c r="B30" s="11" t="str">
        <x:v>FR-DAT-004</x:v>
      </x:c>
      <x:c r="C30" s="11" t="str">
        <x:v>P0 / applicable release</x:v>
      </x:c>
      <x:c r="D30" s="11" t="str">
        <x:v>Preview invalidation</x:v>
      </x:c>
      <x:c r="E30" s="11" t="str">
        <x:v>Reviewed mapping preview P</x:v>
      </x:c>
      <x:c r="F30" s="11" t="str">
        <x:v>1. Change mapping/source/scope; attempt commit P; repeat after 30-minute expiry 2. Inspect durable state, eligible response and safe audit evidence. 3. Repeat on relevant alternate channel.</x:v>
      </x:c>
      <x:c r="G30" s="11" t="str">
        <x:v>Stale preview rejected; require new diff and confirmation; no old approval applied</x:v>
      </x:c>
      <x:c r="H30" s="13" t="str">
        <x:v>Not run</x:v>
      </x:c>
      <x:c r="I30" s="13" t="str"/>
      <x:c r="J30" s="13" t="str"/>
    </x:row>
    <x:row r="31" ht="42" customHeight="1">
      <x:c r="A31" s="11" t="str">
        <x:v>SEC-025</x:v>
      </x:c>
      <x:c r="B31" s="11" t="str">
        <x:v>SC03</x:v>
      </x:c>
      <x:c r="C31" s="11" t="str">
        <x:v>P0 / applicable release</x:v>
      </x:c>
      <x:c r="D31" s="11" t="str">
        <x:v>Duplicate and reordered queue messages</x:v>
      </x:c>
      <x:c r="E31" s="11" t="str">
        <x:v>Same event delivered repeatedly and out of order</x:v>
      </x:c>
      <x:c r="F31" s="11" t="str">
        <x:v>1. Deliver event twice; crash consumer after commit before ack; deliver prior revision 2. Inspect durable state, eligible response and safe audit evidence. 3. Repeat on relevant alternate channel.</x:v>
      </x:c>
      <x:c r="G31" s="11" t="str">
        <x:v>One business effect per durable key; old revision ignored or recomputed; transport attempts recorded</x:v>
      </x:c>
      <x:c r="H31" s="13" t="str">
        <x:v>Not run</x:v>
      </x:c>
      <x:c r="I31" s="13" t="str"/>
      <x:c r="J31" s="13" t="str"/>
    </x:row>
    <x:row r="32" ht="42" customHeight="1">
      <x:c r="A32" s="11" t="str">
        <x:v>SEC-026</x:v>
      </x:c>
      <x:c r="B32" s="11" t="str">
        <x:v>SC03</x:v>
      </x:c>
      <x:c r="C32" s="11" t="str">
        <x:v>P0 / applicable release</x:v>
      </x:c>
      <x:c r="D32" s="11" t="str">
        <x:v>Worker lease fencing</x:v>
      </x:c>
      <x:c r="E32" s="11" t="str">
        <x:v>Worker A pauses past lease; B acquires new generation</x:v>
      </x:c>
      <x:c r="F32" s="11" t="str">
        <x:v>1. Resume A during B commit; both attempt effect 2. Inspect durable state, eligible response and safe audit evidence. 3. Repeat on relevant alternate channel.</x:v>
      </x:c>
      <x:c r="G32" s="11" t="str">
        <x:v>Only current generation commits; obsolete lease cannot overwrite progress or publish artifacts</x:v>
      </x:c>
      <x:c r="H32" s="13" t="str">
        <x:v>Not run</x:v>
      </x:c>
      <x:c r="I32" s="13" t="str"/>
      <x:c r="J32" s="13" t="str"/>
    </x:row>
    <x:row r="33" ht="42" customHeight="1">
      <x:c r="A33" s="11" t="str">
        <x:v>SEC-027</x:v>
      </x:c>
      <x:c r="B33" s="11" t="str">
        <x:v>FR-INT-003</x:v>
      </x:c>
      <x:c r="C33" s="11" t="str">
        <x:v>P0 / applicable release</x:v>
      </x:c>
      <x:c r="D33" s="11" t="str">
        <x:v>Unknown provider outcome</x:v>
      </x:c>
      <x:c r="E33" s="11" t="str">
        <x:v>External provider accepts request then drops connection</x:v>
      </x:c>
      <x:c r="F33" s="11" t="str">
        <x:v>1. Retry using same business key; query provider receipt where supported 2. Inspect durable state, eligible response and safe audit evidence. 3. Repeat on relevant alternate channel.</x:v>
      </x:c>
      <x:c r="G33" s="11" t="str">
        <x:v>Unknown shown separately; reconcile before duplicate delivery; external exactly-once guarantee not invented</x:v>
      </x:c>
      <x:c r="H33" s="13" t="str">
        <x:v>Not run</x:v>
      </x:c>
      <x:c r="I33" s="13" t="str"/>
      <x:c r="J33" s="13" t="str"/>
    </x:row>
    <x:row r="34" ht="42" customHeight="1">
      <x:c r="A34" s="11" t="str">
        <x:v>SEC-028</x:v>
      </x:c>
      <x:c r="B34" s="11" t="str">
        <x:v>VF-CAP-002</x:v>
      </x:c>
      <x:c r="C34" s="11" t="str">
        <x:v>P0 / applicable release</x:v>
      </x:c>
      <x:c r="D34" s="11" t="str">
        <x:v>Tenant admission fairness</x:v>
      </x:c>
      <x:c r="E34" s="11" t="str">
        <x:v>A noisy bulk tenant; B ordinary save/approve cohort</x:v>
      </x:c>
      <x:c r="F34" s="11" t="str">
        <x:v>1. Saturate A two active plus twenty queued per class; run five-minute burst 2. Inspect durable state, eligible response and safe audit evidence. 3. Repeat on relevant alternate channel.</x:v>
      </x:c>
      <x:c r="G34" s="11" t="str">
        <x:v>Explicit limit response and bounded queues; B meets ordinary targets; no unexplained starvation</x:v>
      </x:c>
      <x:c r="H34" s="13" t="str">
        <x:v>Not run</x:v>
      </x:c>
      <x:c r="I34" s="13" t="str"/>
      <x:c r="J34" s="13" t="str"/>
    </x:row>
    <x:row r="35" ht="42" customHeight="1">
      <x:c r="A35" s="11" t="str">
        <x:v>SEC-029</x:v>
      </x:c>
      <x:c r="B35" s="11" t="str">
        <x:v>VF-OFF-001</x:v>
      </x:c>
      <x:c r="C35" s="11" t="str">
        <x:v>P0 / applicable release</x:v>
      </x:c>
      <x:c r="D35" s="11" t="str">
        <x:v>Offline time tampering</x:v>
      </x:c>
      <x:c r="E35" s="11" t="str">
        <x:v>Managed restricted package near expiry</x:v>
      </x:c>
      <x:c r="F35" s="11" t="str">
        <x:v>1. Roll back wall clock; reboot; lose monotonic anchor; switch account; disconnect 2. Inspect durable state, eligible response and safe audit evidence. 3. Repeat on relevant alternate channel.</x:v>
      </x:c>
      <x:c r="G35" s="11" t="str">
        <x:v>No extended lease; loss of trusted anchor locks until renewal; account/tenant keys isolated</x:v>
      </x:c>
      <x:c r="H35" s="13" t="str">
        <x:v>Not run</x:v>
      </x:c>
      <x:c r="I35" s="13" t="str"/>
      <x:c r="J35" s="13" t="str"/>
    </x:row>
    <x:row r="36" ht="42" customHeight="1">
      <x:c r="A36" s="11" t="str">
        <x:v>SEC-030</x:v>
      </x:c>
      <x:c r="B36" s="11" t="str">
        <x:v>VF-OFF-001</x:v>
      </x:c>
      <x:c r="C36" s="11" t="str">
        <x:v>P0 / applicable release</x:v>
      </x:c>
      <x:c r="D36" s="11" t="str">
        <x:v>Offline revocation window</x:v>
      </x:c>
      <x:c r="E36" s="11" t="str">
        <x:v>Device disconnected before central revocation</x:v>
      </x:c>
      <x:c r="F36" s="11" t="str">
        <x:v>1. Revoke central access; attempt offline use before/after signed expiry and on reconnect 2. Inspect durable state, eligible response and safe audit evidence. 3. Repeat on relevant alternate channel.</x:v>
      </x:c>
      <x:c r="G36" s="11" t="str">
        <x:v>Residual authorised offline window disclosed; no access after lease expiry; reconnect applies current revocation</x:v>
      </x:c>
      <x:c r="H36" s="13" t="str">
        <x:v>Not run</x:v>
      </x:c>
      <x:c r="I36" s="13" t="str"/>
      <x:c r="J36" s="13" t="str"/>
    </x:row>
    <x:row r="37" ht="42" customHeight="1">
      <x:c r="A37" s="11" t="str">
        <x:v>SEC-031</x:v>
      </x:c>
      <x:c r="B37" s="11" t="str">
        <x:v>AT21</x:v>
      </x:c>
      <x:c r="C37" s="11" t="str">
        <x:v>P0 / applicable release</x:v>
      </x:c>
      <x:c r="D37" s="11" t="str">
        <x:v>Interrupted synchronisation</x:v>
      </x:c>
      <x:c r="E37" s="11" t="str">
        <x:v>Submission with required media</x:v>
      </x:c>
      <x:c r="F37" s="11" t="str">
        <x:v>1. Cut network at upload, row commit, receipt return and media completion; retry each 2. Inspect durable state, eligible response and safe audit evidence. 3. Repeat on relevant alternate channel.</x:v>
      </x:c>
      <x:c r="G37" s="11" t="str">
        <x:v>Same submission identity and receipt; no duplicate achievement; required-media incomplete blocks approval</x:v>
      </x:c>
      <x:c r="H37" s="13" t="str">
        <x:v>Not run</x:v>
      </x:c>
      <x:c r="I37" s="13" t="str"/>
      <x:c r="J37" s="13" t="str"/>
    </x:row>
    <x:row r="38" ht="42" customHeight="1">
      <x:c r="A38" s="11" t="str">
        <x:v>SEC-032</x:v>
      </x:c>
      <x:c r="B38" s="11" t="str">
        <x:v>FR-FRM-005</x:v>
      </x:c>
      <x:c r="C38" s="11" t="str">
        <x:v>P0 / applicable release</x:v>
      </x:c>
      <x:c r="D38" s="11" t="str">
        <x:v>Conditional hidden form answers</x:v>
      </x:c>
      <x:c r="E38" s="11" t="str">
        <x:v>Published clear and retain rule fixtures with repeat groups</x:v>
      </x:c>
      <x:c r="F38" s="11" t="str">
        <x:v>1. Enter answer then hide field; toggle parent; sync and export 2. Inspect durable state, eligible response and safe audit evidence. 3. Repeat on relevant alternate channel.</x:v>
      </x:c>
      <x:c r="G38" s="11" t="str">
        <x:v>Clear mode removes stale response; retain mode obeys published restricted treatment; repeat references stay within correct member</x:v>
      </x:c>
      <x:c r="H38" s="13" t="str">
        <x:v>Not run</x:v>
      </x:c>
      <x:c r="I38" s="13" t="str"/>
      <x:c r="J38" s="13" t="str"/>
    </x:row>
    <x:row r="39" ht="42" customHeight="1">
      <x:c r="A39" s="11" t="str">
        <x:v>SEC-033</x:v>
      </x:c>
      <x:c r="B39" s="11" t="str">
        <x:v>FR-AI-013</x:v>
      </x:c>
      <x:c r="C39" s="11" t="str">
        <x:v>P0 / applicable release</x:v>
      </x:c>
      <x:c r="D39" s="11" t="str">
        <x:v>Indirect prompt injection</x:v>
      </x:c>
      <x:c r="E39" s="11" t="str">
        <x:v>Retrieved document contains instruction to export another tenant</x:v>
      </x:c>
      <x:c r="F39" s="11" t="str">
        <x:v>1. Ask evidence question and allow retrieval/tool proposal 2. Inspect durable state, eligible response and safe audit evidence. 3. Repeat on relevant alternate channel.</x:v>
      </x:c>
      <x:c r="G39" s="11" t="str">
        <x:v>Document treated as data; scope checks and tool allowlist prevent secret/tenant access; no unauthorised tool action</x:v>
      </x:c>
      <x:c r="H39" s="13" t="str">
        <x:v>Not run</x:v>
      </x:c>
      <x:c r="I39" s="13" t="str"/>
      <x:c r="J39" s="13" t="str"/>
    </x:row>
    <x:row r="40" ht="42" customHeight="1">
      <x:c r="A40" s="11" t="str">
        <x:v>SEC-034</x:v>
      </x:c>
      <x:c r="B40" s="11" t="str">
        <x:v>AT27</x:v>
      </x:c>
      <x:c r="C40" s="11" t="str">
        <x:v>P0 / applicable release</x:v>
      </x:c>
      <x:c r="D40" s="11" t="str">
        <x:v>Stale AI confirmation</x:v>
      </x:c>
      <x:c r="E40" s="11" t="str">
        <x:v>Draft proposal P against r1</x:v>
      </x:c>
      <x:c r="F40" s="11" t="str">
        <x:v>1. Change source/object to r2; confirm old exact diff 2. Inspect durable state, eligible response and safe audit evidence. 3. Repeat on relevant alternate channel.</x:v>
      </x:c>
      <x:c r="G40" s="11" t="str">
        <x:v>Proposal marked stale; new preview required; no implicit rebase or broad write</x:v>
      </x:c>
      <x:c r="H40" s="13" t="str">
        <x:v>Not run</x:v>
      </x:c>
      <x:c r="I40" s="13" t="str"/>
      <x:c r="J40" s="13" t="str"/>
    </x:row>
    <x:row r="41" ht="42" customHeight="1">
      <x:c r="A41" s="11" t="str">
        <x:v>SEC-035</x:v>
      </x:c>
      <x:c r="B41" s="11" t="str">
        <x:v>VF-AIQ-002</x:v>
      </x:c>
      <x:c r="C41" s="11" t="str">
        <x:v>P0 / applicable release</x:v>
      </x:c>
      <x:c r="D41" s="11" t="str">
        <x:v>Invented official number</x:v>
      </x:c>
      <x:c r="E41" s="11" t="str">
        <x:v>Model draft contains unsupported numeric result</x:v>
      </x:c>
      <x:c r="F41" s="11" t="str">
        <x:v>1. Generate report with deterministic tool reference returning different value 2. Inspect durable state, eligible response and safe audit evidence. 3. Repeat on relevant alternate channel.</x:v>
      </x:c>
      <x:c r="G41" s="11" t="str">
        <x:v>Official numeric field binds tool result; unsupported number removed or flagged; reconciliation gate blocks publication</x:v>
      </x:c>
      <x:c r="H41" s="13" t="str">
        <x:v>Not run</x:v>
      </x:c>
      <x:c r="I41" s="13" t="str"/>
      <x:c r="J41" s="13" t="str"/>
    </x:row>
    <x:row r="42" ht="42" customHeight="1">
      <x:c r="A42" s="11" t="str">
        <x:v>SEC-036</x:v>
      </x:c>
      <x:c r="B42" s="11" t="str">
        <x:v>FR-AI-016</x:v>
      </x:c>
      <x:c r="C42" s="11" t="str">
        <x:v>P0 / applicable release</x:v>
      </x:c>
      <x:c r="D42" s="11" t="str">
        <x:v>AI budget race</x:v>
      </x:c>
      <x:c r="E42" s="11" t="str">
        <x:v>Remaining budget sufficient for one request</x:v>
      </x:c>
      <x:c r="F42" s="11" t="str">
        <x:v>1. Admit two concurrent jobs; cancel during provider call 2. Inspect durable state, eligible response and safe audit evidence. 3. Repeat on relevant alternate channel.</x:v>
      </x:c>
      <x:c r="G42" s="11" t="str">
        <x:v>Atomic budget reservation prevents overspend; accepted provider work separately reconciled; manual workflows remain available</x:v>
      </x:c>
      <x:c r="H42" s="13" t="str">
        <x:v>Not run</x:v>
      </x:c>
      <x:c r="I42" s="13" t="str"/>
      <x:c r="J42" s="13" t="str"/>
    </x:row>
    <x:row r="43" ht="42" customHeight="1">
      <x:c r="A43" s="11" t="str">
        <x:v>SEC-037</x:v>
      </x:c>
      <x:c r="B43" s="11" t="str">
        <x:v>FR-PRV-005</x:v>
      </x:c>
      <x:c r="C43" s="11" t="str">
        <x:v>P0 / applicable release</x:v>
      </x:c>
      <x:c r="D43" s="11" t="str">
        <x:v>Privacy partial completion and holds</x:v>
      </x:c>
      <x:c r="E43" s="11" t="str">
        <x:v>One held item, one failed index delete and two removable records</x:v>
      </x:c>
      <x:c r="F43" s="11" t="str">
        <x:v>1. Execute approved per-store plan; retry failed store 2. Inspect durable state, eligible response and safe audit evidence. 3. Repeat on relevant alternate channel.</x:v>
      </x:c>
      <x:c r="G43" s="11" t="str">
        <x:v>PartiallyCompleted until every in-scope store removed/restricted; held item restricted and separately accounted</x:v>
      </x:c>
      <x:c r="H43" s="13" t="str">
        <x:v>Not run</x:v>
      </x:c>
      <x:c r="I43" s="13" t="str"/>
      <x:c r="J43" s="13" t="str"/>
    </x:row>
    <x:row r="44" ht="42" customHeight="1">
      <x:c r="A44" s="11" t="str">
        <x:v>SEC-038</x:v>
      </x:c>
      <x:c r="B44" s="11" t="str">
        <x:v>AT15</x:v>
      </x:c>
      <x:c r="C44" s="11" t="str">
        <x:v>P0 / applicable release</x:v>
      </x:c>
      <x:c r="D44" s="11" t="str">
        <x:v>Deletion replay on restore</x:v>
      </x:c>
      <x:c r="E44" s="11" t="str">
        <x:v>Backup older than deletion and grant revocation</x:v>
      </x:c>
      <x:c r="F44" s="11" t="str">
        <x:v>1. Restore to isolated region-qualified target; try access before/after replay 2. Inspect durable state, eligible response and safe audit evidence. 3. Repeat on relevant alternate channel.</x:v>
      </x:c>
      <x:c r="G44" s="11" t="str">
        <x:v>Access closed until deletion ledger, current grants, keys and integrity checks pass; no deleted-value recovery</x:v>
      </x:c>
      <x:c r="H44" s="13" t="str">
        <x:v>Not run</x:v>
      </x:c>
      <x:c r="I44" s="13" t="str"/>
      <x:c r="J44" s="13" t="str"/>
    </x:row>
    <x:row r="45" ht="42" customHeight="1">
      <x:c r="A45" s="11" t="str">
        <x:v>SEC-039</x:v>
      </x:c>
      <x:c r="B45" s="11" t="str">
        <x:v>VF-AUD-001</x:v>
      </x:c>
      <x:c r="C45" s="11" t="str">
        <x:v>P0 / applicable release</x:v>
      </x:c>
      <x:c r="D45" s="11" t="str">
        <x:v>Audit tamper detection</x:v>
      </x:c>
      <x:c r="E45" s="11" t="str">
        <x:v>Signed checkpoint and ordered audit batch</x:v>
      </x:c>
      <x:c r="F45" s="11" t="str">
        <x:v>1. Alter event, delete gap, reorder or truncate tail; verify against independent checkpoint 2. Inspect durable state, eligible response and safe audit evidence. 3. Repeat on relevant alternate channel.</x:v>
      </x:c>
      <x:c r="G45" s="11" t="str">
        <x:v>Detect mutation/gap/reorder; append-only privileges and external checkpoint protect more than same-store hash chain</x:v>
      </x:c>
      <x:c r="H45" s="13" t="str">
        <x:v>Not run</x:v>
      </x:c>
      <x:c r="I45" s="13" t="str"/>
      <x:c r="J45" s="13" t="str"/>
    </x:row>
    <x:row r="46" ht="51" customHeight="1">
      <x:c r="A46" s="11" t="str">
        <x:v>SEC-040</x:v>
      </x:c>
      <x:c r="B46" s="11" t="str">
        <x:v>VF-PRT-001</x:v>
      </x:c>
      <x:c r="C46" s="11" t="str">
        <x:v>P0 / applicable release</x:v>
      </x:c>
      <x:c r="D46" s="11" t="str">
        <x:v>Portable exit reconstruction</x:v>
      </x:c>
      <x:c r="E46" s="11" t="str">
        <x:v>One million rows plus 10 GB attachments, permission-scoped export</x:v>
      </x:c>
      <x:c r="F46" s="11" t="str">
        <x:v>1. Generate manifest; independently reconstruct relationships/checksums and missing/held items 2. Inspect durable state, eligible response and safe audit evidence. 3. Repeat on relevant alternate channel.</x:v>
      </x:c>
      <x:c r="G46" s="11" t="str">
        <x:v>Complete documented package within 24h standard process; unresolved held/deleted items labelled; no proprietary undocumented join</x:v>
      </x:c>
      <x:c r="H46" s="13" t="str">
        <x:v>Not run</x:v>
      </x:c>
      <x:c r="I46" s="13" t="str"/>
      <x:c r="J46" s="13" t="str"/>
    </x:row>
    <x:row r="47" ht="51" customHeight="1">
      <x:c r="A47" s="11" t="str">
        <x:v>SEC-041</x:v>
      </x:c>
      <x:c r="B47" s="11" t="str">
        <x:v>AT30</x:v>
      </x:c>
      <x:c r="C47" s="11" t="str">
        <x:v>P0 / applicable release</x:v>
      </x:c>
      <x:c r="D47" s="11" t="str">
        <x:v>Accessible whole journey</x:v>
      </x:c>
      <x:c r="E47" s="11" t="str">
        <x:v>Keyboard and screen reader; 360px viewport; generated standard report</x:v>
      </x:c>
      <x:c r="F47" s="11" t="str">
        <x:v>1. Login, collect, correct, review, explain result and generate report using assistive technology 2. Inspect durable state, eligible response and safe audit evidence. 3. Repeat on relevant alternate channel.</x:v>
      </x:c>
      <x:c r="G47" s="11" t="str">
        <x:v>WCAG 2.2 AA scoped evidence; focus/error summary/status labels usable; colour not sole cue; no critical data loss</x:v>
      </x:c>
      <x:c r="H47" s="13" t="str">
        <x:v>Not run</x:v>
      </x:c>
      <x:c r="I47" s="13" t="str"/>
      <x:c r="J47" s="13" t="str"/>
    </x:row>
    <x:row r="48" ht="51" customHeight="1">
      <x:c r="A48" s="11" t="str">
        <x:v>SEC-042</x:v>
      </x:c>
      <x:c r="B48" s="11" t="str">
        <x:v>VF-DR-001</x:v>
      </x:c>
      <x:c r="C48" s="11" t="str">
        <x:v>P0 / applicable release</x:v>
      </x:c>
      <x:c r="D48" s="11" t="str">
        <x:v>Allowed-region disaster recovery</x:v>
      </x:c>
      <x:c r="E48" s="11" t="str">
        <x:v>Qualified region allowlist and latest accepted receipts</x:v>
      </x:c>
      <x:c r="F48" s="11" t="str">
        <x:v>1. Declare disaster; restore DB/files/config/keys only in permitted destination; reconcile gaps 2. Inspect durable state, eligible response and safe audit evidence. 3. Repeat on relevant alternate channel.</x:v>
      </x:c>
      <x:c r="G48" s="11" t="str">
        <x:v>RPO &lt;=15min and RTO &lt;=4h; no prohibited fallback; hold access until governance replay complete</x:v>
      </x:c>
      <x:c r="H48" s="13" t="str">
        <x:v>Not run</x:v>
      </x:c>
      <x:c r="I48" s="13" t="str"/>
      <x:c r="J48" s="13" t="str"/>
    </x:row>
    <x:row r="49" ht="42" customHeight="1">
      <x:c r="A49" s="11" t="str">
        <x:v>SEC-043</x:v>
      </x:c>
      <x:c r="B49" s="11" t="str">
        <x:v>AT09</x:v>
      </x:c>
      <x:c r="C49" s="11" t="str">
        <x:v>P0 / applicable release</x:v>
      </x:c>
      <x:c r="D49" s="11" t="str">
        <x:v>Typed numeric states across channels</x:v>
      </x:c>
      <x:c r="E49" s="11" t="str">
        <x:v>Zero, missing, invalid, undefined, pending and suppressed fixtures</x:v>
      </x:c>
      <x:c r="F49" s="11" t="str">
        <x:v>1. Read API/UI/export/report/AI calculation for each 2. Inspect durable state, eligible response and safe audit evidence. 3. Repeat on relevant alternate channel.</x:v>
      </x:c>
      <x:c r="G49" s="11" t="str">
        <x:v>Zero retained; absence typed; pending not value state; suppressed value absent from unauthorised payload</x:v>
      </x:c>
      <x:c r="H49" s="13" t="str">
        <x:v>Not run</x:v>
      </x:c>
      <x:c r="I49" s="13" t="str"/>
      <x:c r="J49" s="13" t="str"/>
    </x:row>
    <x:row r="50" ht="42" customHeight="1">
      <x:c r="A50" s="11" t="str">
        <x:v>SEC-044</x:v>
      </x:c>
      <x:c r="B50" s="11" t="str">
        <x:v>SC01</x:v>
      </x:c>
      <x:c r="C50" s="11" t="str">
        <x:v>P0 / applicable release</x:v>
      </x:c>
      <x:c r="D50" s="11" t="str">
        <x:v>Cursor context binding</x:v>
      </x:c>
      <x:c r="E50" s="11" t="str">
        <x:v>Valid cursor under A query/scope/epoch</x:v>
      </x:c>
      <x:c r="F50" s="11" t="str">
        <x:v>1. Replay under B, changed filter, different sort and revoked grant 2. Inspect durable state, eligible response and safe audit evidence. 3. Repeat on relevant alternate channel.</x:v>
      </x:c>
      <x:c r="G50" s="11" t="str">
        <x:v>Reject invalid cursor safely; no hidden counts or unstable duplicated official items</x:v>
      </x:c>
      <x:c r="H50" s="13" t="str">
        <x:v>Not run</x:v>
      </x:c>
      <x:c r="I50" s="13" t="str"/>
      <x:c r="J50" s="13" t="str"/>
    </x:row>
    <x:row r="51" ht="42" customHeight="1">
      <x:c r="A51" s="11" t="str">
        <x:v>SEC-045</x:v>
      </x:c>
      <x:c r="B51" s="11" t="str">
        <x:v>VF-SEC-001</x:v>
      </x:c>
      <x:c r="C51" s="11" t="str">
        <x:v>P0 / applicable release</x:v>
      </x:c>
      <x:c r="D51" s="11" t="str">
        <x:v>Release security threshold</x:v>
      </x:c>
      <x:c r="E51" s="11" t="str">
        <x:v>Candidate with unresolved high confidentiality issue</x:v>
      </x:c>
      <x:c r="F51" s="11" t="str">
        <x:v>1. Attempt deploy gate; attach unverified mitigation; then add verified effective mitigation 2. Inspect durable state, eligible response and safe audit evidence. 3. Repeat on relevant alternate channel.</x:v>
      </x:c>
      <x:c r="G51" s="11" t="str">
        <x:v>Unmitigated release blocked; evidence linked to affected control; no product-priority bypass</x:v>
      </x:c>
      <x:c r="H51" s="13" t="str">
        <x:v>Not run</x:v>
      </x:c>
      <x:c r="I51" s="13" t="str"/>
      <x:c r="J51" s="13" t="str"/>
    </x:row>
  </x:sheetData>
  <x:conditionalFormatting sqref="H7:H51">
    <x:cfRule type="cellIs" dxfId="18" priority="1" operator="equal">
      <x:formula>"Pass"</x:formula>
    </x:cfRule>
    <x:cfRule type="cellIs" dxfId="19" priority="2" operator="equal">
      <x:formula>"Fail"</x:formula>
    </x:cfRule>
    <x:cfRule type="cellIs" dxfId="20" priority="3" operator="equal">
      <x:formula>"Blocked"</x:formula>
    </x:cfRule>
  </x:conditionalFormatting>
  <x:dataValidations count="1">
    <x:dataValidation type="list" sqref="H7:H51">
      <x:formula1>"Not run,In progress,Pass,Fail,Blocked,Not applicable"</x:formula1>
    </x:dataValidation>
  </x:dataValidations>
  <x:pageMargins left="0.7" right="0.7" top="0.75" bottom="0.75" header="0.3" footer="0.3"/>
  <x:tableParts count="1">
    <x:tablePart xmlns:r="http://schemas.openxmlformats.org/officeDocument/2006/relationships" r:id="Rf0ce7d7cf8c446c3"/>
  </x:tableParts>
</x:worksheet>
</file>

<file path=xl/worksheets/sheet9.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7" hidden="0" customWidth="1"/>
    <x:col min="2" max="2" width="24" hidden="0" customWidth="1"/>
    <x:col min="3" max="3" width="43" hidden="0" customWidth="1"/>
    <x:col min="4" max="4" width="12" hidden="0" customWidth="1"/>
    <x:col min="5" max="5" width="12" hidden="0" customWidth="1"/>
    <x:col min="6" max="6" width="14" hidden="0" customWidth="1"/>
    <x:col min="7" max="7" width="31" hidden="0" customWidth="1"/>
    <x:col min="8" max="8" width="115" hidden="0" customWidth="1"/>
  </x:cols>
  <x:sheetData>
    <x:row r="1" ht="12" customHeight="1">
      <x:c r="A1" s="1"/>
      <x:c r="B1" s="1"/>
      <x:c r="C1" s="1"/>
      <x:c r="D1" s="1"/>
      <x:c r="E1" s="1"/>
      <x:c r="F1" s="1"/>
      <x:c r="G1" s="1"/>
      <x:c r="H1" s="1"/>
    </x:row>
    <x:row r="2" ht="32" customHeight="1">
      <x:c r="A2" s="2" t="str">
        <x:v>Functional scenario register</x:v>
      </x:c>
      <x:c r="B2" s="1"/>
      <x:c r="C2" s="1"/>
      <x:c r="D2" s="1"/>
      <x:c r="E2" s="1"/>
      <x:c r="F2" s="1"/>
      <x:c r="G2" s="1"/>
      <x:c r="H2" s="1"/>
    </x:row>
    <x:row r="3">
      <x:c r="A3" s="1"/>
      <x:c r="B3" s="1"/>
      <x:c r="C3" s="1"/>
      <x:c r="D3" s="1"/>
      <x:c r="E3" s="1"/>
      <x:c r="F3" s="1"/>
      <x:c r="G3" s="1"/>
      <x:c r="H3" s="1"/>
    </x:row>
    <x:row r="4" ht="20" customHeight="1">
      <x:c r="A4" s="3" t="str">
        <x:v>270 records • Source FSD version 1.0 dated 24 September 2026</x:v>
      </x:c>
      <x:c r="B4" s="1"/>
      <x:c r="C4" s="1"/>
      <x:c r="D4" s="1"/>
      <x:c r="E4" s="1"/>
      <x:c r="F4" s="1"/>
      <x:c r="G4" s="1"/>
      <x:c r="H4" s="1"/>
    </x:row>
    <x:row r="5">
      <x:c r="A5" s="4"/>
      <x:c r="B5" s="4"/>
      <x:c r="C5" s="4"/>
      <x:c r="D5" s="4"/>
      <x:c r="E5" s="4"/>
      <x:c r="F5" s="4"/>
      <x:c r="G5" s="4"/>
      <x:c r="H5" s="4"/>
    </x:row>
    <x:row r="6" ht="34" customHeight="1">
      <x:c r="A6" s="9" t="str">
        <x:v>Scenario ID</x:v>
      </x:c>
      <x:c r="B6" s="9" t="str">
        <x:v>FSD reference</x:v>
      </x:c>
      <x:c r="C6" s="9" t="str">
        <x:v>Scenario</x:v>
      </x:c>
      <x:c r="D6" s="9" t="str">
        <x:v>Priority</x:v>
      </x:c>
      <x:c r="E6" s="9" t="str">
        <x:v>Release</x:v>
      </x:c>
      <x:c r="F6" s="9" t="str">
        <x:v>Component</x:v>
      </x:c>
      <x:c r="G6" s="9" t="str">
        <x:v>Primary cases</x:v>
      </x:c>
      <x:c r="H6" s="9" t="str">
        <x:v>Acceptance fixture</x:v>
      </x:c>
    </x:row>
    <x:row r="7" ht="42" customHeight="1">
      <x:c r="A7" s="11" t="str">
        <x:v>SC-001</x:v>
      </x:c>
      <x:c r="B7" s="11" t="str">
        <x:v>FR-TEN-001</x:v>
      </x:c>
      <x:c r="C7" s="11" t="str">
        <x:v>Tenant lifecycle</x:v>
      </x:c>
      <x:c r="D7" s="11" t="str">
        <x:v>P0</x:v>
      </x:c>
      <x:c r="E7" s="11" t="str">
        <x:v>R1</x:v>
      </x:c>
      <x:c r="F7" s="11" t="str">
        <x:v>C02</x:v>
      </x:c>
      <x:c r="G7" s="11" t="str">
        <x:v>TC-TEN-001-01 / -02</x:v>
      </x:c>
      <x:c r="H7" s="11" t="str">
        <x:v>Suspend tenant A with a running import and a report schedule; accepted rows remain recorded, future writes stop at the cancellation boundary and tenant B continues normally.</x:v>
      </x:c>
    </x:row>
    <x:row r="8" ht="42" customHeight="1">
      <x:c r="A8" s="11" t="str">
        <x:v>SC-002</x:v>
      </x:c>
      <x:c r="B8" s="11" t="str">
        <x:v>FR-TEN-002</x:v>
      </x:c>
      <x:c r="C8" s="11" t="str">
        <x:v>Organisation structures</x:v>
      </x:c>
      <x:c r="D8" s="11" t="str">
        <x:v>P0</x:v>
      </x:c>
      <x:c r="E8" s="11" t="str">
        <x:v>R1</x:v>
      </x:c>
      <x:c r="F8" s="11" t="str">
        <x:v>C02</x:v>
      </x:c>
      <x:c r="G8" s="11" t="str">
        <x:v>TC-TEN-002-01 / -02</x:v>
      </x:c>
      <x:c r="H8" s="11" t="str">
        <x:v>Move project P from office East to West on 1 July; June retains East and the preview identifies every access grant that would change.</x:v>
      </x:c>
    </x:row>
    <x:row r="9" ht="42" customHeight="1">
      <x:c r="A9" s="11" t="str">
        <x:v>SC-003</x:v>
      </x:c>
      <x:c r="B9" s="11" t="str">
        <x:v>FR-TEN-003</x:v>
      </x:c>
      <x:c r="C9" s="11" t="str">
        <x:v>Multiple memberships</x:v>
      </x:c>
      <x:c r="D9" s="11" t="str">
        <x:v>P0</x:v>
      </x:c>
      <x:c r="E9" s="11" t="str">
        <x:v>R1</x:v>
      </x:c>
      <x:c r="F9" s="11" t="str">
        <x:v>C02</x:v>
      </x:c>
      <x:c r="G9" s="11" t="str">
        <x:v>TC-TEN-003-01 / -02</x:v>
      </x:c>
      <x:c r="H9" s="11" t="str">
        <x:v>Hold reviewer rights in A and collector rights in B; approve from an A tab and verify the B tab cannot reuse that permission or source reference.</x:v>
      </x:c>
    </x:row>
    <x:row r="10" ht="42" customHeight="1">
      <x:c r="A10" s="11" t="str">
        <x:v>SC-004</x:v>
      </x:c>
      <x:c r="B10" s="11" t="str">
        <x:v>FR-TEN-004</x:v>
      </x:c>
      <x:c r="C10" s="11" t="str">
        <x:v>Configuration and terminology</x:v>
      </x:c>
      <x:c r="D10" s="11" t="str">
        <x:v>P1</x:v>
      </x:c>
      <x:c r="E10" s="11" t="str">
        <x:v>R1</x:v>
      </x:c>
      <x:c r="F10" s="11" t="str">
        <x:v>C02</x:v>
      </x:c>
      <x:c r="G10" s="11" t="str">
        <x:v>TC-TEN-004-01 / -02</x:v>
      </x:c>
      <x:c r="H10" s="11" t="str">
        <x:v>Rename an output label and change the next fiscal year start; prior snapshot labels and period membership remain reconstructable.</x:v>
      </x:c>
    </x:row>
    <x:row r="11" ht="42" customHeight="1">
      <x:c r="A11" s="11" t="str">
        <x:v>SC-005</x:v>
      </x:c>
      <x:c r="B11" s="11" t="str">
        <x:v>FR-TEN-005</x:v>
      </x:c>
      <x:c r="C11" s="11" t="str">
        <x:v>Custom fields and templates</x:v>
      </x:c>
      <x:c r="D11" s="11" t="str">
        <x:v>P1</x:v>
      </x:c>
      <x:c r="E11" s="11" t="str">
        <x:v>R1</x:v>
      </x:c>
      <x:c r="F11" s="11" t="str">
        <x:v>C02</x:v>
      </x:c>
      <x:c r="G11" s="11" t="str">
        <x:v>TC-TEN-005-01 / -02</x:v>
      </x:c>
      <x:c r="H11" s="11" t="str">
        <x:v>Create a restricted decimal field required only for active grants; an authorised import succeeds and an external viewer sees neither value nor search facet.</x:v>
      </x:c>
    </x:row>
    <x:row r="12" ht="42" customHeight="1">
      <x:c r="A12" s="11" t="str">
        <x:v>SC-006</x:v>
      </x:c>
      <x:c r="B12" s="11" t="str">
        <x:v>FR-TEN-006</x:v>
      </x:c>
      <x:c r="C12" s="11" t="str">
        <x:v>Partner and consortium boundaries</x:v>
      </x:c>
      <x:c r="D12" s="11" t="str">
        <x:v>P0</x:v>
      </x:c>
      <x:c r="E12" s="11" t="str">
        <x:v>R1</x:v>
      </x:c>
      <x:c r="F12" s="11" t="str">
        <x:v>C02</x:v>
      </x:c>
      <x:c r="G12" s="11" t="str">
        <x:v>TC-TEN-006-01 / -02</x:v>
      </x:c>
      <x:c r="H12" s="11" t="str">
        <x:v>Share one approved indicator definition with partners X and Y; each sees its own submissions and neither receives the other's completion statistics unless explicitly disclosed.</x:v>
      </x:c>
    </x:row>
    <x:row r="13" ht="42" customHeight="1">
      <x:c r="A13" s="11" t="str">
        <x:v>SC-007</x:v>
      </x:c>
      <x:c r="B13" s="11" t="str">
        <x:v>FR-TEN-007</x:v>
      </x:c>
      <x:c r="C13" s="11" t="str">
        <x:v>Policy inheritance and exceptions</x:v>
      </x:c>
      <x:c r="D13" s="11" t="str">
        <x:v>P0</x:v>
      </x:c>
      <x:c r="E13" s="11" t="str">
        <x:v>R1</x:v>
      </x:c>
      <x:c r="F13" s="11" t="str">
        <x:v>C02</x:v>
      </x:c>
      <x:c r="G13" s="11" t="str">
        <x:v>TC-TEN-007-01 / -02</x:v>
      </x:c>
      <x:c r="H13" s="11" t="str">
        <x:v>Attempt to enable public raw participant exports under a tenant prohibition; the platform rejects it even if a project administrator owns the dataset.</x:v>
      </x:c>
    </x:row>
    <x:row r="14" ht="42" customHeight="1">
      <x:c r="A14" s="11" t="str">
        <x:v>SC-008</x:v>
      </x:c>
      <x:c r="B14" s="11" t="str">
        <x:v>FR-TEN-008</x:v>
      </x:c>
      <x:c r="C14" s="11" t="str">
        <x:v>Configuration promotion</x:v>
      </x:c>
      <x:c r="D14" s="11" t="str">
        <x:v>P1</x:v>
      </x:c>
      <x:c r="E14" s="11" t="str">
        <x:v>R2</x:v>
      </x:c>
      <x:c r="F14" s="11" t="str">
        <x:v>C02</x:v>
      </x:c>
      <x:c r="G14" s="11" t="str">
        <x:v>TC-TEN-008-01 / -02</x:v>
      </x:c>
      <x:c r="H14" s="11" t="str">
        <x:v>Promote a new collection rule, then roll it back; sample records never appear in production and accepted production submissions keep their original rule references.</x:v>
      </x:c>
    </x:row>
    <x:row r="15" ht="42" customHeight="1">
      <x:c r="A15" s="11" t="str">
        <x:v>SC-009</x:v>
      </x:c>
      <x:c r="B15" s="11" t="str">
        <x:v>FR-TEN-009</x:v>
      </x:c>
      <x:c r="C15" s="11" t="str">
        <x:v>Branding and external identity</x:v>
      </x:c>
      <x:c r="D15" s="11" t="str">
        <x:v>P1</x:v>
      </x:c>
      <x:c r="E15" s="11" t="str">
        <x:v>R2</x:v>
      </x:c>
      <x:c r="F15" s="11" t="str">
        <x:v>C02</x:v>
      </x:c>
      <x:c r="G15" s="11" t="str">
        <x:v>TC-TEN-009-01 / -02</x:v>
      </x:c>
      <x:c r="H15" s="11" t="str">
        <x:v>Apply a low contrast colour palette; publication blocks the failing theme while the prior accessible theme continues to serve reports.</x:v>
      </x:c>
    </x:row>
    <x:row r="16" ht="42" customHeight="1">
      <x:c r="A16" s="11" t="str">
        <x:v>SC-010</x:v>
      </x:c>
      <x:c r="B16" s="11" t="str">
        <x:v>FR-TEN-010</x:v>
      </x:c>
      <x:c r="C16" s="11" t="str">
        <x:v>Ownership continuity</x:v>
      </x:c>
      <x:c r="D16" s="11" t="str">
        <x:v>P0</x:v>
      </x:c>
      <x:c r="E16" s="11" t="str">
        <x:v>R1</x:v>
      </x:c>
      <x:c r="F16" s="11" t="str">
        <x:v>C02</x:v>
      </x:c>
      <x:c r="G16" s="11" t="str">
        <x:v>TC-TEN-010-01 / -02</x:v>
      </x:c>
      <x:c r="H16" s="11" t="str">
        <x:v>Attempt to revoke the sole owner, then complete a two actor transfer; the first action fails and the second preserves a complete custody history.</x:v>
      </x:c>
    </x:row>
    <x:row r="17" ht="42" customHeight="1">
      <x:c r="A17" s="11" t="str">
        <x:v>SC-011</x:v>
      </x:c>
      <x:c r="B17" s="11" t="str">
        <x:v>FR-IAM-001</x:v>
      </x:c>
      <x:c r="C17" s="11" t="str">
        <x:v>Invitations and onboarding</x:v>
      </x:c>
      <x:c r="D17" s="11" t="str">
        <x:v>P0</x:v>
      </x:c>
      <x:c r="E17" s="11" t="str">
        <x:v>R1</x:v>
      </x:c>
      <x:c r="F17" s="11" t="str">
        <x:v>C01</x:v>
      </x:c>
      <x:c r="G17" s="11" t="str">
        <x:v>TC-IAM-001-01 / -02</x:v>
      </x:c>
      <x:c r="H17" s="11" t="str">
        <x:v>Forward an invitation to a different signed in account and replay a consumed token; both fail without revealing protected tenant content.</x:v>
      </x:c>
    </x:row>
    <x:row r="18" ht="42" customHeight="1">
      <x:c r="A18" s="11" t="str">
        <x:v>SC-012</x:v>
      </x:c>
      <x:c r="B18" s="11" t="str">
        <x:v>FR-IAM-002</x:v>
      </x:c>
      <x:c r="C18" s="11" t="str">
        <x:v>Enterprise federation</x:v>
      </x:c>
      <x:c r="D18" s="11" t="str">
        <x:v>P0</x:v>
      </x:c>
      <x:c r="E18" s="11" t="str">
        <x:v>R1</x:v>
      </x:c>
      <x:c r="F18" s="11" t="str">
        <x:v>C01</x:v>
      </x:c>
      <x:c r="G18" s="11" t="str">
        <x:v>TC-IAM-002-01 / -02</x:v>
      </x:c>
      <x:c r="H18" s="11" t="str">
        <x:v>Enforce federation, expire the old certificate and interrupt the provider; ordinary local passwords cannot become an unreviewed bypass.</x:v>
      </x:c>
    </x:row>
    <x:row r="19" ht="42" customHeight="1">
      <x:c r="A19" s="11" t="str">
        <x:v>SC-013</x:v>
      </x:c>
      <x:c r="B19" s="11" t="str">
        <x:v>FR-IAM-003</x:v>
      </x:c>
      <x:c r="C19" s="11" t="str">
        <x:v>Multifactor and passkeys</x:v>
      </x:c>
      <x:c r="D19" s="11" t="str">
        <x:v>P0</x:v>
      </x:c>
      <x:c r="E19" s="11" t="str">
        <x:v>R1</x:v>
      </x:c>
      <x:c r="F19" s="11" t="str">
        <x:v>C01</x:v>
      </x:c>
      <x:c r="G19" s="11" t="str">
        <x:v>TC-IAM-003-01 / -02</x:v>
      </x:c>
      <x:c r="H19" s="11" t="str">
        <x:v>Attempt public publication after session login but before step up, then complete a valid challenge; only the reviewed pending action becomes eligible.</x:v>
      </x:c>
    </x:row>
    <x:row r="20" ht="42" customHeight="1">
      <x:c r="A20" s="11" t="str">
        <x:v>SC-014</x:v>
      </x:c>
      <x:c r="B20" s="11" t="str">
        <x:v>FR-IAM-004</x:v>
      </x:c>
      <x:c r="C20" s="11" t="str">
        <x:v>Local account security</x:v>
      </x:c>
      <x:c r="D20" s="11" t="str">
        <x:v>P0</x:v>
      </x:c>
      <x:c r="E20" s="11" t="str">
        <x:v>R1</x:v>
      </x:c>
      <x:c r="F20" s="11" t="str">
        <x:v>C01</x:v>
      </x:c>
      <x:c r="G20" s="11" t="str">
        <x:v>TC-IAM-004-01 / -02</x:v>
      </x:c>
      <x:c r="H20" s="11" t="str">
        <x:v>Submit the same reset token twice and inspect logs after a failed password attempt; the replay fails and neither password nor token is recoverable from diagnostics.</x:v>
      </x:c>
    </x:row>
    <x:row r="21" ht="42" customHeight="1">
      <x:c r="A21" s="11" t="str">
        <x:v>SC-015</x:v>
      </x:c>
      <x:c r="B21" s="11" t="str">
        <x:v>FR-IAM-005</x:v>
      </x:c>
      <x:c r="C21" s="11" t="str">
        <x:v>Provisioning and deprovisioning</x:v>
      </x:c>
      <x:c r="D21" s="11" t="str">
        <x:v>P1</x:v>
      </x:c>
      <x:c r="E21" s="11" t="str">
        <x:v>R2</x:v>
      </x:c>
      <x:c r="F21" s="11" t="str">
        <x:v>C01</x:v>
      </x:c>
      <x:c r="G21" s="11" t="str">
        <x:v>TC-IAM-005-01 / -02</x:v>
      </x:c>
      <x:c r="H21" s="11" t="str">
        <x:v>Deactivate a directory user while they own a job; within the BRD revocation bound, further access fails and the job is cancelled or explicitly reassigned.</x:v>
      </x:c>
    </x:row>
    <x:row r="22" ht="42" customHeight="1">
      <x:c r="A22" s="11" t="str">
        <x:v>SC-016</x:v>
      </x:c>
      <x:c r="B22" s="11" t="str">
        <x:v>FR-IAM-006</x:v>
      </x:c>
      <x:c r="C22" s="11" t="str">
        <x:v>Session control</x:v>
      </x:c>
      <x:c r="D22" s="11" t="str">
        <x:v>P0</x:v>
      </x:c>
      <x:c r="E22" s="11" t="str">
        <x:v>R1</x:v>
      </x:c>
      <x:c r="F22" s="11" t="str">
        <x:v>C01</x:v>
      </x:c>
      <x:c r="G22" s="11" t="str">
        <x:v>TC-IAM-006-01 / -02</x:v>
      </x:c>
      <x:c r="H22" s="11" t="str">
        <x:v>Open two sessions, revoke one, then use browser back and a queued export from that session; neither returns protected data.</x:v>
      </x:c>
    </x:row>
    <x:row r="23" ht="42" customHeight="1">
      <x:c r="A23" s="11" t="str">
        <x:v>SC-017</x:v>
      </x:c>
      <x:c r="B23" s="11" t="str">
        <x:v>FR-IAM-007</x:v>
      </x:c>
      <x:c r="C23" s="11" t="str">
        <x:v>Recovery and identity changes</x:v>
      </x:c>
      <x:c r="D23" s="11" t="str">
        <x:v>P0</x:v>
      </x:c>
      <x:c r="E23" s="11" t="str">
        <x:v>R1</x:v>
      </x:c>
      <x:c r="F23" s="11" t="str">
        <x:v>C01</x:v>
      </x:c>
      <x:c r="G23" s="11" t="str">
        <x:v>TC-IAM-007-01 / -02</x:v>
      </x:c>
      <x:c r="H23" s="11" t="str">
        <x:v>Use a stolen ordinary session to replace the recovery email; the change is blocked until stronger verification succeeds.</x:v>
      </x:c>
    </x:row>
    <x:row r="24" ht="42" customHeight="1">
      <x:c r="A24" s="11" t="str">
        <x:v>SC-018</x:v>
      </x:c>
      <x:c r="B24" s="11" t="str">
        <x:v>FR-IAM-008</x:v>
      </x:c>
      <x:c r="C24" s="11" t="str">
        <x:v>Membership status and expiry</x:v>
      </x:c>
      <x:c r="D24" s="11" t="str">
        <x:v>P0</x:v>
      </x:c>
      <x:c r="E24" s="11" t="str">
        <x:v>R1</x:v>
      </x:c>
      <x:c r="F24" s="11" t="str">
        <x:v>C01</x:v>
      </x:c>
      <x:c r="G24" s="11" t="str">
        <x:v>TC-IAM-008-01 / -02</x:v>
      </x:c>
      <x:c r="H24" s="11" t="str">
        <x:v>Expire a reviewer in tenant A while retaining tenant B membership; A approvals fail and B authorised work continues.</x:v>
      </x:c>
    </x:row>
    <x:row r="25" ht="42" customHeight="1">
      <x:c r="A25" s="11" t="str">
        <x:v>SC-019</x:v>
      </x:c>
      <x:c r="B25" s="11" t="str">
        <x:v>FR-IAM-009</x:v>
      </x:c>
      <x:c r="C25" s="11" t="str">
        <x:v>Delegated user administration</x:v>
      </x:c>
      <x:c r="D25" s="11" t="str">
        <x:v>P0</x:v>
      </x:c>
      <x:c r="E25" s="11" t="str">
        <x:v>R1</x:v>
      </x:c>
      <x:c r="F25" s="11" t="str">
        <x:v>C01</x:v>
      </x:c>
      <x:c r="G25" s="11" t="str">
        <x:v>TC-IAM-009-01 / -02</x:v>
      </x:c>
      <x:c r="H25" s="11" t="str">
        <x:v>A project administrator creates a group and attempts to add tenant administration through it; the indirect escalation fails.</x:v>
      </x:c>
    </x:row>
    <x:row r="26" ht="42" customHeight="1">
      <x:c r="A26" s="11" t="str">
        <x:v>SC-020</x:v>
      </x:c>
      <x:c r="B26" s="11" t="str">
        <x:v>FR-IAM-010</x:v>
      </x:c>
      <x:c r="C26" s="11" t="str">
        <x:v>Group management</x:v>
      </x:c>
      <x:c r="D26" s="11" t="str">
        <x:v>P1</x:v>
      </x:c>
      <x:c r="E26" s="11" t="str">
        <x:v>R1</x:v>
      </x:c>
      <x:c r="F26" s="11" t="str">
        <x:v>C01</x:v>
      </x:c>
      <x:c r="G26" s="11" t="str">
        <x:v>TC-IAM-010-01 / -02</x:v>
      </x:c>
      <x:c r="H26" s="11" t="str">
        <x:v>Remove an analyst from a reporting group; existing report links, AI citations and scheduled exports are denied within the defined bound.</x:v>
      </x:c>
    </x:row>
    <x:row r="27" ht="42" customHeight="1">
      <x:c r="A27" s="11" t="str">
        <x:v>SC-021</x:v>
      </x:c>
      <x:c r="B27" s="11" t="str">
        <x:v>FR-IAM-011</x:v>
      </x:c>
      <x:c r="C27" s="11" t="str">
        <x:v>Access certification</x:v>
      </x:c>
      <x:c r="D27" s="11" t="str">
        <x:v>P1</x:v>
      </x:c>
      <x:c r="E27" s="11" t="str">
        <x:v>R2</x:v>
      </x:c>
      <x:c r="F27" s="11" t="str">
        <x:v>C01</x:v>
      </x:c>
      <x:c r="G27" s="11" t="str">
        <x:v>TC-IAM-011-01 / -02</x:v>
      </x:c>
      <x:c r="H27" s="11" t="str">
        <x:v>Review a service identity whose owner has left; assign a new owner or revoke it and retain the review decision and execution receipt.</x:v>
      </x:c>
    </x:row>
    <x:row r="28" ht="42" customHeight="1">
      <x:c r="A28" s="11" t="str">
        <x:v>SC-022</x:v>
      </x:c>
      <x:c r="B28" s="11" t="str">
        <x:v>FR-IAM-012</x:v>
      </x:c>
      <x:c r="C28" s="11" t="str">
        <x:v>Service identities</x:v>
      </x:c>
      <x:c r="D28" s="11" t="str">
        <x:v>P0</x:v>
      </x:c>
      <x:c r="E28" s="11" t="str">
        <x:v>R1</x:v>
      </x:c>
      <x:c r="F28" s="11" t="str">
        <x:v>C01</x:v>
      </x:c>
      <x:c r="G28" s="11" t="str">
        <x:v>TC-IAM-012-01 / -02</x:v>
      </x:c>
      <x:c r="H28" s="11" t="str">
        <x:v>Rotate during a retried connector run; one intended row effect is recorded and the expired secret fails on its next request.</x:v>
      </x:c>
    </x:row>
    <x:row r="29" ht="42" customHeight="1">
      <x:c r="A29" s="11" t="str">
        <x:v>SC-023</x:v>
      </x:c>
      <x:c r="B29" s="11" t="str">
        <x:v>FR-IAM-013</x:v>
      </x:c>
      <x:c r="C29" s="11" t="str">
        <x:v>User profile and preferences</x:v>
      </x:c>
      <x:c r="D29" s="11" t="str">
        <x:v>P1</x:v>
      </x:c>
      <x:c r="E29" s="11" t="str">
        <x:v>R1</x:v>
      </x:c>
      <x:c r="F29" s="11" t="str">
        <x:v>C01</x:v>
      </x:c>
      <x:c r="G29" s="11" t="str">
        <x:v>TC-IAM-013-01 / -02</x:v>
      </x:c>
      <x:c r="H29" s="11" t="str">
        <x:v>Change the display name and zone after an approval; the approval still resolves to the same actor and original absolute timestamp.</x:v>
      </x:c>
    </x:row>
    <x:row r="30" ht="42" customHeight="1">
      <x:c r="A30" s="11" t="str">
        <x:v>SC-024</x:v>
      </x:c>
      <x:c r="B30" s="11" t="str">
        <x:v>FR-IAM-014</x:v>
      </x:c>
      <x:c r="C30" s="11" t="str">
        <x:v>Departure and work reassignment</x:v>
      </x:c>
      <x:c r="D30" s="11" t="str">
        <x:v>P0</x:v>
      </x:c>
      <x:c r="E30" s="11" t="str">
        <x:v>R1</x:v>
      </x:c>
      <x:c r="F30" s="11" t="str">
        <x:v>C01</x:v>
      </x:c>
      <x:c r="G30" s="11" t="str">
        <x:v>TC-IAM-014-01 / -02</x:v>
      </x:c>
      <x:c r="H30" s="11" t="str">
        <x:v>Remove a report schedule owner with an export in progress; the system preserves receipts but prevents unapproved delivery and records the successor decision.</x:v>
      </x:c>
    </x:row>
    <x:row r="31" ht="42" customHeight="1">
      <x:c r="A31" s="11" t="str">
        <x:v>SC-025</x:v>
      </x:c>
      <x:c r="B31" s="11" t="str">
        <x:v>FR-ACC-001</x:v>
      </x:c>
      <x:c r="C31" s="11" t="str">
        <x:v>Deny by default</x:v>
      </x:c>
      <x:c r="D31" s="11" t="str">
        <x:v>P0</x:v>
      </x:c>
      <x:c r="E31" s="11" t="str">
        <x:v>R1</x:v>
      </x:c>
      <x:c r="F31" s="11" t="str">
        <x:v>C02</x:v>
      </x:c>
      <x:c r="G31" s="11" t="str">
        <x:v>TC-ACC-001-01 / -02</x:v>
      </x:c>
      <x:c r="H31" s="11" t="str">
        <x:v>Replace a participant ID with one from another tenant in a valid form submission; reject the reference and record no cross tenant relationship.</x:v>
      </x:c>
    </x:row>
    <x:row r="32" ht="42" customHeight="1">
      <x:c r="A32" s="11" t="str">
        <x:v>SC-026</x:v>
      </x:c>
      <x:c r="B32" s="11" t="str">
        <x:v>FR-ACC-002</x:v>
      </x:c>
      <x:c r="C32" s="11" t="str">
        <x:v>Fine grained scope</x:v>
      </x:c>
      <x:c r="D32" s="11" t="str">
        <x:v>P0</x:v>
      </x:c>
      <x:c r="E32" s="11" t="str">
        <x:v>R1</x:v>
      </x:c>
      <x:c r="F32" s="11" t="str">
        <x:v>C02</x:v>
      </x:c>
      <x:c r="G32" s="11" t="str">
        <x:v>TC-ACC-002-01 / -02</x:v>
      </x:c>
      <x:c r="H32" s="11" t="str">
        <x:v>Grant a reviewer access to one candidate and necessary evidence; attempts to edit the source or export the registry fail.</x:v>
      </x:c>
    </x:row>
    <x:row r="33" ht="42" customHeight="1">
      <x:c r="A33" s="11" t="str">
        <x:v>SC-027</x:v>
      </x:c>
      <x:c r="B33" s="11" t="str">
        <x:v>FR-ACC-003</x:v>
      </x:c>
      <x:c r="C33" s="11" t="str">
        <x:v>Effective permissions</x:v>
      </x:c>
      <x:c r="D33" s="11" t="str">
        <x:v>P0</x:v>
      </x:c>
      <x:c r="E33" s="11" t="str">
        <x:v>R1</x:v>
      </x:c>
      <x:c r="F33" s="11" t="str">
        <x:v>C02</x:v>
      </x:c>
      <x:c r="G33" s="11" t="str">
        <x:v>TC-ACC-003-01 / -02</x:v>
      </x:c>
      <x:c r="H33" s="11" t="str">
        <x:v>Give a person both analyst and partner templates; a restriction on another partner's rows remains effective and the explanation identifies the scope rule safely.</x:v>
      </x:c>
    </x:row>
    <x:row r="34" ht="42" customHeight="1">
      <x:c r="A34" s="11" t="str">
        <x:v>SC-028</x:v>
      </x:c>
      <x:c r="B34" s="11" t="str">
        <x:v>FR-ACC-004</x:v>
      </x:c>
      <x:c r="C34" s="11" t="str">
        <x:v>Separation of duties</x:v>
      </x:c>
      <x:c r="D34" s="11" t="str">
        <x:v>P0</x:v>
      </x:c>
      <x:c r="E34" s="11" t="str">
        <x:v>R1</x:v>
      </x:c>
      <x:c r="F34" s="11" t="str">
        <x:v>C02</x:v>
      </x:c>
      <x:c r="G34" s="11" t="str">
        <x:v>TC-ACC-004-01 / -02</x:v>
      </x:c>
      <x:c r="H34" s="11" t="str">
        <x:v>The author becomes a reviewer through a second group and attempts approval; the system still requires a different eligible person.</x:v>
      </x:c>
    </x:row>
    <x:row r="35" ht="42" customHeight="1">
      <x:c r="A35" s="11" t="str">
        <x:v>SC-029</x:v>
      </x:c>
      <x:c r="B35" s="11" t="str">
        <x:v>FR-ACC-005</x:v>
      </x:c>
      <x:c r="C35" s="11" t="str">
        <x:v>Permission safe derivation</x:v>
      </x:c>
      <x:c r="D35" s="11" t="str">
        <x:v>P0</x:v>
      </x:c>
      <x:c r="E35" s="11" t="str">
        <x:v>R1</x:v>
      </x:c>
      <x:c r="F35" s="11" t="str">
        <x:v>C02</x:v>
      </x:c>
      <x:c r="G35" s="11" t="str">
        <x:v>TC-ACC-005-01 / -02</x:v>
      </x:c>
      <x:c r="H35" s="11" t="str">
        <x:v>Copy a restricted dashboard to a partner workspace; its restricted metric remains unavailable until a valid substitute or disclosure is approved.</x:v>
      </x:c>
    </x:row>
    <x:row r="36" ht="42" customHeight="1">
      <x:c r="A36" s="11" t="str">
        <x:v>SC-030</x:v>
      </x:c>
      <x:c r="B36" s="11" t="str">
        <x:v>FR-ACC-006</x:v>
      </x:c>
      <x:c r="C36" s="11" t="str">
        <x:v>External access lifecycle</x:v>
      </x:c>
      <x:c r="D36" s="11" t="str">
        <x:v>P0</x:v>
      </x:c>
      <x:c r="E36" s="11" t="str">
        <x:v>R1</x:v>
      </x:c>
      <x:c r="F36" s="11" t="str">
        <x:v>C02</x:v>
      </x:c>
      <x:c r="G36" s="11" t="str">
        <x:v>TC-ACC-006-01 / -02</x:v>
      </x:c>
      <x:c r="H36" s="11" t="str">
        <x:v>Issue a seven day report link and revoke it after one day; old URLs and generated download references cease serving the artifact.</x:v>
      </x:c>
    </x:row>
    <x:row r="37" ht="42" customHeight="1">
      <x:c r="A37" s="11" t="str">
        <x:v>SC-031</x:v>
      </x:c>
      <x:c r="B37" s="11" t="str">
        <x:v>FR-ACC-007</x:v>
      </x:c>
      <x:c r="C37" s="11" t="str">
        <x:v>Export and bulk access</x:v>
      </x:c>
      <x:c r="D37" s="11" t="str">
        <x:v>P0</x:v>
      </x:c>
      <x:c r="E37" s="11" t="str">
        <x:v>R1</x:v>
      </x:c>
      <x:c r="F37" s="11" t="str">
        <x:v>C02</x:v>
      </x:c>
      <x:c r="G37" s="11" t="str">
        <x:v>TC-ACC-007-01 / -02</x:v>
      </x:c>
      <x:c r="H37" s="11" t="str">
        <x:v>Generate an export, revoke its requester before download and attempt retrieval from the original URL; no bytes are served after the revocation bound.</x:v>
      </x:c>
    </x:row>
    <x:row r="38" ht="42" customHeight="1">
      <x:c r="A38" s="11" t="str">
        <x:v>SC-032</x:v>
      </x:c>
      <x:c r="B38" s="11" t="str">
        <x:v>FR-ACC-008</x:v>
      </x:c>
      <x:c r="C38" s="11" t="str">
        <x:v>Privileged support access</x:v>
      </x:c>
      <x:c r="D38" s="11" t="str">
        <x:v>P0</x:v>
      </x:c>
      <x:c r="E38" s="11" t="str">
        <x:v>R1</x:v>
      </x:c>
      <x:c r="F38" s="11" t="str">
        <x:v>C02</x:v>
      </x:c>
      <x:c r="G38" s="11" t="str">
        <x:v>TC-ACC-008-01 / -02</x:v>
      </x:c>
      <x:c r="H38" s="11" t="str">
        <x:v>Approve a support session for one failed import and attempt owner transfer; the diagnostic read succeeds and transfer is denied.</x:v>
      </x:c>
    </x:row>
    <x:row r="39" ht="42" customHeight="1">
      <x:c r="A39" s="11" t="str">
        <x:v>SC-033</x:v>
      </x:c>
      <x:c r="B39" s="11" t="str">
        <x:v>FR-ACC-009</x:v>
      </x:c>
      <x:c r="C39" s="11" t="str">
        <x:v>Privacy preserving aggregates</x:v>
      </x:c>
      <x:c r="D39" s="11" t="str">
        <x:v>P0</x:v>
      </x:c>
      <x:c r="E39" s="11" t="str">
        <x:v>R1</x:v>
      </x:c>
      <x:c r="F39" s="11" t="str">
        <x:v>C02</x:v>
      </x:c>
      <x:c r="G39" s="11" t="str">
        <x:v>TC-ACC-009-01 / -02</x:v>
      </x:c>
      <x:c r="H39" s="11" t="str">
        <x:v>Publish groups of two and eight with a total of ten; do not expose the eight and ten combination if it reveals the suppressed two.</x:v>
      </x:c>
    </x:row>
    <x:row r="40" ht="42" customHeight="1">
      <x:c r="A40" s="11" t="str">
        <x:v>SC-034</x:v>
      </x:c>
      <x:c r="B40" s="11" t="str">
        <x:v>FR-ACC-010</x:v>
      </x:c>
      <x:c r="C40" s="11" t="str">
        <x:v>Partner limited collaboration</x:v>
      </x:c>
      <x:c r="D40" s="11" t="str">
        <x:v>P0</x:v>
      </x:c>
      <x:c r="E40" s="11" t="str">
        <x:v>R1</x:v>
      </x:c>
      <x:c r="F40" s="11" t="str">
        <x:v>C02</x:v>
      </x:c>
      <x:c r="G40" s="11" t="str">
        <x:v>TC-ACC-010-01 / -02</x:v>
      </x:c>
      <x:c r="H40" s="11" t="str">
        <x:v>Search another partner's participant name and request its guessed report URL; neither leaks existence, snippet or count.</x:v>
      </x:c>
    </x:row>
    <x:row r="41" ht="42" customHeight="1">
      <x:c r="A41" s="11" t="str">
        <x:v>SC-035</x:v>
      </x:c>
      <x:c r="B41" s="11" t="str">
        <x:v>FR-ACC-011</x:v>
      </x:c>
      <x:c r="C41" s="11" t="str">
        <x:v>Access changes and existing artifacts</x:v>
      </x:c>
      <x:c r="D41" s="11" t="str">
        <x:v>P0</x:v>
      </x:c>
      <x:c r="E41" s="11" t="str">
        <x:v>R1</x:v>
      </x:c>
      <x:c r="F41" s="11" t="str">
        <x:v>C02</x:v>
      </x:c>
      <x:c r="G41" s="11" t="str">
        <x:v>TC-ACC-011-01 / -02</x:v>
      </x:c>
      <x:c r="H41" s="11" t="str">
        <x:v>Remove source access after an AI answer was saved; reopening the conversation does not reveal the revoked source text through its summary.</x:v>
      </x:c>
    </x:row>
    <x:row r="42" ht="42" customHeight="1">
      <x:c r="A42" s="11" t="str">
        <x:v>SC-036</x:v>
      </x:c>
      <x:c r="B42" s="11" t="str">
        <x:v>FR-ACC-012</x:v>
      </x:c>
      <x:c r="C42" s="11" t="str">
        <x:v>Administrative review and simulation</x:v>
      </x:c>
      <x:c r="D42" s="11" t="str">
        <x:v>P1</x:v>
      </x:c>
      <x:c r="E42" s="11" t="str">
        <x:v>R2</x:v>
      </x:c>
      <x:c r="F42" s="11" t="str">
        <x:v>C02</x:v>
      </x:c>
      <x:c r="G42" s="11" t="str">
        <x:v>TC-ACC-012-01 / -02</x:v>
      </x:c>
      <x:c r="H42" s="11" t="str">
        <x:v>Expand a group to a new programme, inspect the candidate access difference and then change the group's membership; execution requires a fresh preview.</x:v>
      </x:c>
    </x:row>
    <x:row r="43" ht="42" customHeight="1">
      <x:c r="A43" s="11" t="str">
        <x:v>SC-037</x:v>
      </x:c>
      <x:c r="B43" s="11" t="str">
        <x:v>FR-PLN-001</x:v>
      </x:c>
      <x:c r="C43" s="11" t="str">
        <x:v>Results hierarchy</x:v>
      </x:c>
      <x:c r="D43" s="11" t="str">
        <x:v>P0</x:v>
      </x:c>
      <x:c r="E43" s="11" t="str">
        <x:v>R1</x:v>
      </x:c>
      <x:c r="F43" s="11" t="str">
        <x:v>C03</x:v>
      </x:c>
      <x:c r="G43" s="11" t="str">
        <x:v>TC-PLN-001-01 / -02</x:v>
      </x:c>
      <x:c r="H43" s="11" t="str">
        <x:v>Rename one output in the table and verify the graph and indicator bindings update within the same draft without creating a duplicate node.</x:v>
      </x:c>
    </x:row>
    <x:row r="44" ht="42" customHeight="1">
      <x:c r="A44" s="11" t="str">
        <x:v>SC-038</x:v>
      </x:c>
      <x:c r="B44" s="11" t="str">
        <x:v>FR-PLN-002</x:v>
      </x:c>
      <x:c r="C44" s="11" t="str">
        <x:v>Theory of change relationships</x:v>
      </x:c>
      <x:c r="D44" s="11" t="str">
        <x:v>P1</x:v>
      </x:c>
      <x:c r="E44" s="11" t="str">
        <x:v>R2</x:v>
      </x:c>
      <x:c r="F44" s="11" t="str">
        <x:v>C03</x:v>
      </x:c>
      <x:c r="G44" s="11" t="str">
        <x:v>TC-PLN-002-01 / -02</x:v>
      </x:c>
      <x:c r="H44" s="11" t="str">
        <x:v>Link two outcomes to one impact and inspect the parent result; it remains uncalculated until an explicit approved numeric rule exists.</x:v>
      </x:c>
    </x:row>
    <x:row r="45" ht="42" customHeight="1">
      <x:c r="A45" s="11" t="str">
        <x:v>SC-039</x:v>
      </x:c>
      <x:c r="B45" s="11" t="str">
        <x:v>FR-PLN-003</x:v>
      </x:c>
      <x:c r="C45" s="11" t="str">
        <x:v>Framework baselines</x:v>
      </x:c>
      <x:c r="D45" s="11" t="str">
        <x:v>P0</x:v>
      </x:c>
      <x:c r="E45" s="11" t="str">
        <x:v>R1</x:v>
      </x:c>
      <x:c r="F45" s="11" t="str">
        <x:v>C03</x:v>
      </x:c>
      <x:c r="G45" s="11" t="str">
        <x:v>TC-PLN-003-01 / -02</x:v>
      </x:c>
      <x:c r="H45" s="11" t="str">
        <x:v>Revise an outcome in July and regenerate the March report; March retains its approved hierarchy and language.</x:v>
      </x:c>
    </x:row>
    <x:row r="46" ht="42" customHeight="1">
      <x:c r="A46" s="11" t="str">
        <x:v>SC-040</x:v>
      </x:c>
      <x:c r="B46" s="11" t="str">
        <x:v>FR-PLN-004</x:v>
      </x:c>
      <x:c r="C46" s="11" t="str">
        <x:v>Reusable libraries</x:v>
      </x:c>
      <x:c r="D46" s="11" t="str">
        <x:v>P1</x:v>
      </x:c>
      <x:c r="E46" s="11" t="str">
        <x:v>R1</x:v>
      </x:c>
      <x:c r="F46" s="11" t="str">
        <x:v>C03</x:v>
      </x:c>
      <x:c r="G46" s="11" t="str">
        <x:v>TC-PLN-004-01 / -02</x:v>
      </x:c>
      <x:c r="H46" s="11" t="str">
        <x:v>Update a template denominator and confirm two consuming projects remain on their existing versions until each adopts a reviewed revision.</x:v>
      </x:c>
    </x:row>
    <x:row r="47" ht="42" customHeight="1">
      <x:c r="A47" s="11" t="str">
        <x:v>SC-041</x:v>
      </x:c>
      <x:c r="B47" s="11" t="str">
        <x:v>FR-PLN-005</x:v>
      </x:c>
      <x:c r="C47" s="11" t="str">
        <x:v>Standard mappings</x:v>
      </x:c>
      <x:c r="D47" s="11" t="str">
        <x:v>P1</x:v>
      </x:c>
      <x:c r="E47" s="11" t="str">
        <x:v>R2</x:v>
      </x:c>
      <x:c r="F47" s="11" t="str">
        <x:v>C03</x:v>
      </x:c>
      <x:c r="G47" s="11" t="str">
        <x:v>TC-PLN-005-01 / -02</x:v>
      </x:c>
      <x:c r="H47" s="11" t="str">
        <x:v>Map one local measure to two SDG entries and verify the organisational unique result is still counted once.</x:v>
      </x:c>
    </x:row>
    <x:row r="48" ht="42" customHeight="1">
      <x:c r="A48" s="11" t="str">
        <x:v>SC-042</x:v>
      </x:c>
      <x:c r="B48" s="11" t="str">
        <x:v>FR-PLN-006</x:v>
      </x:c>
      <x:c r="C48" s="11" t="str">
        <x:v>Measurement plan</x:v>
      </x:c>
      <x:c r="D48" s="11" t="str">
        <x:v>P0</x:v>
      </x:c>
      <x:c r="E48" s="11" t="str">
        <x:v>R1</x:v>
      </x:c>
      <x:c r="F48" s="11" t="str">
        <x:v>C03</x:v>
      </x:c>
      <x:c r="G48" s="11" t="str">
        <x:v>TC-PLN-006-01 / -02</x:v>
      </x:c>
      <x:c r="H48" s="11" t="str">
        <x:v>Attempt activation with an unassigned reviewer and missing denominator method; show both exact fields and prevent Ready to Active until resolved.</x:v>
      </x:c>
    </x:row>
    <x:row r="49" ht="42" customHeight="1">
      <x:c r="A49" s="11" t="str">
        <x:v>SC-043</x:v>
      </x:c>
      <x:c r="B49" s="11" t="str">
        <x:v>FR-PLN-007</x:v>
      </x:c>
      <x:c r="C49" s="11" t="str">
        <x:v>Assumptions and context</x:v>
      </x:c>
      <x:c r="D49" s="11" t="str">
        <x:v>P1</x:v>
      </x:c>
      <x:c r="E49" s="11" t="str">
        <x:v>R1</x:v>
      </x:c>
      <x:c r="F49" s="11" t="str">
        <x:v>C03</x:v>
      </x:c>
      <x:c r="G49" s="11" t="str">
        <x:v>TC-PLN-007-01 / -02</x:v>
      </x:c>
      <x:c r="H49" s="11" t="str">
        <x:v>Invalidate a funding assumption after a baseline was approved; the linked outcome is flagged and historical results remain unchanged.</x:v>
      </x:c>
    </x:row>
    <x:row r="50" ht="42" customHeight="1">
      <x:c r="A50" s="11" t="str">
        <x:v>SC-044</x:v>
      </x:c>
      <x:c r="B50" s="11" t="str">
        <x:v>FR-PLN-008</x:v>
      </x:c>
      <x:c r="C50" s="11" t="str">
        <x:v>Planning scenarios</x:v>
      </x:c>
      <x:c r="D50" s="11" t="str">
        <x:v>P2</x:v>
      </x:c>
      <x:c r="E50" s="11" t="str">
        <x:v>R3</x:v>
      </x:c>
      <x:c r="F50" s="11" t="str">
        <x:v>C03</x:v>
      </x:c>
      <x:c r="G50" s="11" t="str">
        <x:v>TC-PLN-008-01 / -02</x:v>
      </x:c>
      <x:c r="H50" s="11" t="str">
        <x:v>Compare two funding scenarios and adopt one; the original targets remain official until all required amendment decisions complete.</x:v>
      </x:c>
    </x:row>
    <x:row r="51" ht="42" customHeight="1">
      <x:c r="A51" s="11" t="str">
        <x:v>SC-045</x:v>
      </x:c>
      <x:c r="B51" s="11" t="str">
        <x:v>FR-PLN-009</x:v>
      </x:c>
      <x:c r="C51" s="11" t="str">
        <x:v>Document assisted setup</x:v>
      </x:c>
      <x:c r="D51" s="11" t="str">
        <x:v>P1</x:v>
      </x:c>
      <x:c r="E51" s="11" t="str">
        <x:v>R1</x:v>
      </x:c>
      <x:c r="F51" s="11" t="str">
        <x:v>C03</x:v>
      </x:c>
      <x:c r="G51" s="11" t="str">
        <x:v>TC-PLN-009-01 / -02</x:v>
      </x:c>
      <x:c r="H51" s="11" t="str">
        <x:v>Process a proposal containing two different end dates; setup shows both references and cannot activate until the owner resolves the conflict.</x:v>
      </x:c>
    </x:row>
    <x:row r="52" ht="42" customHeight="1">
      <x:c r="A52" s="11" t="str">
        <x:v>SC-046</x:v>
      </x:c>
      <x:c r="B52" s="11" t="str">
        <x:v>FR-PLN-010</x:v>
      </x:c>
      <x:c r="C52" s="11" t="str">
        <x:v>Framework completeness review</x:v>
      </x:c>
      <x:c r="D52" s="11" t="str">
        <x:v>P0</x:v>
      </x:c>
      <x:c r="E52" s="11" t="str">
        <x:v>R1</x:v>
      </x:c>
      <x:c r="F52" s="11" t="str">
        <x:v>C03</x:v>
      </x:c>
      <x:c r="G52" s="11" t="str">
        <x:v>TC-PLN-010-01 / -02</x:v>
      </x:c>
      <x:c r="H52" s="11" t="str">
        <x:v>Submit a framework with an unmeasured output; approval either includes a permitted documented exception or remains blocked with an assigned action.</x:v>
      </x:c>
    </x:row>
    <x:row r="53" ht="42" customHeight="1">
      <x:c r="A53" s="11" t="str">
        <x:v>SC-047</x:v>
      </x:c>
      <x:c r="B53" s="11" t="str">
        <x:v>FR-PRG-001</x:v>
      </x:c>
      <x:c r="C53" s="11" t="str">
        <x:v>Programme and project registry</x:v>
      </x:c>
      <x:c r="D53" s="11" t="str">
        <x:v>P0</x:v>
      </x:c>
      <x:c r="E53" s="11" t="str">
        <x:v>R1</x:v>
      </x:c>
      <x:c r="F53" s="11" t="str">
        <x:v>C03</x:v>
      </x:c>
      <x:c r="G53" s="11" t="str">
        <x:v>TC-PRG-001-01 / -02</x:v>
      </x:c>
      <x:c r="H53" s="11" t="str">
        <x:v>Create project P in two thematic portfolios and confirm the organisation registry contains one project identity and two memberships.</x:v>
      </x:c>
    </x:row>
    <x:row r="54" ht="42" customHeight="1">
      <x:c r="A54" s="11" t="str">
        <x:v>SC-048</x:v>
      </x:c>
      <x:c r="B54" s="11" t="str">
        <x:v>FR-PRG-002</x:v>
      </x:c>
      <x:c r="C54" s="11" t="str">
        <x:v>Activities and milestones</x:v>
      </x:c>
      <x:c r="D54" s="11" t="str">
        <x:v>P1</x:v>
      </x:c>
      <x:c r="E54" s="11" t="str">
        <x:v>R1</x:v>
      </x:c>
      <x:c r="F54" s="11" t="str">
        <x:v>C03</x:v>
      </x:c>
      <x:c r="G54" s="11" t="str">
        <x:v>TC-PRG-002-01 / -02</x:v>
      </x:c>
      <x:c r="H54" s="11" t="str">
        <x:v>Delay activity A, which precedes B; B shows dependency risk, its approved due date is retained and no indicator achievement is invented.</x:v>
      </x:c>
    </x:row>
    <x:row r="55" ht="42" customHeight="1">
      <x:c r="A55" s="11" t="str">
        <x:v>SC-049</x:v>
      </x:c>
      <x:c r="B55" s="11" t="str">
        <x:v>FR-PRG-003</x:v>
      </x:c>
      <x:c r="C55" s="11" t="str">
        <x:v>Workplans and calendars</x:v>
      </x:c>
      <x:c r="D55" s="11" t="str">
        <x:v>P1</x:v>
      </x:c>
      <x:c r="E55" s="11" t="str">
        <x:v>R1</x:v>
      </x:c>
      <x:c r="F55" s="11" t="str">
        <x:v>C03</x:v>
      </x:c>
      <x:c r="G55" s="11" t="str">
        <x:v>TC-PRG-003-01 / -02</x:v>
      </x:c>
      <x:c r="H55" s="11" t="str">
        <x:v>Move programme end by one month and confirm only eligible future tasks shift, while a locked quarterly deadline stays unchanged.</x:v>
      </x:c>
    </x:row>
    <x:row r="56" ht="42" customHeight="1">
      <x:c r="A56" s="11" t="str">
        <x:v>SC-050</x:v>
      </x:c>
      <x:c r="B56" s="11" t="str">
        <x:v>FR-PRG-004</x:v>
      </x:c>
      <x:c r="C56" s="11" t="str">
        <x:v>Risks issues and dependencies</x:v>
      </x:c>
      <x:c r="D56" s="11" t="str">
        <x:v>P1</x:v>
      </x:c>
      <x:c r="E56" s="11" t="str">
        <x:v>R1</x:v>
      </x:c>
      <x:c r="F56" s="11" t="str">
        <x:v>C03</x:v>
      </x:c>
      <x:c r="G56" s="11" t="str">
        <x:v>TC-PRG-004-01 / -02</x:v>
      </x:c>
      <x:c r="H56" s="11" t="str">
        <x:v>Create a high impact issue past its due date; escalation identifies the responsible manager and linked obligations without exposing restricted evidence in email.</x:v>
      </x:c>
    </x:row>
    <x:row r="57" ht="42" customHeight="1">
      <x:c r="A57" s="11" t="str">
        <x:v>SC-051</x:v>
      </x:c>
      <x:c r="B57" s="11" t="str">
        <x:v>FR-PRG-005</x:v>
      </x:c>
      <x:c r="C57" s="11" t="str">
        <x:v>Geography and sites</x:v>
      </x:c>
      <x:c r="D57" s="11" t="str">
        <x:v>P1</x:v>
      </x:c>
      <x:c r="E57" s="11" t="str">
        <x:v>R1</x:v>
      </x:c>
      <x:c r="F57" s="11" t="str">
        <x:v>C03</x:v>
      </x:c>
      <x:c r="G57" s="11" t="str">
        <x:v>TC-PRG-005-01 / -02</x:v>
      </x:c>
      <x:c r="H57" s="11" t="str">
        <x:v>Split a district into two new districts and reproduce a report on the old boundary while future data uses the new codes.</x:v>
      </x:c>
    </x:row>
    <x:row r="58" ht="42" customHeight="1">
      <x:c r="A58" s="11" t="str">
        <x:v>SC-052</x:v>
      </x:c>
      <x:c r="B58" s="11" t="str">
        <x:v>FR-PRG-006</x:v>
      </x:c>
      <x:c r="C58" s="11" t="str">
        <x:v>Partner responsibilities</x:v>
      </x:c>
      <x:c r="D58" s="11" t="str">
        <x:v>P0</x:v>
      </x:c>
      <x:c r="E58" s="11" t="str">
        <x:v>R1</x:v>
      </x:c>
      <x:c r="F58" s="11" t="str">
        <x:v>C03</x:v>
      </x:c>
      <x:c r="G58" s="11" t="str">
        <x:v>TC-PRG-006-01 / -02</x:v>
      </x:c>
      <x:c r="H58" s="11" t="str">
        <x:v>Transfer next quarter's reporting from X to Y; X's approved quarter stays intact and Y sees only the assignments and evidence needed for future work.</x:v>
      </x:c>
    </x:row>
    <x:row r="59" ht="42" customHeight="1">
      <x:c r="A59" s="11" t="str">
        <x:v>SC-053</x:v>
      </x:c>
      <x:c r="B59" s="11" t="str">
        <x:v>FR-PRG-007</x:v>
      </x:c>
      <x:c r="C59" s="11" t="str">
        <x:v>Programme change control</x:v>
      </x:c>
      <x:c r="D59" s="11" t="str">
        <x:v>P1</x:v>
      </x:c>
      <x:c r="E59" s="11" t="str">
        <x:v>R1</x:v>
      </x:c>
      <x:c r="F59" s="11" t="str">
        <x:v>C03</x:v>
      </x:c>
      <x:c r="G59" s="11" t="str">
        <x:v>TC-PRG-007-01 / -02</x:v>
      </x:c>
      <x:c r="H59" s="11" t="str">
        <x:v>Shorten a programme while future obligations exist; approval requires resolving or explicitly retaining every affected obligation.</x:v>
      </x:c>
    </x:row>
    <x:row r="60" ht="42" customHeight="1">
      <x:c r="A60" s="11" t="str">
        <x:v>SC-054</x:v>
      </x:c>
      <x:c r="B60" s="11" t="str">
        <x:v>FR-PRG-008</x:v>
      </x:c>
      <x:c r="C60" s="11" t="str">
        <x:v>Closure and archival</x:v>
      </x:c>
      <x:c r="D60" s="11" t="str">
        <x:v>P0</x:v>
      </x:c>
      <x:c r="E60" s="11" t="str">
        <x:v>R1</x:v>
      </x:c>
      <x:c r="F60" s="11" t="str">
        <x:v>C03</x:v>
      </x:c>
      <x:c r="G60" s="11" t="str">
        <x:v>TC-PRG-008-01 / -02</x:v>
      </x:c>
      <x:c r="H60" s="11" t="str">
        <x:v>Archive a project with one permitted warning and verify its approved export still works while new ordinary data entry is denied.</x:v>
      </x:c>
    </x:row>
    <x:row r="61" ht="42" customHeight="1">
      <x:c r="A61" s="11" t="str">
        <x:v>SC-055</x:v>
      </x:c>
      <x:c r="B61" s="11" t="str">
        <x:v>FR-PRG-009</x:v>
      </x:c>
      <x:c r="C61" s="11" t="str">
        <x:v>Cross project dependencies</x:v>
      </x:c>
      <x:c r="D61" s="11" t="str">
        <x:v>P1</x:v>
      </x:c>
      <x:c r="E61" s="11" t="str">
        <x:v>R2</x:v>
      </x:c>
      <x:c r="F61" s="11" t="str">
        <x:v>C03</x:v>
      </x:c>
      <x:c r="G61" s="11" t="str">
        <x:v>TC-PRG-009-01 / -02</x:v>
      </x:c>
      <x:c r="H61" s="11" t="str">
        <x:v>A partner sees prerequisite delayed and due date but cannot drill into the originating project's confidential grant agreement.</x:v>
      </x:c>
    </x:row>
    <x:row r="62" ht="42" customHeight="1">
      <x:c r="A62" s="11" t="str">
        <x:v>SC-056</x:v>
      </x:c>
      <x:c r="B62" s="11" t="str">
        <x:v>FR-PRG-010</x:v>
      </x:c>
      <x:c r="C62" s="11" t="str">
        <x:v>Bulk administration</x:v>
      </x:c>
      <x:c r="D62" s="11" t="str">
        <x:v>P1</x:v>
      </x:c>
      <x:c r="E62" s="11" t="str">
        <x:v>R2</x:v>
      </x:c>
      <x:c r="F62" s="11" t="str">
        <x:v>C03</x:v>
      </x:c>
      <x:c r="G62" s="11" t="str">
        <x:v>TC-PRG-010-01 / -02</x:v>
      </x:c>
      <x:c r="H62" s="11" t="str">
        <x:v>Reassign ten projects with two outside scope and one stale revision; seven commit, three report safe reasons and retry does not duplicate template instances.</x:v>
      </x:c>
    </x:row>
    <x:row r="63" ht="42" customHeight="1">
      <x:c r="A63" s="11" t="str">
        <x:v>SC-057</x:v>
      </x:c>
      <x:c r="B63" s="11" t="str">
        <x:v>FR-IND-001</x:v>
      </x:c>
      <x:c r="C63" s="11" t="str">
        <x:v>Complete indicator definition</x:v>
      </x:c>
      <x:c r="D63" s="11" t="str">
        <x:v>P0</x:v>
      </x:c>
      <x:c r="E63" s="11" t="str">
        <x:v>R1</x:v>
      </x:c>
      <x:c r="F63" s="11" t="str">
        <x:v>C04</x:v>
      </x:c>
      <x:c r="G63" s="11" t="str">
        <x:v>TC-IND-001-01 / -02</x:v>
      </x:c>
      <x:c r="H63" s="11" t="str">
        <x:v>Define a percentage with a numerator but no eligible denominator; validation links directly to the missing meaning and approval remains unavailable.</x:v>
      </x:c>
    </x:row>
    <x:row r="64" ht="42" customHeight="1">
      <x:c r="A64" s="11" t="str">
        <x:v>SC-058</x:v>
      </x:c>
      <x:c r="B64" s="11" t="str">
        <x:v>FR-IND-002</x:v>
      </x:c>
      <x:c r="C64" s="11" t="str">
        <x:v>Supported measurement types</x:v>
      </x:c>
      <x:c r="D64" s="11" t="str">
        <x:v>P0</x:v>
      </x:c>
      <x:c r="E64" s="11" t="str">
        <x:v>R1</x:v>
      </x:c>
      <x:c r="F64" s="11" t="str">
        <x:v>C04</x:v>
      </x:c>
      <x:c r="G64" s="11" t="str">
        <x:v>TC-IND-002-01 / -02</x:v>
      </x:c>
      <x:c r="H64" s="11" t="str">
        <x:v>Enter an ordinal code into an additive aggregate and confirm incompatibility; import a reviewed external score and retain its stated calculation source.</x:v>
      </x:c>
    </x:row>
    <x:row r="65" ht="42" customHeight="1">
      <x:c r="A65" s="11" t="str">
        <x:v>SC-059</x:v>
      </x:c>
      <x:c r="B65" s="11" t="str">
        <x:v>FR-IND-003</x:v>
      </x:c>
      <x:c r="C65" s="11" t="str">
        <x:v>Baselines and targets</x:v>
      </x:c>
      <x:c r="D65" s="11" t="str">
        <x:v>P0</x:v>
      </x:c>
      <x:c r="E65" s="11" t="str">
        <x:v>R1</x:v>
      </x:c>
      <x:c r="F65" s="11" t="str">
        <x:v>C04</x:v>
      </x:c>
      <x:c r="G65" s="11" t="str">
        <x:v>TC-IND-003-01 / -02</x:v>
      </x:c>
      <x:c r="H65" s="11" t="str">
        <x:v>With an actual of 120 and higher target 100 display 120 percent attainment; with lower target 10 and actual 8 show achieved and the defined deviation.</x:v>
      </x:c>
    </x:row>
    <x:row r="66" ht="42" customHeight="1">
      <x:c r="A66" s="11" t="str">
        <x:v>SC-060</x:v>
      </x:c>
      <x:c r="B66" s="11" t="str">
        <x:v>FR-IND-004</x:v>
      </x:c>
      <x:c r="C66" s="11" t="str">
        <x:v>Target amendments</x:v>
      </x:c>
      <x:c r="D66" s="11" t="str">
        <x:v>P0</x:v>
      </x:c>
      <x:c r="E66" s="11" t="str">
        <x:v>R1</x:v>
      </x:c>
      <x:c r="F66" s="11" t="str">
        <x:v>C04</x:v>
      </x:c>
      <x:c r="G66" s="11" t="str">
        <x:v>TC-IND-004-01 / -02</x:v>
      </x:c>
      <x:c r="H66" s="11" t="str">
        <x:v>Change a quarter target from 1000 to 800 after lock; the original report remains against 1000 and a restated comparison is distinctly labelled.</x:v>
      </x:c>
    </x:row>
    <x:row r="67" ht="42" customHeight="1">
      <x:c r="A67" s="11" t="str">
        <x:v>SC-061</x:v>
      </x:c>
      <x:c r="B67" s="11" t="str">
        <x:v>FR-IND-005</x:v>
      </x:c>
      <x:c r="C67" s="11" t="str">
        <x:v>Reporting periods</x:v>
      </x:c>
      <x:c r="D67" s="11" t="str">
        <x:v>P0</x:v>
      </x:c>
      <x:c r="E67" s="11" t="str">
        <x:v>R1</x:v>
      </x:c>
      <x:c r="F67" s="11" t="str">
        <x:v>C04</x:v>
      </x:c>
      <x:c r="G67" s="11" t="str">
        <x:v>TC-IND-005-01 / -02</x:v>
      </x:c>
      <x:c r="H67" s="11" t="str">
        <x:v>An event exactly at midnight on the new quarter boundary belongs only to the new quarter, even when uploaded two days later.</x:v>
      </x:c>
    </x:row>
    <x:row r="68" ht="42" customHeight="1">
      <x:c r="A68" s="11" t="str">
        <x:v>SC-062</x:v>
      </x:c>
      <x:c r="B68" s="11" t="str">
        <x:v>FR-IND-006</x:v>
      </x:c>
      <x:c r="C68" s="11" t="str">
        <x:v>Disaggregation dimensions</x:v>
      </x:c>
      <x:c r="D68" s="11" t="str">
        <x:v>P0</x:v>
      </x:c>
      <x:c r="E68" s="11" t="str">
        <x:v>R1</x:v>
      </x:c>
      <x:c r="F68" s="11" t="str">
        <x:v>C04</x:v>
      </x:c>
      <x:c r="G68" s="11" t="str">
        <x:v>TC-IND-006-01 / -02</x:v>
      </x:c>
      <x:c r="H68" s="11" t="str">
        <x:v>One participant selects two service types; both categories count the event as defined and the unique participant total remains one.</x:v>
      </x:c>
    </x:row>
    <x:row r="69" ht="42" customHeight="1">
      <x:c r="A69" s="11" t="str">
        <x:v>SC-063</x:v>
      </x:c>
      <x:c r="B69" s="11" t="str">
        <x:v>FR-IND-007</x:v>
      </x:c>
      <x:c r="C69" s="11" t="str">
        <x:v>Missing and exceptional values</x:v>
      </x:c>
      <x:c r="D69" s="11" t="str">
        <x:v>P0</x:v>
      </x:c>
      <x:c r="E69" s="11" t="str">
        <x:v>R1</x:v>
      </x:c>
      <x:c r="F69" s="11" t="str">
        <x:v>C04</x:v>
      </x:c>
      <x:c r="G69" s="11" t="str">
        <x:v>TC-IND-007-01 / -02</x:v>
      </x:c>
      <x:c r="H69" s="11" t="str">
        <x:v>Export zero, missing, not applicable, invalid and pending rows; each has a distinct machine code and matching human label.</x:v>
      </x:c>
    </x:row>
    <x:row r="70" ht="42" customHeight="1">
      <x:c r="A70" s="11" t="str">
        <x:v>SC-064</x:v>
      </x:c>
      <x:c r="B70" s="11" t="str">
        <x:v>FR-IND-008</x:v>
      </x:c>
      <x:c r="C70" s="11" t="str">
        <x:v>Definition versioning</x:v>
      </x:c>
      <x:c r="D70" s="11" t="str">
        <x:v>P0</x:v>
      </x:c>
      <x:c r="E70" s="11" t="str">
        <x:v>R1</x:v>
      </x:c>
      <x:c r="F70" s="11" t="str">
        <x:v>C04</x:v>
      </x:c>
      <x:c r="G70" s="11" t="str">
        <x:v>TC-IND-008-01 / -02</x:v>
      </x:c>
      <x:c r="H70" s="11" t="str">
        <x:v>Change households to people; the application blocks a combined total until a justified conversion or separate series is selected.</x:v>
      </x:c>
    </x:row>
    <x:row r="71" ht="42" customHeight="1">
      <x:c r="A71" s="11" t="str">
        <x:v>SC-065</x:v>
      </x:c>
      <x:c r="B71" s="11" t="str">
        <x:v>FR-IND-009</x:v>
      </x:c>
      <x:c r="C71" s="11" t="str">
        <x:v>Indicator library reuse</x:v>
      </x:c>
      <x:c r="D71" s="11" t="str">
        <x:v>P1</x:v>
      </x:c>
      <x:c r="E71" s="11" t="str">
        <x:v>R1</x:v>
      </x:c>
      <x:c r="F71" s="11" t="str">
        <x:v>C04</x:v>
      </x:c>
      <x:c r="G71" s="11" t="str">
        <x:v>TC-IND-009-01 / -02</x:v>
      </x:c>
      <x:c r="H71" s="11" t="str">
        <x:v>Two projects pin version 1; only one adopts version 2 with a changed denominator, and the portfolio flags the mixed comparison.</x:v>
      </x:c>
    </x:row>
    <x:row r="72" ht="42" customHeight="1">
      <x:c r="A72" s="11" t="str">
        <x:v>SC-066</x:v>
      </x:c>
      <x:c r="B72" s="11" t="str">
        <x:v>FR-IND-010</x:v>
      </x:c>
      <x:c r="C72" s="11" t="str">
        <x:v>Manual and calculated results</x:v>
      </x:c>
      <x:c r="D72" s="11" t="str">
        <x:v>P0</x:v>
      </x:c>
      <x:c r="E72" s="11" t="str">
        <x:v>R1</x:v>
      </x:c>
      <x:c r="F72" s="11" t="str">
        <x:v>C04</x:v>
      </x:c>
      <x:c r="G72" s="11" t="str">
        <x:v>TC-IND-010-01 / -02</x:v>
      </x:c>
      <x:c r="H72" s="11" t="str">
        <x:v>Computed value 94 is overridden to 90 after review; the report records the override and explanation while retaining the calculation of 94.</x:v>
      </x:c>
    </x:row>
    <x:row r="73" ht="42" customHeight="1">
      <x:c r="A73" s="11" t="str">
        <x:v>SC-067</x:v>
      </x:c>
      <x:c r="B73" s="11" t="str">
        <x:v>FR-IND-011</x:v>
      </x:c>
      <x:c r="C73" s="11" t="str">
        <x:v>Evidence requirements</x:v>
      </x:c>
      <x:c r="D73" s="11" t="str">
        <x:v>P0</x:v>
      </x:c>
      <x:c r="E73" s="11" t="str">
        <x:v>R1</x:v>
      </x:c>
      <x:c r="F73" s="11" t="str">
        <x:v>C04</x:v>
      </x:c>
      <x:c r="G73" s="11" t="str">
        <x:v>TC-IND-011-01 / -02</x:v>
      </x:c>
      <x:c r="H73" s="11" t="str">
        <x:v>Submit achievement with one required survey file still quarantined; source receipt succeeds but approval stays blocked until the evidence is safe and verified.</x:v>
      </x:c>
    </x:row>
    <x:row r="74" ht="42" customHeight="1">
      <x:c r="A74" s="11" t="str">
        <x:v>SC-068</x:v>
      </x:c>
      <x:c r="B74" s="11" t="str">
        <x:v>FR-IND-012</x:v>
      </x:c>
      <x:c r="C74" s="11" t="str">
        <x:v>Responsibility and collection schedule</x:v>
      </x:c>
      <x:c r="D74" s="11" t="str">
        <x:v>P0</x:v>
      </x:c>
      <x:c r="E74" s="11" t="str">
        <x:v>R1</x:v>
      </x:c>
      <x:c r="F74" s="11" t="str">
        <x:v>C04</x:v>
      </x:c>
      <x:c r="G74" s="11" t="str">
        <x:v>TC-IND-012-01 / -02</x:v>
      </x:c>
      <x:c r="H74" s="11" t="str">
        <x:v>Suspend the collector one day before due; the manager sees an unassigned obligation and can appoint an eligible replacement.</x:v>
      </x:c>
    </x:row>
    <x:row r="75" ht="42" customHeight="1">
      <x:c r="A75" s="11" t="str">
        <x:v>SC-069</x:v>
      </x:c>
      <x:c r="B75" s="11" t="str">
        <x:v>FR-IND-013</x:v>
      </x:c>
      <x:c r="C75" s="11" t="str">
        <x:v>Status and thresholds</x:v>
      </x:c>
      <x:c r="D75" s="11" t="str">
        <x:v>P1</x:v>
      </x:c>
      <x:c r="E75" s="11" t="str">
        <x:v>R1</x:v>
      </x:c>
      <x:c r="F75" s="11" t="str">
        <x:v>C04</x:v>
      </x:c>
      <x:c r="G75" s="11" t="str">
        <x:v>TC-IND-013-01 / -02</x:v>
      </x:c>
      <x:c r="H75" s="11" t="str">
        <x:v>A lower-is-better measure at 8 against target 10 is achieved, but a missed refresh also displays stale and cannot trigger an unqualified success alert.</x:v>
      </x:c>
    </x:row>
    <x:row r="76" ht="42" customHeight="1">
      <x:c r="A76" s="11" t="str">
        <x:v>SC-070</x:v>
      </x:c>
      <x:c r="B76" s="11" t="str">
        <x:v>FR-IND-014</x:v>
      </x:c>
      <x:c r="C76" s="11" t="str">
        <x:v>Retirement and replacement</x:v>
      </x:c>
      <x:c r="D76" s="11" t="str">
        <x:v>P0</x:v>
      </x:c>
      <x:c r="E76" s="11" t="str">
        <x:v>R1</x:v>
      </x:c>
      <x:c r="F76" s="11" t="str">
        <x:v>C04</x:v>
      </x:c>
      <x:c r="G76" s="11" t="str">
        <x:v>TC-IND-014-01 / -02</x:v>
      </x:c>
      <x:c r="H76" s="11" t="str">
        <x:v>Retire an indicator feeding a portfolio total; next period calculation blocks until its replacement rule is reviewed, while last year's report remains intact.</x:v>
      </x:c>
    </x:row>
    <x:row r="77" ht="42" customHeight="1">
      <x:c r="A77" s="11" t="str">
        <x:v>SC-071</x:v>
      </x:c>
      <x:c r="B77" s="11" t="str">
        <x:v>FR-IND-015</x:v>
      </x:c>
      <x:c r="C77" s="11" t="str">
        <x:v>Reference sheets and dictionary export</x:v>
      </x:c>
      <x:c r="D77" s="11" t="str">
        <x:v>P1</x:v>
      </x:c>
      <x:c r="E77" s="11" t="str">
        <x:v>R1</x:v>
      </x:c>
      <x:c r="F77" s="11" t="str">
        <x:v>C04</x:v>
      </x:c>
      <x:c r="G77" s="11" t="str">
        <x:v>TC-IND-015-01 / -02</x:v>
      </x:c>
      <x:c r="H77" s="11" t="str">
        <x:v>An evaluator receives a ratio sheet and can identify numerator population, denominator, multiplier and period without consulting the application's private settings.</x:v>
      </x:c>
    </x:row>
    <x:row r="78" ht="42" customHeight="1">
      <x:c r="A78" s="11" t="str">
        <x:v>SC-072</x:v>
      </x:c>
      <x:c r="B78" s="11" t="str">
        <x:v>FR-CAL-001</x:v>
      </x:c>
      <x:c r="C78" s="11" t="str">
        <x:v>Deterministic calculation</x:v>
      </x:c>
      <x:c r="D78" s="11" t="str">
        <x:v>P0</x:v>
      </x:c>
      <x:c r="E78" s="11" t="str">
        <x:v>R1</x:v>
      </x:c>
      <x:c r="F78" s="11" t="str">
        <x:v>C04</x:v>
      </x:c>
      <x:c r="G78" s="11" t="str">
        <x:v>TC-CAL-001-01 / -02</x:v>
      </x:c>
      <x:c r="H78" s="11" t="str">
        <x:v>Recompute a frozen ratio from exported inputs and the recorded formula; the raw decimal and displayed rounded output match exactly.</x:v>
      </x:c>
    </x:row>
    <x:row r="79" ht="42" customHeight="1">
      <x:c r="A79" s="11" t="str">
        <x:v>SC-073</x:v>
      </x:c>
      <x:c r="B79" s="11" t="str">
        <x:v>FR-CAL-002</x:v>
      </x:c>
      <x:c r="C79" s="11" t="str">
        <x:v>Type and unit compatibility</x:v>
      </x:c>
      <x:c r="D79" s="11" t="str">
        <x:v>P0</x:v>
      </x:c>
      <x:c r="E79" s="11" t="str">
        <x:v>R1</x:v>
      </x:c>
      <x:c r="F79" s="11" t="str">
        <x:v>C04</x:v>
      </x:c>
      <x:c r="G79" s="11" t="str">
        <x:v>TC-CAL-002-01 / -02</x:v>
      </x:c>
      <x:c r="H79" s="11" t="str">
        <x:v>Combine 1 hectare and 1 acre using an approved conversion; reject a people plus household total where no justified conversion exists.</x:v>
      </x:c>
    </x:row>
    <x:row r="80" ht="42" customHeight="1">
      <x:c r="A80" s="11" t="str">
        <x:v>SC-074</x:v>
      </x:c>
      <x:c r="B80" s="11" t="str">
        <x:v>FR-CAL-003</x:v>
      </x:c>
      <x:c r="C80" s="11" t="str">
        <x:v>Ratios rates and percentages</x:v>
      </x:c>
      <x:c r="D80" s="11" t="str">
        <x:v>P0</x:v>
      </x:c>
      <x:c r="E80" s="11" t="str">
        <x:v>R1</x:v>
      </x:c>
      <x:c r="F80" s="11" t="str">
        <x:v>C04</x:v>
      </x:c>
      <x:c r="G80" s="11" t="str">
        <x:v>TC-CAL-003-01 / -02</x:v>
      </x:c>
      <x:c r="H80" s="11" t="str">
        <x:v>Pool 50 of 100 and 1 of 10: produce 51 of 110 and display 46.36 percent under two decimal rounding, never 30 percent.</x:v>
      </x:c>
    </x:row>
    <x:row r="81" ht="42" customHeight="1">
      <x:c r="A81" s="11" t="str">
        <x:v>SC-075</x:v>
      </x:c>
      <x:c r="B81" s="11" t="str">
        <x:v>FR-CAL-004</x:v>
      </x:c>
      <x:c r="C81" s="11" t="str">
        <x:v>Population overlap</x:v>
      </x:c>
      <x:c r="D81" s="11" t="str">
        <x:v>P0</x:v>
      </x:c>
      <x:c r="E81" s="11" t="str">
        <x:v>R1</x:v>
      </x:c>
      <x:c r="F81" s="11" t="str">
        <x:v>C04</x:v>
      </x:c>
      <x:c r="G81" s="11" t="str">
        <x:v>TC-CAL-004-01 / -02</x:v>
      </x:c>
      <x:c r="H81" s="11" t="str">
        <x:v>Two approved sets of 100 with 20 shared authorised identities produce 180; the same aggregate-only inputs produce gross 200 with unknown overlap.</x:v>
      </x:c>
    </x:row>
    <x:row r="82" ht="42" customHeight="1">
      <x:c r="A82" s="11" t="str">
        <x:v>SC-076</x:v>
      </x:c>
      <x:c r="B82" s="11" t="str">
        <x:v>FR-CAL-005</x:v>
      </x:c>
      <x:c r="C82" s="11" t="str">
        <x:v>Time aggregation semantics</x:v>
      </x:c>
      <x:c r="D82" s="11" t="str">
        <x:v>P0</x:v>
      </x:c>
      <x:c r="E82" s="11" t="str">
        <x:v>R1</x:v>
      </x:c>
      <x:c r="F82" s="11" t="str">
        <x:v>C04</x:v>
      </x:c>
      <x:c r="G82" s="11" t="str">
        <x:v>TC-CAL-005-01 / -02</x:v>
      </x:c>
      <x:c r="H82" s="11" t="str">
        <x:v>For 10, 15 and 20 cumulative positions report end value 20; increments are 10, 5 and 5 only when a zero starting baseline is established.</x:v>
      </x:c>
    </x:row>
    <x:row r="83" ht="42" customHeight="1">
      <x:c r="A83" s="11" t="str">
        <x:v>SC-077</x:v>
      </x:c>
      <x:c r="B83" s="11" t="str">
        <x:v>FR-CAL-006</x:v>
      </x:c>
      <x:c r="C83" s="11" t="str">
        <x:v>Hierarchical aggregation</x:v>
      </x:c>
      <x:c r="D83" s="11" t="str">
        <x:v>P0</x:v>
      </x:c>
      <x:c r="E83" s="11" t="str">
        <x:v>R1</x:v>
      </x:c>
      <x:c r="F83" s="11" t="str">
        <x:v>C04</x:v>
      </x:c>
      <x:c r="G83" s="11" t="str">
        <x:v>TC-CAL-006-01 / -02</x:v>
      </x:c>
      <x:c r="H83" s="11" t="str">
        <x:v>A source contributes 7 through two intermediate totals; a unique parent includes 7 once and a newly added reverse edge is rejected as cyclic.</x:v>
      </x:c>
    </x:row>
    <x:row r="84" ht="42" customHeight="1">
      <x:c r="A84" s="11" t="str">
        <x:v>SC-078</x:v>
      </x:c>
      <x:c r="B84" s="11" t="str">
        <x:v>FR-CAL-007</x:v>
      </x:c>
      <x:c r="C84" s="11" t="str">
        <x:v>Dimension alignment</x:v>
      </x:c>
      <x:c r="D84" s="11" t="str">
        <x:v>P0</x:v>
      </x:c>
      <x:c r="E84" s="11" t="str">
        <x:v>R1</x:v>
      </x:c>
      <x:c r="F84" s="11" t="str">
        <x:v>C04</x:v>
      </x:c>
      <x:c r="G84" s="11" t="str">
        <x:v>TC-CAL-007-01 / -02</x:v>
      </x:c>
      <x:c r="H84" s="11" t="str">
        <x:v>Attempt to convert ages 0 to 17 into 0 to 14 from one aggregate; exact transformation is blocked and the unresolved coverage remains visible.</x:v>
      </x:c>
    </x:row>
    <x:row r="85" ht="42" customHeight="1">
      <x:c r="A85" s="11" t="str">
        <x:v>SC-079</x:v>
      </x:c>
      <x:c r="B85" s="11" t="str">
        <x:v>FR-CAL-008</x:v>
      </x:c>
      <x:c r="C85" s="11" t="str">
        <x:v>Missingness and coverage</x:v>
      </x:c>
      <x:c r="D85" s="11" t="str">
        <x:v>P0</x:v>
      </x:c>
      <x:c r="E85" s="11" t="str">
        <x:v>R1</x:v>
      </x:c>
      <x:c r="F85" s="11" t="str">
        <x:v>C04</x:v>
      </x:c>
      <x:c r="G85" s="11" t="str">
        <x:v>TC-CAL-008-01 / -02</x:v>
      </x:c>
      <x:c r="H85" s="11" t="str">
        <x:v>Five expected partners, three approved, one pending and one missing yield 60 percent approval coverage and distinct pending and missing counts.</x:v>
      </x:c>
    </x:row>
    <x:row r="86" ht="42" customHeight="1">
      <x:c r="A86" s="11" t="str">
        <x:v>SC-080</x:v>
      </x:c>
      <x:c r="B86" s="11" t="str">
        <x:v>FR-CAL-009</x:v>
      </x:c>
      <x:c r="C86" s="11" t="str">
        <x:v>Precision and rounding</x:v>
      </x:c>
      <x:c r="D86" s="11" t="str">
        <x:v>P0</x:v>
      </x:c>
      <x:c r="E86" s="11" t="str">
        <x:v>R1</x:v>
      </x:c>
      <x:c r="F86" s="11" t="str">
        <x:v>C04</x:v>
      </x:c>
      <x:c r="G86" s="11" t="str">
        <x:v>TC-CAL-009-01 / -02</x:v>
      </x:c>
      <x:c r="H86" s="11" t="str">
        <x:v>Sum three values 0.335 before rounding to two decimals: 1.005 becomes 1.01 with half up; document why rounded components would sum differently.</x:v>
      </x:c>
    </x:row>
    <x:row r="87" ht="42" customHeight="1">
      <x:c r="A87" s="11" t="str">
        <x:v>SC-081</x:v>
      </x:c>
      <x:c r="B87" s="11" t="str">
        <x:v>FR-CAL-010</x:v>
      </x:c>
      <x:c r="C87" s="11" t="str">
        <x:v>Zero denominators and invalid inputs</x:v>
      </x:c>
      <x:c r="D87" s="11" t="str">
        <x:v>P0</x:v>
      </x:c>
      <x:c r="E87" s="11" t="str">
        <x:v>R1</x:v>
      </x:c>
      <x:c r="F87" s="11" t="str">
        <x:v>C04</x:v>
      </x:c>
      <x:c r="G87" s="11" t="str">
        <x:v>TC-CAL-010-01 / -02</x:v>
      </x:c>
      <x:c r="H87" s="11" t="str">
        <x:v>Submit negative two participants and divide 5 by 0; the first is invalid and the second undefined, with neither displayed as a successful zero.</x:v>
      </x:c>
    </x:row>
    <x:row r="88" ht="42" customHeight="1">
      <x:c r="A88" s="11" t="str">
        <x:v>SC-082</x:v>
      </x:c>
      <x:c r="B88" s="11" t="str">
        <x:v>FR-CAL-011</x:v>
      </x:c>
      <x:c r="C88" s="11" t="str">
        <x:v>Corrections and recalculation</x:v>
      </x:c>
      <x:c r="D88" s="11" t="str">
        <x:v>P0</x:v>
      </x:c>
      <x:c r="E88" s="11" t="str">
        <x:v>R1</x:v>
      </x:c>
      <x:c r="F88" s="11" t="str">
        <x:v>C04</x:v>
      </x:c>
      <x:c r="G88" s="11" t="str">
        <x:v>TC-CAL-011-01 / -02</x:v>
      </x:c>
      <x:c r="H88" s="11" t="str">
        <x:v>Correct one imported numerator and verify current ratio updates while the published quarterly PDF remains the original version until restated.</x:v>
      </x:c>
    </x:row>
    <x:row r="89" ht="42" customHeight="1">
      <x:c r="A89" s="11" t="str">
        <x:v>SC-083</x:v>
      </x:c>
      <x:c r="B89" s="11" t="str">
        <x:v>FR-CAL-012</x:v>
      </x:c>
      <x:c r="C89" s="11" t="str">
        <x:v>Formula authoring and validation</x:v>
      </x:c>
      <x:c r="D89" s="11" t="str">
        <x:v>P0</x:v>
      </x:c>
      <x:c r="E89" s="11" t="str">
        <x:v>R1</x:v>
      </x:c>
      <x:c r="F89" s="11" t="str">
        <x:v>C04</x:v>
      </x:c>
      <x:c r="G89" s="11" t="str">
        <x:v>TC-CAL-012-01 / -02</x:v>
      </x:c>
      <x:c r="H89" s="11" t="str">
        <x:v>Enter a formula referencing an inaccessible field, a circular indicator and an external URL call; each is rejected before activation.</x:v>
      </x:c>
    </x:row>
    <x:row r="90" ht="42" customHeight="1">
      <x:c r="A90" s="11" t="str">
        <x:v>SC-084</x:v>
      </x:c>
      <x:c r="B90" s="11" t="str">
        <x:v>FR-CAL-013</x:v>
      </x:c>
      <x:c r="C90" s="11" t="str">
        <x:v>Weighted and composite indicators</x:v>
      </x:c>
      <x:c r="D90" s="11" t="str">
        <x:v>P1</x:v>
      </x:c>
      <x:c r="E90" s="11" t="str">
        <x:v>R2</x:v>
      </x:c>
      <x:c r="F90" s="11" t="str">
        <x:v>C04</x:v>
      </x:c>
      <x:c r="G90" s="11" t="str">
        <x:v>TC-CAL-013-01 / -02</x:v>
      </x:c>
      <x:c r="H90" s="11" t="str">
        <x:v>Scores 60 and 80 with weights 0.4 and 0.6 produce 72; changing weights creates a new version and leaves the old score reproducible.</x:v>
      </x:c>
    </x:row>
    <x:row r="91" ht="42" customHeight="1">
      <x:c r="A91" s="11" t="str">
        <x:v>SC-085</x:v>
      </x:c>
      <x:c r="B91" s="11" t="str">
        <x:v>FR-CAL-014</x:v>
      </x:c>
      <x:c r="C91" s="11" t="str">
        <x:v>Cross portfolio attribution</x:v>
      </x:c>
      <x:c r="D91" s="11" t="str">
        <x:v>P0</x:v>
      </x:c>
      <x:c r="E91" s="11" t="str">
        <x:v>R1</x:v>
      </x:c>
      <x:c r="F91" s="11" t="str">
        <x:v>C04</x:v>
      </x:c>
      <x:c r="G91" s="11" t="str">
        <x:v>TC-CAL-014-01 / -02</x:v>
      </x:c>
      <x:c r="H91" s="11" t="str">
        <x:v>Project P belongs to health and education portfolios; each may show P, while the organisation unique project count stays one.</x:v>
      </x:c>
    </x:row>
    <x:row r="92" ht="42" customHeight="1">
      <x:c r="A92" s="11" t="str">
        <x:v>SC-086</x:v>
      </x:c>
      <x:c r="B92" s="11" t="str">
        <x:v>FR-CAL-015</x:v>
      </x:c>
      <x:c r="C92" s="11" t="str">
        <x:v>Reconciliation and explainability</x:v>
      </x:c>
      <x:c r="D92" s="11" t="str">
        <x:v>P0</x:v>
      </x:c>
      <x:c r="E92" s="11" t="str">
        <x:v>R1</x:v>
      </x:c>
      <x:c r="F92" s="11" t="str">
        <x:v>C04</x:v>
      </x:c>
      <x:c r="G92" s="11" t="str">
        <x:v>TC-CAL-015-01 / -02</x:v>
      </x:c>
      <x:c r="H92" s="11" t="str">
        <x:v>Change one source value and one filter, compare runs and identify the separate effect of each rather than reporting one unexplained total difference.</x:v>
      </x:c>
    </x:row>
    <x:row r="93" ht="42" customHeight="1">
      <x:c r="A93" s="11" t="str">
        <x:v>SC-087</x:v>
      </x:c>
      <x:c r="B93" s="11" t="str">
        <x:v>FR-CAL-016</x:v>
      </x:c>
      <x:c r="C93" s="11" t="str">
        <x:v>Statistical interpretation</x:v>
      </x:c>
      <x:c r="D93" s="11" t="str">
        <x:v>P1</x:v>
      </x:c>
      <x:c r="E93" s="11" t="str">
        <x:v>R2</x:v>
      </x:c>
      <x:c r="F93" s="11" t="str">
        <x:v>C04</x:v>
      </x:c>
      <x:c r="G93" s="11" t="str">
        <x:v>TC-CAL-016-01 / -02</x:v>
      </x:c>
      <x:c r="H93" s="11" t="str">
        <x:v>Groups with raw values 1, 2, 100 and 3, 4 combine to median 3; subgroup medians alone cannot reproduce that claim reliably.</x:v>
      </x:c>
    </x:row>
    <x:row r="94" ht="42" customHeight="1">
      <x:c r="A94" s="11" t="str">
        <x:v>SC-088</x:v>
      </x:c>
      <x:c r="B94" s="11" t="str">
        <x:v>FR-FRM-001</x:v>
      </x:c>
      <x:c r="C94" s="11" t="str">
        <x:v>Form builder</x:v>
      </x:c>
      <x:c r="D94" s="11" t="str">
        <x:v>P0</x:v>
      </x:c>
      <x:c r="E94" s="11" t="str">
        <x:v>R1</x:v>
      </x:c>
      <x:c r="F94" s="11" t="str">
        <x:v>C05</x:v>
      </x:c>
      <x:c r="G94" s="11" t="str">
        <x:v>TC-FRM-001-01 / -02</x:v>
      </x:c>
      <x:c r="H94" s="11" t="str">
        <x:v>Build a household form with three members, an optional photo and a calculated age; all child responses retain their parent and stable field codes.</x:v>
      </x:c>
    </x:row>
    <x:row r="95" ht="42" customHeight="1">
      <x:c r="A95" s="11" t="str">
        <x:v>SC-089</x:v>
      </x:c>
      <x:c r="B95" s="11" t="str">
        <x:v>FR-FRM-002</x:v>
      </x:c>
      <x:c r="C95" s="11" t="str">
        <x:v>Conditional logic and validation</x:v>
      </x:c>
      <x:c r="D95" s="11" t="str">
        <x:v>P0</x:v>
      </x:c>
      <x:c r="E95" s="11" t="str">
        <x:v>R1</x:v>
      </x:c>
      <x:c r="F95" s="11" t="str">
        <x:v>C05</x:v>
      </x:c>
      <x:c r="G95" s="11" t="str">
        <x:v>TC-FRM-002-01 / -02</x:v>
      </x:c>
      <x:c r="H95" s="11" t="str">
        <x:v>Change pregnancy relevance from yes to no; dependent fields clear under the declared policy and a tampered payload containing disallowed answers is rejected.</x:v>
      </x:c>
    </x:row>
    <x:row r="96" ht="42" customHeight="1">
      <x:c r="A96" s="11" t="str">
        <x:v>SC-090</x:v>
      </x:c>
      <x:c r="B96" s="11" t="str">
        <x:v>FR-FRM-003</x:v>
      </x:c>
      <x:c r="C96" s="11" t="str">
        <x:v>Form lifecycle and compatibility</x:v>
      </x:c>
      <x:c r="D96" s="11" t="str">
        <x:v>P0</x:v>
      </x:c>
      <x:c r="E96" s="11" t="str">
        <x:v>R1</x:v>
      </x:c>
      <x:c r="F96" s="11" t="str">
        <x:v>C05</x:v>
      </x:c>
      <x:c r="G96" s="11" t="str">
        <x:v>TC-FRM-003-01 / -02</x:v>
      </x:c>
      <x:c r="H96" s="11" t="str">
        <x:v>Publish a new mandatory question while an older package is offline; reconnect preserves the original submission and quarantines it rather than inventing the answer.</x:v>
      </x:c>
    </x:row>
    <x:row r="97" ht="42" customHeight="1">
      <x:c r="A97" s="11" t="str">
        <x:v>SC-091</x:v>
      </x:c>
      <x:c r="B97" s="11" t="str">
        <x:v>FR-FRM-004</x:v>
      </x:c>
      <x:c r="C97" s="11" t="str">
        <x:v>Multilingual instruments</x:v>
      </x:c>
      <x:c r="D97" s="11" t="str">
        <x:v>P1</x:v>
      </x:c>
      <x:c r="E97" s="11" t="str">
        <x:v>R1</x:v>
      </x:c>
      <x:c r="F97" s="11" t="str">
        <x:v>C05</x:v>
      </x:c>
      <x:c r="G97" s="11" t="str">
        <x:v>TC-FRM-004-01 / -02</x:v>
      </x:c>
      <x:c r="H97" s="11" t="str">
        <x:v>Submit the same choice in English and Hindi; both map to one stable response code and retain the language presented to the respondent.</x:v>
      </x:c>
    </x:row>
    <x:row r="98" ht="42" customHeight="1">
      <x:c r="A98" s="11" t="str">
        <x:v>SC-092</x:v>
      </x:c>
      <x:c r="B98" s="11" t="str">
        <x:v>FR-FRM-005</x:v>
      </x:c>
      <x:c r="C98" s="11" t="str">
        <x:v>Collection rounds and assignments</x:v>
      </x:c>
      <x:c r="D98" s="11" t="str">
        <x:v>P0</x:v>
      </x:c>
      <x:c r="E98" s="11" t="str">
        <x:v>R1</x:v>
      </x:c>
      <x:c r="F98" s="11" t="str">
        <x:v>C05</x:v>
      </x:c>
      <x:c r="G98" s="11" t="str">
        <x:v>TC-FRM-005-01 / -02</x:v>
      </x:c>
      <x:c r="H98" s="11" t="str">
        <x:v>Reassign a household visit from collector A to B; the old assignment cannot produce an extra eligible completed visit after B submits.</x:v>
      </x:c>
    </x:row>
    <x:row r="99" ht="42" customHeight="1">
      <x:c r="A99" s="11" t="str">
        <x:v>SC-093</x:v>
      </x:c>
      <x:c r="B99" s="11" t="str">
        <x:v>FR-FRM-006</x:v>
      </x:c>
      <x:c r="C99" s="11" t="str">
        <x:v>Save resume and correction</x:v>
      </x:c>
      <x:c r="D99" s="11" t="str">
        <x:v>P0</x:v>
      </x:c>
      <x:c r="E99" s="11" t="str">
        <x:v>R1</x:v>
      </x:c>
      <x:c r="F99" s="11" t="str">
        <x:v>C05</x:v>
      </x:c>
      <x:c r="G99" s="11" t="str">
        <x:v>TC-FRM-006-01 / -02</x:v>
      </x:c>
      <x:c r="H99" s="11" t="str">
        <x:v>Interrupt during final submit, reopen and retry; the receipt resolves to one submission and the local draft remains until server acceptance is confirmed.</x:v>
      </x:c>
    </x:row>
    <x:row r="100" ht="42" customHeight="1">
      <x:c r="A100" s="11" t="str">
        <x:v>SC-094</x:v>
      </x:c>
      <x:c r="B100" s="11" t="str">
        <x:v>FR-FRM-007</x:v>
      </x:c>
      <x:c r="C100" s="11" t="str">
        <x:v>Media and location evidence</x:v>
      </x:c>
      <x:c r="D100" s="11" t="str">
        <x:v>P1</x:v>
      </x:c>
      <x:c r="E100" s="11" t="str">
        <x:v>R1</x:v>
      </x:c>
      <x:c r="F100" s="11" t="str">
        <x:v>C05</x:v>
      </x:c>
      <x:c r="G100" s="11" t="str">
        <x:v>TC-FRM-007-01 / -02</x:v>
      </x:c>
      <x:c r="H100" s="11" t="str">
        <x:v>Upload a photo with embedded coordinates while location disclosure is prohibited; the external artifact contains no recoverable coordinate metadata.</x:v>
      </x:c>
    </x:row>
    <x:row r="101" ht="42" customHeight="1">
      <x:c r="A101" s="11" t="str">
        <x:v>SC-095</x:v>
      </x:c>
      <x:c r="B101" s="11" t="str">
        <x:v>FR-FRM-008</x:v>
      </x:c>
      <x:c r="C101" s="11" t="str">
        <x:v>Respondent and public forms</x:v>
      </x:c>
      <x:c r="D101" s="11" t="str">
        <x:v>P1</x:v>
      </x:c>
      <x:c r="E101" s="11" t="str">
        <x:v>R2</x:v>
      </x:c>
      <x:c r="F101" s="11" t="str">
        <x:v>C05</x:v>
      </x:c>
      <x:c r="G101" s="11" t="str">
        <x:v>TC-FRM-008-01 / -02</x:v>
      </x:c>
      <x:c r="H101" s="11" t="str">
        <x:v>Submit once with a token and request a different response ID; replay is idempotent or unavailable and the other response is never shown.</x:v>
      </x:c>
    </x:row>
    <x:row r="102" ht="42" customHeight="1">
      <x:c r="A102" s="11" t="str">
        <x:v>SC-096</x:v>
      </x:c>
      <x:c r="B102" s="11" t="str">
        <x:v>FR-FRM-009</x:v>
      </x:c>
      <x:c r="C102" s="11" t="str">
        <x:v>Longitudinal and repeat visits</x:v>
      </x:c>
      <x:c r="D102" s="11" t="str">
        <x:v>P1</x:v>
      </x:c>
      <x:c r="E102" s="11" t="str">
        <x:v>R2</x:v>
      </x:c>
      <x:c r="F102" s="11" t="str">
        <x:v>C05</x:v>
      </x:c>
      <x:c r="G102" s="11" t="str">
        <x:v>TC-FRM-009-01 / -02</x:v>
      </x:c>
      <x:c r="H102" s="11" t="str">
        <x:v>Record a baseline and two follow ups for one person; the analysis selects the designated window without counting all three as different participants.</x:v>
      </x:c>
    </x:row>
    <x:row r="103" ht="42" customHeight="1">
      <x:c r="A103" s="11" t="str">
        <x:v>SC-097</x:v>
      </x:c>
      <x:c r="B103" s="11" t="str">
        <x:v>FR-FRM-010</x:v>
      </x:c>
      <x:c r="C103" s="11" t="str">
        <x:v>Instrument testing and reuse</x:v>
      </x:c>
      <x:c r="D103" s="11" t="str">
        <x:v>P1</x:v>
      </x:c>
      <x:c r="E103" s="11" t="str">
        <x:v>R1</x:v>
      </x:c>
      <x:c r="F103" s="11" t="str">
        <x:v>C05</x:v>
      </x:c>
      <x:c r="G103" s="11" t="str">
        <x:v>TC-FRM-010-01 / -02</x:v>
      </x:c>
      <x:c r="H103" s="11" t="str">
        <x:v>Exercise two skip branches and one repeat boundary, publish the form and verify all synthetic responses remain outside production counts.</x:v>
      </x:c>
    </x:row>
    <x:row r="104" ht="42" customHeight="1">
      <x:c r="A104" s="11" t="str">
        <x:v>SC-098</x:v>
      </x:c>
      <x:c r="B104" s="11" t="str">
        <x:v>FR-OFF-001</x:v>
      </x:c>
      <x:c r="C104" s="11" t="str">
        <x:v>Offline task packages</x:v>
      </x:c>
      <x:c r="D104" s="11" t="str">
        <x:v>P0</x:v>
      </x:c>
      <x:c r="E104" s="11" t="str">
        <x:v>R1</x:v>
      </x:c>
      <x:c r="F104" s="11" t="str">
        <x:v>C05</x:v>
      </x:c>
      <x:c r="G104" s="11" t="str">
        <x:v>TC-OFF-001-01 / -02</x:v>
      </x:c>
      <x:c r="H104" s="11" t="str">
        <x:v>Download three assigned households and go offline; the collector can complete those forms but cannot browse a fourth unassigned household.</x:v>
      </x:c>
    </x:row>
    <x:row r="105" ht="42" customHeight="1">
      <x:c r="A105" s="11" t="str">
        <x:v>SC-099</x:v>
      </x:c>
      <x:c r="B105" s="11" t="str">
        <x:v>FR-OFF-002</x:v>
      </x:c>
      <x:c r="C105" s="11" t="str">
        <x:v>Durable local capture</x:v>
      </x:c>
      <x:c r="D105" s="11" t="str">
        <x:v>P0</x:v>
      </x:c>
      <x:c r="E105" s="11" t="str">
        <x:v>R1</x:v>
      </x:c>
      <x:c r="F105" s="11" t="str">
        <x:v>C05</x:v>
      </x:c>
      <x:c r="G105" s="11" t="str">
        <x:v>TC-OFF-002-01 / -02</x:v>
      </x:c>
      <x:c r="H105" s="11" t="str">
        <x:v>Restart during an attachment save and confirm the saved answers survive, the incomplete file is flagged and no false server received status appears.</x:v>
      </x:c>
    </x:row>
    <x:row r="106" ht="42" customHeight="1">
      <x:c r="A106" s="11" t="str">
        <x:v>SC-100</x:v>
      </x:c>
      <x:c r="B106" s="11" t="str">
        <x:v>FR-OFF-003</x:v>
      </x:c>
      <x:c r="C106" s="11" t="str">
        <x:v>Idempotent synchronisation</x:v>
      </x:c>
      <x:c r="D106" s="11" t="str">
        <x:v>P0</x:v>
      </x:c>
      <x:c r="E106" s="11" t="str">
        <x:v>R1</x:v>
      </x:c>
      <x:c r="F106" s="11" t="str">
        <x:v>C05</x:v>
      </x:c>
      <x:c r="G106" s="11" t="str">
        <x:v>TC-OFF-003-01 / -02</x:v>
      </x:c>
      <x:c r="H106" s="11" t="str">
        <x:v>Interrupt the same batch five times; each intended submission has one identity and missing media remains visibly incomplete.</x:v>
      </x:c>
    </x:row>
    <x:row r="107" ht="42" customHeight="1">
      <x:c r="A107" s="11" t="str">
        <x:v>SC-101</x:v>
      </x:c>
      <x:c r="B107" s="11" t="str">
        <x:v>FR-OFF-004</x:v>
      </x:c>
      <x:c r="C107" s="11" t="str">
        <x:v>Conflict handling</x:v>
      </x:c>
      <x:c r="D107" s="11" t="str">
        <x:v>P0</x:v>
      </x:c>
      <x:c r="E107" s="11" t="str">
        <x:v>R1</x:v>
      </x:c>
      <x:c r="F107" s="11" t="str">
        <x:v>C05</x:v>
      </x:c>
      <x:c r="G107" s="11" t="str">
        <x:v>TC-OFF-004-01 / -02</x:v>
      </x:c>
      <x:c r="H107" s="11" t="str">
        <x:v>Two devices alter the same visit and one uses an obsolete form; both candidates remain visible to the resolver with their distinct versions.</x:v>
      </x:c>
    </x:row>
    <x:row r="108" ht="42" customHeight="1">
      <x:c r="A108" s="11" t="str">
        <x:v>SC-102</x:v>
      </x:c>
      <x:c r="B108" s="11" t="str">
        <x:v>FR-OFF-005</x:v>
      </x:c>
      <x:c r="C108" s="11" t="str">
        <x:v>Device protection and expiry</x:v>
      </x:c>
      <x:c r="D108" s="11" t="str">
        <x:v>P0</x:v>
      </x:c>
      <x:c r="E108" s="11" t="str">
        <x:v>R1</x:v>
      </x:c>
      <x:c r="F108" s="11" t="str">
        <x:v>C05</x:v>
      </x:c>
      <x:c r="G108" s="11" t="str">
        <x:v>TC-OFF-005-01 / -02</x:v>
      </x:c>
      <x:c r="H108" s="11" t="str">
        <x:v>Revoke a disconnected collector, advance beyond the grant expiry and reconnect; viewing is blocked locally and uploads are rejected or explicitly quarantined.</x:v>
      </x:c>
    </x:row>
    <x:row r="109" ht="42" customHeight="1">
      <x:c r="A109" s="11" t="str">
        <x:v>SC-103</x:v>
      </x:c>
      <x:c r="B109" s="11" t="str">
        <x:v>FR-OFF-006</x:v>
      </x:c>
      <x:c r="C109" s="11" t="str">
        <x:v>Shared device operation</x:v>
      </x:c>
      <x:c r="D109" s="11" t="str">
        <x:v>P0</x:v>
      </x:c>
      <x:c r="E109" s="11" t="str">
        <x:v>R1</x:v>
      </x:c>
      <x:c r="F109" s="11" t="str">
        <x:v>C05</x:v>
      </x:c>
      <x:c r="G109" s="11" t="str">
        <x:v>TC-OFF-006-01 / -02</x:v>
      </x:c>
      <x:c r="H109" s="11" t="str">
        <x:v>Collector B signs in after A leaves two unsynced forms; B sees neither answers nor participant names and A's authorship remains unchanged.</x:v>
      </x:c>
    </x:row>
    <x:row r="110" ht="42" customHeight="1">
      <x:c r="A110" s="11" t="str">
        <x:v>SC-104</x:v>
      </x:c>
      <x:c r="B110" s="11" t="str">
        <x:v>FR-OFF-007</x:v>
      </x:c>
      <x:c r="C110" s="11" t="str">
        <x:v>Sync and quality supervisor view</x:v>
      </x:c>
      <x:c r="D110" s="11" t="str">
        <x:v>P1</x:v>
      </x:c>
      <x:c r="E110" s="11" t="str">
        <x:v>R1</x:v>
      </x:c>
      <x:c r="F110" s="11" t="str">
        <x:v>C05</x:v>
      </x:c>
      <x:c r="G110" s="11" t="str">
        <x:v>TC-OFF-007-01 / -02</x:v>
      </x:c>
      <x:c r="H110" s="11" t="str">
        <x:v>Disconnect a device after it reported two pending forms; the view says two at last contact and unknown current state, not a live count.</x:v>
      </x:c>
    </x:row>
    <x:row r="111" ht="42" customHeight="1">
      <x:c r="A111" s="11" t="str">
        <x:v>SC-105</x:v>
      </x:c>
      <x:c r="B111" s="11" t="str">
        <x:v>FR-OFF-008</x:v>
      </x:c>
      <x:c r="C111" s="11" t="str">
        <x:v>Constrained connectivity</x:v>
      </x:c>
      <x:c r="D111" s="11" t="str">
        <x:v>P0</x:v>
      </x:c>
      <x:c r="E111" s="11" t="str">
        <x:v>R1</x:v>
      </x:c>
      <x:c r="F111" s="11" t="str">
        <x:v>C05</x:v>
      </x:c>
      <x:c r="G111" s="11" t="str">
        <x:v>TC-OFF-008-01 / -02</x:v>
      </x:c>
      <x:c r="H111" s="11" t="str">
        <x:v>Complete a form under 1 Mbps and intermittent loss; answers persist and permitted delayed media upload does not create a false complete submission.</x:v>
      </x:c>
    </x:row>
    <x:row r="112" ht="42" customHeight="1">
      <x:c r="A112" s="11" t="str">
        <x:v>SC-106</x:v>
      </x:c>
      <x:c r="B112" s="11" t="str">
        <x:v>FR-DAT-001</x:v>
      </x:c>
      <x:c r="C112" s="11" t="str">
        <x:v>File ingestion</x:v>
      </x:c>
      <x:c r="D112" s="11" t="str">
        <x:v>P0</x:v>
      </x:c>
      <x:c r="E112" s="11" t="str">
        <x:v>R1</x:v>
      </x:c>
      <x:c r="F112" s="11" t="str">
        <x:v>C06</x:v>
      </x:c>
      <x:c r="G112" s="11" t="str">
        <x:v>TC-DAT-001-01 / -02</x:v>
      </x:c>
      <x:c r="H112" s="11" t="str">
        <x:v>Import 00123, a 20 digit ID, 03/04/2026 and a quoted comma; show each exact interpretation before commit.</x:v>
      </x:c>
    </x:row>
    <x:row r="113" ht="42" customHeight="1">
      <x:c r="A113" s="11" t="str">
        <x:v>SC-107</x:v>
      </x:c>
      <x:c r="B113" s="11" t="str">
        <x:v>FR-DAT-002</x:v>
      </x:c>
      <x:c r="C113" s="11" t="str">
        <x:v>Mapping and preview</x:v>
      </x:c>
      <x:c r="D113" s="11" t="str">
        <x:v>P0</x:v>
      </x:c>
      <x:c r="E113" s="11" t="str">
        <x:v>R1</x:v>
      </x:c>
      <x:c r="F113" s="11" t="str">
        <x:v>C06</x:v>
      </x:c>
      <x:c r="G113" s="11" t="str">
        <x:v>TC-DAT-002-01 / -02</x:v>
      </x:c>
      <x:c r="H113" s="11" t="str">
        <x:v>Reorder columns and rename one numeric field; the system preserves known bindings and pauses the unknown mapping instead of shifting values.</x:v>
      </x:c>
    </x:row>
    <x:row r="114" ht="42" customHeight="1">
      <x:c r="A114" s="11" t="str">
        <x:v>SC-108</x:v>
      </x:c>
      <x:c r="B114" s="11" t="str">
        <x:v>FR-DAT-003</x:v>
      </x:c>
      <x:c r="C114" s="11" t="str">
        <x:v>Import mode and identity</x:v>
      </x:c>
      <x:c r="D114" s="11" t="str">
        <x:v>P0</x:v>
      </x:c>
      <x:c r="E114" s="11" t="str">
        <x:v>R1</x:v>
      </x:c>
      <x:c r="F114" s="11" t="str">
        <x:v>C06</x:v>
      </x:c>
      <x:c r="G114" s="11" t="str">
        <x:v>TC-DAT-003-01 / -02</x:v>
      </x:c>
      <x:c r="H114" s="11" t="str">
        <x:v>Load a keyed file twice, then revise one row; the second run has no new achievement and the third creates one correction revision.</x:v>
      </x:c>
    </x:row>
    <x:row r="115" ht="42" customHeight="1">
      <x:c r="A115" s="11" t="str">
        <x:v>SC-109</x:v>
      </x:c>
      <x:c r="B115" s="11" t="str">
        <x:v>FR-DAT-004</x:v>
      </x:c>
      <x:c r="C115" s="11" t="str">
        <x:v>Validation and quarantine</x:v>
      </x:c>
      <x:c r="D115" s="11" t="str">
        <x:v>P0</x:v>
      </x:c>
      <x:c r="E115" s="11" t="str">
        <x:v>R1</x:v>
      </x:c>
      <x:c r="F115" s="11" t="str">
        <x:v>C06</x:v>
      </x:c>
      <x:c r="G115" s="11" t="str">
        <x:v>TC-DAT-004-01 / -02</x:v>
      </x:c>
      <x:c r="H115" s="11" t="str">
        <x:v>Load 100 rows with 90 valid, five duplicates and five invalid in partial mode; reconcile all 100 outcomes and retry only the corrected five.</x:v>
      </x:c>
    </x:row>
    <x:row r="116" ht="42" customHeight="1">
      <x:c r="A116" s="11" t="str">
        <x:v>SC-110</x:v>
      </x:c>
      <x:c r="B116" s="11" t="str">
        <x:v>FR-DAT-005</x:v>
      </x:c>
      <x:c r="C116" s="11" t="str">
        <x:v>Immutable raw source</x:v>
      </x:c>
      <x:c r="D116" s="11" t="str">
        <x:v>P0</x:v>
      </x:c>
      <x:c r="E116" s="11" t="str">
        <x:v>R1</x:v>
      </x:c>
      <x:c r="F116" s="11" t="str">
        <x:v>C06</x:v>
      </x:c>
      <x:c r="G116" s="11" t="str">
        <x:v>TC-DAT-005-01 / -02</x:v>
      </x:c>
      <x:c r="H116" s="11" t="str">
        <x:v>Correct an interpreted date and trace the result back to the unchanged raw text and the mapping version that produced each interpretation.</x:v>
      </x:c>
    </x:row>
    <x:row r="117" ht="42" customHeight="1">
      <x:c r="A117" s="11" t="str">
        <x:v>SC-111</x:v>
      </x:c>
      <x:c r="B117" s="11" t="str">
        <x:v>FR-DAT-006</x:v>
      </x:c>
      <x:c r="C117" s="11" t="str">
        <x:v>Governed transformations</x:v>
      </x:c>
      <x:c r="D117" s="11" t="str">
        <x:v>P1</x:v>
      </x:c>
      <x:c r="E117" s="11" t="str">
        <x:v>R1</x:v>
      </x:c>
      <x:c r="F117" s="11" t="str">
        <x:v>C06</x:v>
      </x:c>
      <x:c r="G117" s="11" t="str">
        <x:v>TC-DAT-006-01 / -02</x:v>
      </x:c>
      <x:c r="H117" s="11" t="str">
        <x:v>Join one participant to three visits; preview shows three output rows and distinct participant count one, preventing accidental unique reach inflation.</x:v>
      </x:c>
    </x:row>
    <x:row r="118" ht="42" customHeight="1">
      <x:c r="A118" s="11" t="str">
        <x:v>SC-112</x:v>
      </x:c>
      <x:c r="B118" s="11" t="str">
        <x:v>FR-DAT-007</x:v>
      </x:c>
      <x:c r="C118" s="11" t="str">
        <x:v>Schema drift</x:v>
      </x:c>
      <x:c r="D118" s="11" t="str">
        <x:v>P0</x:v>
      </x:c>
      <x:c r="E118" s="11" t="str">
        <x:v>R1</x:v>
      </x:c>
      <x:c r="F118" s="11" t="str">
        <x:v>C06</x:v>
      </x:c>
      <x:c r="G118" s="11" t="str">
        <x:v>TC-DAT-007-01 / -02</x:v>
      </x:c>
      <x:c r="H118" s="11" t="str">
        <x:v>Change a numerator column from decimal to free text; dependent result freshness becomes failed or stale until a reviewed mapping resolves it.</x:v>
      </x:c>
    </x:row>
    <x:row r="119" ht="42" customHeight="1">
      <x:c r="A119" s="11" t="str">
        <x:v>SC-113</x:v>
      </x:c>
      <x:c r="B119" s="11" t="str">
        <x:v>FR-DAT-008</x:v>
      </x:c>
      <x:c r="C119" s="11" t="str">
        <x:v>Data catalogue and lineage</x:v>
      </x:c>
      <x:c r="D119" s="11" t="str">
        <x:v>P1</x:v>
      </x:c>
      <x:c r="E119" s="11" t="str">
        <x:v>R1</x:v>
      </x:c>
      <x:c r="F119" s="11" t="str">
        <x:v>C06</x:v>
      </x:c>
      <x:c r="G119" s="11" t="str">
        <x:v>TC-DAT-008-01 / -02</x:v>
      </x:c>
      <x:c r="H119" s="11" t="str">
        <x:v>Select a stale dataset and identify affected authorised reports without exposing a restricted programme that also consumes the source.</x:v>
      </x:c>
    </x:row>
    <x:row r="120" ht="42" customHeight="1">
      <x:c r="A120" s="11" t="str">
        <x:v>SC-114</x:v>
      </x:c>
      <x:c r="B120" s="11" t="str">
        <x:v>FR-DAT-009</x:v>
      </x:c>
      <x:c r="C120" s="11" t="str">
        <x:v>Data editing and amendments</x:v>
      </x:c>
      <x:c r="D120" s="11" t="str">
        <x:v>P0</x:v>
      </x:c>
      <x:c r="E120" s="11" t="str">
        <x:v>R1</x:v>
      </x:c>
      <x:c r="F120" s="11" t="str">
        <x:v>C06</x:v>
      </x:c>
      <x:c r="G120" s="11" t="str">
        <x:v>TC-DAT-009-01 / -02</x:v>
      </x:c>
      <x:c r="H120" s="11" t="str">
        <x:v>Correct an approved unit from kilograms to tonnes and verify impacted indicators are recalculated under reviewed semantics, with old reports frozen.</x:v>
      </x:c>
    </x:row>
    <x:row r="121" ht="42" customHeight="1">
      <x:c r="A121" s="11" t="str">
        <x:v>SC-115</x:v>
      </x:c>
      <x:c r="B121" s="11" t="str">
        <x:v>FR-DAT-010</x:v>
      </x:c>
      <x:c r="C121" s="11" t="str">
        <x:v>Refresh scheduling and freshness</x:v>
      </x:c>
      <x:c r="D121" s="11" t="str">
        <x:v>P1</x:v>
      </x:c>
      <x:c r="E121" s="11" t="str">
        <x:v>R1</x:v>
      </x:c>
      <x:c r="F121" s="11" t="str">
        <x:v>C06</x:v>
      </x:c>
      <x:c r="G121" s="11" t="str">
        <x:v>TC-DAT-010-01 / -02</x:v>
      </x:c>
      <x:c r="H121" s="11" t="str">
        <x:v>Fetch succeeds but validation fails; source health distinguishes the two and dependent dashboards do not show a fresh approved result.</x:v>
      </x:c>
    </x:row>
    <x:row r="122" ht="42" customHeight="1">
      <x:c r="A122" s="11" t="str">
        <x:v>SC-116</x:v>
      </x:c>
      <x:c r="B122" s="11" t="str">
        <x:v>FR-DAT-011</x:v>
      </x:c>
      <x:c r="C122" s="11" t="str">
        <x:v>Data exports and portability</x:v>
      </x:c>
      <x:c r="D122" s="11" t="str">
        <x:v>P0</x:v>
      </x:c>
      <x:c r="E122" s="11" t="str">
        <x:v>R1</x:v>
      </x:c>
      <x:c r="F122" s="11" t="str">
        <x:v>C06</x:v>
      </x:c>
      <x:c r="G122" s="11" t="str">
        <x:v>TC-DAT-011-01 / -02</x:v>
      </x:c>
      <x:c r="H122" s="11" t="str">
        <x:v>Export text beginning with an equals sign and a leading-zero ID; opening the file does not execute a formula and the ID remains text.</x:v>
      </x:c>
    </x:row>
    <x:row r="123" ht="42" customHeight="1">
      <x:c r="A123" s="11" t="str">
        <x:v>SC-117</x:v>
      </x:c>
      <x:c r="B123" s="11" t="str">
        <x:v>FR-DAT-012</x:v>
      </x:c>
      <x:c r="C123" s="11" t="str">
        <x:v>Data retention and dependency review</x:v>
      </x:c>
      <x:c r="D123" s="11" t="str">
        <x:v>P0</x:v>
      </x:c>
      <x:c r="E123" s="11" t="str">
        <x:v>R1</x:v>
      </x:c>
      <x:c r="F123" s="11" t="str">
        <x:v>C06</x:v>
      </x:c>
      <x:c r="G123" s="11" t="str">
        <x:v>TC-DAT-012-01 / -02</x:v>
      </x:c>
      <x:c r="H123" s="11" t="str">
        <x:v>Delete an eligible source and verify search, AI and generated private exports cannot recover it; held evidence appears only in the authorised hold inventory.</x:v>
      </x:c>
    </x:row>
    <x:row r="124" ht="42" customHeight="1">
      <x:c r="A124" s="11" t="str">
        <x:v>SC-118</x:v>
      </x:c>
      <x:c r="B124" s="11" t="str">
        <x:v>FR-DQ-001</x:v>
      </x:c>
      <x:c r="C124" s="11" t="str">
        <x:v>Quality rule catalogue</x:v>
      </x:c>
      <x:c r="D124" s="11" t="str">
        <x:v>P0</x:v>
      </x:c>
      <x:c r="E124" s="11" t="str">
        <x:v>R1</x:v>
      </x:c>
      <x:c r="F124" s="11" t="str">
        <x:v>C06</x:v>
      </x:c>
      <x:c r="G124" s="11" t="str">
        <x:v>TC-DQ-001-01 / -02</x:v>
      </x:c>
      <x:c r="H124" s="11" t="str">
        <x:v>Activate a visit date after birth date check and inspect the failing record's exact rule version and safe field message.</x:v>
      </x:c>
    </x:row>
    <x:row r="125" ht="42" customHeight="1">
      <x:c r="A125" s="11" t="str">
        <x:v>SC-119</x:v>
      </x:c>
      <x:c r="B125" s="11" t="str">
        <x:v>FR-DQ-002</x:v>
      </x:c>
      <x:c r="C125" s="11" t="str">
        <x:v>Blocking and warning behaviour</x:v>
      </x:c>
      <x:c r="D125" s="11" t="str">
        <x:v>P0</x:v>
      </x:c>
      <x:c r="E125" s="11" t="str">
        <x:v>R1</x:v>
      </x:c>
      <x:c r="F125" s="11" t="str">
        <x:v>C06</x:v>
      </x:c>
      <x:c r="G125" s="11" t="str">
        <x:v>TC-DQ-002-01 / -02</x:v>
      </x:c>
      <x:c r="H125" s="11" t="str">
        <x:v>Attempt approval with a blocking duplicate event; it stays blocked until corrected, while a permitted warning can proceed only with its recorded exception.</x:v>
      </x:c>
    </x:row>
    <x:row r="126" ht="42" customHeight="1">
      <x:c r="A126" s="11" t="str">
        <x:v>SC-120</x:v>
      </x:c>
      <x:c r="B126" s="11" t="str">
        <x:v>FR-DQ-003</x:v>
      </x:c>
      <x:c r="C126" s="11" t="str">
        <x:v>Duplicate detection</x:v>
      </x:c>
      <x:c r="D126" s="11" t="str">
        <x:v>P0</x:v>
      </x:c>
      <x:c r="E126" s="11" t="str">
        <x:v>R1</x:v>
      </x:c>
      <x:c r="F126" s="11" t="str">
        <x:v>C06</x:v>
      </x:c>
      <x:c r="G126" s="11" t="str">
        <x:v>TC-DQ-003-01 / -02</x:v>
      </x:c>
      <x:c r="H126" s="11" t="str">
        <x:v>Two participants named Asha remain separate until reviewed evidence supports identity equivalence; a rejected match does not silently reappear as confirmed.</x:v>
      </x:c>
    </x:row>
    <x:row r="127" ht="42" customHeight="1">
      <x:c r="A127" s="11" t="str">
        <x:v>SC-121</x:v>
      </x:c>
      <x:c r="B127" s="11" t="str">
        <x:v>FR-DQ-004</x:v>
      </x:c>
      <x:c r="C127" s="11" t="str">
        <x:v>Reconciliation checks</x:v>
      </x:c>
      <x:c r="D127" s="11" t="str">
        <x:v>P0</x:v>
      </x:c>
      <x:c r="E127" s="11" t="str">
        <x:v>R1</x:v>
      </x:c>
      <x:c r="F127" s="11" t="str">
        <x:v>C06</x:v>
      </x:c>
      <x:c r="G127" s="11" t="str">
        <x:v>TC-DQ-004-01 / -02</x:v>
      </x:c>
      <x:c r="H127" s="11" t="str">
        <x:v>A total of ten with exclusive components six and four passes; two overlapping service categories six and seven are not incorrectly required to sum to ten.</x:v>
      </x:c>
    </x:row>
    <x:row r="128" ht="42" customHeight="1">
      <x:c r="A128" s="11" t="str">
        <x:v>SC-122</x:v>
      </x:c>
      <x:c r="B128" s="11" t="str">
        <x:v>FR-DQ-005</x:v>
      </x:c>
      <x:c r="C128" s="11" t="str">
        <x:v>Quality issue workflow</x:v>
      </x:c>
      <x:c r="D128" s="11" t="str">
        <x:v>P0</x:v>
      </x:c>
      <x:c r="E128" s="11" t="str">
        <x:v>R1</x:v>
      </x:c>
      <x:c r="F128" s="11" t="str">
        <x:v>C06</x:v>
      </x:c>
      <x:c r="G128" s="11" t="str">
        <x:v>TC-DQ-005-01 / -02</x:v>
      </x:c>
      <x:c r="H128" s="11" t="str">
        <x:v>Follow a malformed date from import rejection through correction and revalidation; the reporting delay and final accepted revision remain traceable.</x:v>
      </x:c>
    </x:row>
    <x:row r="129" ht="42" customHeight="1">
      <x:c r="A129" s="11" t="str">
        <x:v>SC-123</x:v>
      </x:c>
      <x:c r="B129" s="11" t="str">
        <x:v>FR-DQ-006</x:v>
      </x:c>
      <x:c r="C129" s="11" t="str">
        <x:v>Completeness and timeliness</x:v>
      </x:c>
      <x:c r="D129" s="11" t="str">
        <x:v>P0</x:v>
      </x:c>
      <x:c r="E129" s="11" t="str">
        <x:v>R1</x:v>
      </x:c>
      <x:c r="F129" s="11" t="str">
        <x:v>C06</x:v>
      </x:c>
      <x:c r="G129" s="11" t="str">
        <x:v>TC-DQ-006-01 / -02</x:v>
      </x:c>
      <x:c r="H129" s="11" t="str">
        <x:v>Retire a partner in July and verify its missing June submission remains counted while no August obligation is created.</x:v>
      </x:c>
    </x:row>
    <x:row r="130" ht="42" customHeight="1">
      <x:c r="A130" s="11" t="str">
        <x:v>SC-124</x:v>
      </x:c>
      <x:c r="B130" s="11" t="str">
        <x:v>FR-DQ-007</x:v>
      </x:c>
      <x:c r="C130" s="11" t="str">
        <x:v>Anomaly assistance</x:v>
      </x:c>
      <x:c r="D130" s="11" t="str">
        <x:v>P1</x:v>
      </x:c>
      <x:c r="E130" s="11" t="str">
        <x:v>R2</x:v>
      </x:c>
      <x:c r="F130" s="11" t="str">
        <x:v>C06</x:v>
      </x:c>
      <x:c r="G130" s="11" t="str">
        <x:v>TC-DQ-007-01 / -02</x:v>
      </x:c>
      <x:c r="H130" s="11" t="str">
        <x:v>A seasonal spike is flagged, reviewed as expected and retained unchanged; the dismissed suggestion remains distinct from a confirmed quality defect.</x:v>
      </x:c>
    </x:row>
    <x:row r="131" ht="42" customHeight="1">
      <x:c r="A131" s="11" t="str">
        <x:v>SC-125</x:v>
      </x:c>
      <x:c r="B131" s="11" t="str">
        <x:v>FR-DQ-008</x:v>
      </x:c>
      <x:c r="C131" s="11" t="str">
        <x:v>Quality disclosure</x:v>
      </x:c>
      <x:c r="D131" s="11" t="str">
        <x:v>P0</x:v>
      </x:c>
      <x:c r="E131" s="11" t="str">
        <x:v>R1</x:v>
      </x:c>
      <x:c r="F131" s="11" t="str">
        <x:v>C06</x:v>
      </x:c>
      <x:c r="G131" s="11" t="str">
        <x:v>TC-DQ-008-01 / -02</x:v>
      </x:c>
      <x:c r="H131" s="11" t="str">
        <x:v>Generate a report from three of five approved submissions; both chart and narrative export retain partial coverage and 60 percent approval completeness.</x:v>
      </x:c>
    </x:row>
    <x:row r="132" ht="42" customHeight="1">
      <x:c r="A132" s="11" t="str">
        <x:v>SC-126</x:v>
      </x:c>
      <x:c r="B132" s="11" t="str">
        <x:v>FR-PAR-001</x:v>
      </x:c>
      <x:c r="C132" s="11" t="str">
        <x:v>Optional registries</x:v>
      </x:c>
      <x:c r="D132" s="11" t="str">
        <x:v>P1</x:v>
      </x:c>
      <x:c r="E132" s="11" t="str">
        <x:v>R1</x:v>
      </x:c>
      <x:c r="F132" s="11" t="str">
        <x:v>C05</x:v>
      </x:c>
      <x:c r="G132" s="11" t="str">
        <x:v>TC-PAR-001-01 / -02</x:v>
      </x:c>
      <x:c r="H132" s="11" t="str">
        <x:v>Create an aggregate-only education programme and a participant programme; only the latter exposes the configured registry workspace.</x:v>
      </x:c>
    </x:row>
    <x:row r="133" ht="42" customHeight="1">
      <x:c r="A133" s="11" t="str">
        <x:v>SC-127</x:v>
      </x:c>
      <x:c r="B133" s="11" t="str">
        <x:v>FR-PAR-002</x:v>
      </x:c>
      <x:c r="C133" s="11" t="str">
        <x:v>Purpose limited identity</x:v>
      </x:c>
      <x:c r="D133" s="11" t="str">
        <x:v>P0</x:v>
      </x:c>
      <x:c r="E133" s="11" t="str">
        <x:v>R1</x:v>
      </x:c>
      <x:c r="F133" s="11" t="str">
        <x:v>C05</x:v>
      </x:c>
      <x:c r="G133" s="11" t="str">
        <x:v>TC-PAR-002-01 / -02</x:v>
      </x:c>
      <x:c r="H133" s="11" t="str">
        <x:v>An analyst joins two visits for one participant using a pseudonym but cannot resolve the person's name or participation in another programme.</x:v>
      </x:c>
    </x:row>
    <x:row r="134" ht="42" customHeight="1">
      <x:c r="A134" s="11" t="str">
        <x:v>SC-128</x:v>
      </x:c>
      <x:c r="B134" s="11" t="str">
        <x:v>FR-PAR-003</x:v>
      </x:c>
      <x:c r="C134" s="11" t="str">
        <x:v>Notice consent and lawful handling</x:v>
      </x:c>
      <x:c r="D134" s="11" t="str">
        <x:v>P0</x:v>
      </x:c>
      <x:c r="E134" s="11" t="str">
        <x:v>R1</x:v>
      </x:c>
      <x:c r="F134" s="11" t="str">
        <x:v>C05</x:v>
      </x:c>
      <x:c r="G134" s="11" t="str">
        <x:v>TC-PAR-003-01 / -02</x:v>
      </x:c>
      <x:c r="H134" s="11" t="str">
        <x:v>Withdraw public image permission while retaining lawful service monitoring; photo publication is blocked and eligible analytic observations remain governed by their own basis.</x:v>
      </x:c>
    </x:row>
    <x:row r="135" ht="42" customHeight="1">
      <x:c r="A135" s="11" t="str">
        <x:v>SC-129</x:v>
      </x:c>
      <x:c r="B135" s="11" t="str">
        <x:v>FR-PAR-004</x:v>
      </x:c>
      <x:c r="C135" s="11" t="str">
        <x:v>Service and participation events</x:v>
      </x:c>
      <x:c r="D135" s="11" t="str">
        <x:v>P1</x:v>
      </x:c>
      <x:c r="E135" s="11" t="str">
        <x:v>R1</x:v>
      </x:c>
      <x:c r="F135" s="11" t="str">
        <x:v>C05</x:v>
      </x:c>
      <x:c r="G135" s="11" t="str">
        <x:v>TC-PAR-004-01 / -02</x:v>
      </x:c>
      <x:c r="H135" s="11" t="str">
        <x:v>Record three distinct visits for one participant; service count is three and approved unique person count is one.</x:v>
      </x:c>
    </x:row>
    <x:row r="136" ht="42" customHeight="1">
      <x:c r="A136" s="11" t="str">
        <x:v>SC-130</x:v>
      </x:c>
      <x:c r="B136" s="11" t="str">
        <x:v>FR-PAR-005</x:v>
      </x:c>
      <x:c r="C136" s="11" t="str">
        <x:v>Household and group membership</x:v>
      </x:c>
      <x:c r="D136" s="11" t="str">
        <x:v>P1</x:v>
      </x:c>
      <x:c r="E136" s="11" t="str">
        <x:v>R2</x:v>
      </x:c>
      <x:c r="F136" s="11" t="str">
        <x:v>C05</x:v>
      </x:c>
      <x:c r="G136" s="11" t="str">
        <x:v>TC-PAR-005-01 / -02</x:v>
      </x:c>
      <x:c r="H136" s="11" t="str">
        <x:v>Move a person from household A to B on 1 June; May observations retain A and July observations resolve to B.</x:v>
      </x:c>
    </x:row>
    <x:row r="137" ht="42" customHeight="1">
      <x:c r="A137" s="11" t="str">
        <x:v>SC-131</x:v>
      </x:c>
      <x:c r="B137" s="11" t="str">
        <x:v>FR-PAR-006</x:v>
      </x:c>
      <x:c r="C137" s="11" t="str">
        <x:v>Cohorts and follow up</x:v>
      </x:c>
      <x:c r="D137" s="11" t="str">
        <x:v>P1</x:v>
      </x:c>
      <x:c r="E137" s="11" t="str">
        <x:v>R2</x:v>
      </x:c>
      <x:c r="F137" s="11" t="str">
        <x:v>C05</x:v>
      </x:c>
      <x:c r="G137" s="11" t="str">
        <x:v>TC-PAR-006-01 / -02</x:v>
      </x:c>
      <x:c r="H137" s="11" t="str">
        <x:v>Ten enrolled participants with two missing follow ups produce the declared denominator and explicit attrition, not eight automatically successful outcomes.</x:v>
      </x:c>
    </x:row>
    <x:row r="138" ht="42" customHeight="1">
      <x:c r="A138" s="11" t="str">
        <x:v>SC-132</x:v>
      </x:c>
      <x:c r="B138" s="11" t="str">
        <x:v>FR-PAR-007</x:v>
      </x:c>
      <x:c r="C138" s="11" t="str">
        <x:v>Safeguarding and vulnerable people</x:v>
      </x:c>
      <x:c r="D138" s="11" t="str">
        <x:v>P0</x:v>
      </x:c>
      <x:c r="E138" s="11" t="str">
        <x:v>R1</x:v>
      </x:c>
      <x:c r="F138" s="11" t="str">
        <x:v>C05</x:v>
      </x:c>
      <x:c r="G138" s="11" t="str">
        <x:v>TC-PAR-007-01 / -02</x:v>
      </x:c>
      <x:c r="H138" s="11" t="str">
        <x:v>An enumerator flags a concern; only the assigned safeguarding officer can open its content while the manager sees a restricted follow up status.</x:v>
      </x:c>
    </x:row>
    <x:row r="139" ht="42" customHeight="1">
      <x:c r="A139" s="11" t="str">
        <x:v>SC-133</x:v>
      </x:c>
      <x:c r="B139" s="11" t="str">
        <x:v>FR-PAR-008</x:v>
      </x:c>
      <x:c r="C139" s="11" t="str">
        <x:v>Participant requests and corrections</x:v>
      </x:c>
      <x:c r="D139" s="11" t="str">
        <x:v>P0</x:v>
      </x:c>
      <x:c r="E139" s="11" t="str">
        <x:v>R1</x:v>
      </x:c>
      <x:c r="F139" s="11" t="str">
        <x:v>C05</x:v>
      </x:c>
      <x:c r="G139" s="11" t="str">
        <x:v>TC-PAR-008-01 / -02</x:v>
      </x:c>
      <x:c r="H139" s="11" t="str">
        <x:v>Correct a wrongly linked visit and recalculate both participants' histories without retaining the erroneous private association in ordinary views.</x:v>
      </x:c>
    </x:row>
    <x:row r="140" ht="42" customHeight="1">
      <x:c r="A140" s="11" t="str">
        <x:v>SC-134</x:v>
      </x:c>
      <x:c r="B140" s="11" t="str">
        <x:v>FR-EVD-001</x:v>
      </x:c>
      <x:c r="C140" s="11" t="str">
        <x:v>Evidence repository</x:v>
      </x:c>
      <x:c r="D140" s="11" t="str">
        <x:v>P0</x:v>
      </x:c>
      <x:c r="E140" s="11" t="str">
        <x:v>R1</x:v>
      </x:c>
      <x:c r="F140" s="11" t="str">
        <x:v>C07</x:v>
      </x:c>
      <x:c r="G140" s="11" t="str">
        <x:v>TC-EVD-001-01 / -02</x:v>
      </x:c>
      <x:c r="H140" s="11" t="str">
        <x:v>Link version 1 of a survey to an achievement, upload version 2 and verify the earlier achievement still cites version 1.</x:v>
      </x:c>
    </x:row>
    <x:row r="141" ht="42" customHeight="1">
      <x:c r="A141" s="11" t="str">
        <x:v>SC-135</x:v>
      </x:c>
      <x:c r="B141" s="11" t="str">
        <x:v>FR-EVD-002</x:v>
      </x:c>
      <x:c r="C141" s="11" t="str">
        <x:v>Evidence verification and provenance</x:v>
      </x:c>
      <x:c r="D141" s="11" t="str">
        <x:v>P0</x:v>
      </x:c>
      <x:c r="E141" s="11" t="str">
        <x:v>R1</x:v>
      </x:c>
      <x:c r="F141" s="11" t="str">
        <x:v>C07</x:v>
      </x:c>
      <x:c r="G141" s="11" t="str">
        <x:v>TC-EVD-002-01 / -02</x:v>
      </x:c>
      <x:c r="H141" s="11" t="str">
        <x:v>Mark a previously verified attendance sheet disputed; affected unpublished claims require resolution while published reports enter correction review.</x:v>
      </x:c>
    </x:row>
    <x:row r="142" ht="42" customHeight="1">
      <x:c r="A142" s="11" t="str">
        <x:v>SC-136</x:v>
      </x:c>
      <x:c r="B142" s="11" t="str">
        <x:v>FR-EVD-003</x:v>
      </x:c>
      <x:c r="C142" s="11" t="str">
        <x:v>Search and knowledge retrieval</x:v>
      </x:c>
      <x:c r="D142" s="11" t="str">
        <x:v>P1</x:v>
      </x:c>
      <x:c r="E142" s="11" t="str">
        <x:v>R1</x:v>
      </x:c>
      <x:c r="F142" s="11" t="str">
        <x:v>C07</x:v>
      </x:c>
      <x:c r="G142" s="11" t="str">
        <x:v>TC-EVD-003-01 / -02</x:v>
      </x:c>
      <x:c r="H142" s="11" t="str">
        <x:v>Search a phrase present only in a restricted report; an unprivileged user receives no matching snippet, citation or revealing count.</x:v>
      </x:c>
    </x:row>
    <x:row r="143" ht="42" customHeight="1">
      <x:c r="A143" s="11" t="str">
        <x:v>SC-137</x:v>
      </x:c>
      <x:c r="B143" s="11" t="str">
        <x:v>FR-EVD-004</x:v>
      </x:c>
      <x:c r="C143" s="11" t="str">
        <x:v>Document versioning and annotations</x:v>
      </x:c>
      <x:c r="D143" s="11" t="str">
        <x:v>P1</x:v>
      </x:c>
      <x:c r="E143" s="11" t="str">
        <x:v>R1</x:v>
      </x:c>
      <x:c r="F143" s="11" t="str">
        <x:v>C07</x:v>
      </x:c>
      <x:c r="G143" s="11" t="str">
        <x:v>TC-EVD-004-01 / -02</x:v>
      </x:c>
      <x:c r="H143" s="11" t="str">
        <x:v>Replace a report where pages shift; the old published citation still resolves to the old page and a new annotation requires verified remapping.</x:v>
      </x:c>
    </x:row>
    <x:row r="144" ht="42" customHeight="1">
      <x:c r="A144" s="11" t="str">
        <x:v>SC-138</x:v>
      </x:c>
      <x:c r="B144" s="11" t="str">
        <x:v>FR-EVD-005</x:v>
      </x:c>
      <x:c r="C144" s="11" t="str">
        <x:v>Qualitative coding</x:v>
      </x:c>
      <x:c r="D144" s="11" t="str">
        <x:v>P1</x:v>
      </x:c>
      <x:c r="E144" s="11" t="str">
        <x:v>R2</x:v>
      </x:c>
      <x:c r="F144" s="11" t="str">
        <x:v>C07</x:v>
      </x:c>
      <x:c r="G144" s="11" t="str">
        <x:v>TC-EVD-005-01 / -02</x:v>
      </x:c>
      <x:c r="H144" s="11" t="str">
        <x:v>Two coders label the same transcript differently; both assignments remain and the adjudication records its rationale and codebook version.</x:v>
      </x:c>
    </x:row>
    <x:row r="145" ht="42" customHeight="1">
      <x:c r="A145" s="11" t="str">
        <x:v>SC-139</x:v>
      </x:c>
      <x:c r="B145" s="11" t="str">
        <x:v>FR-EVD-006</x:v>
      </x:c>
      <x:c r="C145" s="11" t="str">
        <x:v>Transcription and translation</x:v>
      </x:c>
      <x:c r="D145" s="11" t="str">
        <x:v>P1</x:v>
      </x:c>
      <x:c r="E145" s="11" t="str">
        <x:v>R2</x:v>
      </x:c>
      <x:c r="F145" s="11" t="str">
        <x:v>C07</x:v>
      </x:c>
      <x:c r="G145" s="11" t="str">
        <x:v>TC-EVD-006-01 / -02</x:v>
      </x:c>
      <x:c r="H145" s="11" t="str">
        <x:v>Correct a translated phrase at minute 03:12 and verify a report quotation resolves to the corrected segment and original recording.</x:v>
      </x:c>
    </x:row>
    <x:row r="146" ht="42" customHeight="1">
      <x:c r="A146" s="11" t="str">
        <x:v>SC-140</x:v>
      </x:c>
      <x:c r="B146" s="11" t="str">
        <x:v>FR-EVD-007</x:v>
      </x:c>
      <x:c r="C146" s="11" t="str">
        <x:v>Quotations and disclosure</x:v>
      </x:c>
      <x:c r="D146" s="11" t="str">
        <x:v>P0</x:v>
      </x:c>
      <x:c r="E146" s="11" t="str">
        <x:v>R1</x:v>
      </x:c>
      <x:c r="F146" s="11" t="str">
        <x:v>C07</x:v>
      </x:c>
      <x:c r="G146" s="11" t="str">
        <x:v>TC-EVD-007-01 / -02</x:v>
      </x:c>
      <x:c r="H146" s="11" t="str">
        <x:v>Export a case story with an approved quote and verify copied text, metadata and embedded files cannot reveal the redacted participant identity.</x:v>
      </x:c>
    </x:row>
    <x:row r="147" ht="42" customHeight="1">
      <x:c r="A147" s="11" t="str">
        <x:v>SC-141</x:v>
      </x:c>
      <x:c r="B147" s="11" t="str">
        <x:v>FR-EVD-008</x:v>
      </x:c>
      <x:c r="C147" s="11" t="str">
        <x:v>Findings and triangulation</x:v>
      </x:c>
      <x:c r="D147" s="11" t="str">
        <x:v>P1</x:v>
      </x:c>
      <x:c r="E147" s="11" t="str">
        <x:v>R2</x:v>
      </x:c>
      <x:c r="F147" s="11" t="str">
        <x:v>C07</x:v>
      </x:c>
      <x:c r="G147" s="11" t="str">
        <x:v>TC-EVD-008-01 / -02</x:v>
      </x:c>
      <x:c r="H147" s="11" t="str">
        <x:v>Survey evidence improves while interviews describe harm; the reviewed finding retains both sources and distinguishes observation from interpretation.</x:v>
      </x:c>
    </x:row>
    <x:row r="148" ht="42" customHeight="1">
      <x:c r="A148" s="11" t="str">
        <x:v>SC-142</x:v>
      </x:c>
      <x:c r="B148" s="11" t="str">
        <x:v>FR-EVA-001</x:v>
      </x:c>
      <x:c r="C148" s="11" t="str">
        <x:v>Evaluation registry</x:v>
      </x:c>
      <x:c r="D148" s="11" t="str">
        <x:v>P1</x:v>
      </x:c>
      <x:c r="E148" s="11" t="str">
        <x:v>R2</x:v>
      </x:c>
      <x:c r="F148" s="11" t="str">
        <x:v>C07</x:v>
      </x:c>
      <x:c r="G148" s="11" t="str">
        <x:v>TC-EVA-001-01 / -02</x:v>
      </x:c>
      <x:c r="H148" s="11" t="str">
        <x:v>Create baseline, midline and endline studies for one programme and verify each keeps its own method and observation period.</x:v>
      </x:c>
    </x:row>
    <x:row r="149" ht="42" customHeight="1">
      <x:c r="A149" s="11" t="str">
        <x:v>SC-143</x:v>
      </x:c>
      <x:c r="B149" s="11" t="str">
        <x:v>FR-EVA-002</x:v>
      </x:c>
      <x:c r="C149" s="11" t="str">
        <x:v>Sampling and methodological metadata</x:v>
      </x:c>
      <x:c r="D149" s="11" t="str">
        <x:v>P1</x:v>
      </x:c>
      <x:c r="E149" s="11" t="str">
        <x:v>R2</x:v>
      </x:c>
      <x:c r="F149" s="11" t="str">
        <x:v>C07</x:v>
      </x:c>
      <x:c r="G149" s="11" t="str">
        <x:v>TC-EVA-002-01 / -02</x:v>
      </x:c>
      <x:c r="H149" s="11" t="str">
        <x:v>Export a stratified sample with weights and nonresponse metadata and reproduce the declared eligible denominator.</x:v>
      </x:c>
    </x:row>
    <x:row r="150" ht="42" customHeight="1">
      <x:c r="A150" s="11" t="str">
        <x:v>SC-144</x:v>
      </x:c>
      <x:c r="B150" s="11" t="str">
        <x:v>FR-EVA-003</x:v>
      </x:c>
      <x:c r="C150" s="11" t="str">
        <x:v>Analysis packages</x:v>
      </x:c>
      <x:c r="D150" s="11" t="str">
        <x:v>P1</x:v>
      </x:c>
      <x:c r="E150" s="11" t="str">
        <x:v>R2</x:v>
      </x:c>
      <x:c r="F150" s="11" t="str">
        <x:v>C07</x:v>
      </x:c>
      <x:c r="G150" s="11" t="str">
        <x:v>TC-EVA-003-01 / -02</x:v>
      </x:c>
      <x:c r="H150" s="11" t="str">
        <x:v>Reproduce a submitted result using the pinned extract after live records change; the original analysis remains reconcilable.</x:v>
      </x:c>
    </x:row>
    <x:row r="151" ht="42" customHeight="1">
      <x:c r="A151" s="11" t="str">
        <x:v>SC-145</x:v>
      </x:c>
      <x:c r="B151" s="11" t="str">
        <x:v>FR-EVA-004</x:v>
      </x:c>
      <x:c r="C151" s="11" t="str">
        <x:v>Causal claims and uncertainty</x:v>
      </x:c>
      <x:c r="D151" s="11" t="str">
        <x:v>P0</x:v>
      </x:c>
      <x:c r="E151" s="11" t="str">
        <x:v>R1</x:v>
      </x:c>
      <x:c r="F151" s="11" t="str">
        <x:v>C07</x:v>
      </x:c>
      <x:c r="G151" s="11" t="str">
        <x:v>TC-EVA-004-01 / -02</x:v>
      </x:c>
      <x:c r="H151" s="11" t="str">
        <x:v>Ask why an outcome increased after launch; the response describes observed change and evidence limits unless a reviewed evaluation supports attribution.</x:v>
      </x:c>
    </x:row>
    <x:row r="152" ht="42" customHeight="1">
      <x:c r="A152" s="11" t="str">
        <x:v>SC-146</x:v>
      </x:c>
      <x:c r="B152" s="11" t="str">
        <x:v>FR-EVA-005</x:v>
      </x:c>
      <x:c r="C152" s="11" t="str">
        <x:v>Outcome harvesting and contribution</x:v>
      </x:c>
      <x:c r="D152" s="11" t="str">
        <x:v>P2</x:v>
      </x:c>
      <x:c r="E152" s="11" t="str">
        <x:v>R3</x:v>
      </x:c>
      <x:c r="F152" s="11" t="str">
        <x:v>C07</x:v>
      </x:c>
      <x:c r="G152" s="11" t="str">
        <x:v>TC-EVA-005-01 / -02</x:v>
      </x:c>
      <x:c r="H152" s="11" t="str">
        <x:v>Two organisations claim contribution to one policy change; the approved narrative identifies both and the limits of attribution.</x:v>
      </x:c>
    </x:row>
    <x:row r="153" ht="42" customHeight="1">
      <x:c r="A153" s="11" t="str">
        <x:v>SC-147</x:v>
      </x:c>
      <x:c r="B153" s="11" t="str">
        <x:v>FR-EVA-006</x:v>
      </x:c>
      <x:c r="C153" s="11" t="str">
        <x:v>Learning agenda</x:v>
      </x:c>
      <x:c r="D153" s="11" t="str">
        <x:v>P1</x:v>
      </x:c>
      <x:c r="E153" s="11" t="str">
        <x:v>R2</x:v>
      </x:c>
      <x:c r="F153" s="11" t="str">
        <x:v>C07</x:v>
      </x:c>
      <x:c r="G153" s="11" t="str">
        <x:v>TC-EVA-006-01 / -02</x:v>
      </x:c>
      <x:c r="H153" s="11" t="str">
        <x:v>Link a programme redesign decision to a learning question, three sources and one unresolved assumption requiring a follow up study.</x:v>
      </x:c>
    </x:row>
    <x:row r="154" ht="42" customHeight="1">
      <x:c r="A154" s="11" t="str">
        <x:v>SC-148</x:v>
      </x:c>
      <x:c r="B154" s="11" t="str">
        <x:v>FR-EVA-007</x:v>
      </x:c>
      <x:c r="C154" s="11" t="str">
        <x:v>Management responses and actions</x:v>
      </x:c>
      <x:c r="D154" s="11" t="str">
        <x:v>P1</x:v>
      </x:c>
      <x:c r="E154" s="11" t="str">
        <x:v>R2</x:v>
      </x:c>
      <x:c r="F154" s="11" t="str">
        <x:v>C07</x:v>
      </x:c>
      <x:c r="G154" s="11" t="str">
        <x:v>TC-EVA-007-01 / -02</x:v>
      </x:c>
      <x:c r="H154" s="11" t="str">
        <x:v>Accept a training recommendation, complete training evidence and leave outcome improvement pending until follow up measurements support it.</x:v>
      </x:c>
    </x:row>
    <x:row r="155" ht="42" customHeight="1">
      <x:c r="A155" s="11" t="str">
        <x:v>SC-149</x:v>
      </x:c>
      <x:c r="B155" s="11" t="str">
        <x:v>FR-EVA-008</x:v>
      </x:c>
      <x:c r="C155" s="11" t="str">
        <x:v>Institutional learning library</x:v>
      </x:c>
      <x:c r="D155" s="11" t="str">
        <x:v>P2</x:v>
      </x:c>
      <x:c r="E155" s="11" t="str">
        <x:v>R3</x:v>
      </x:c>
      <x:c r="F155" s="11" t="str">
        <x:v>C07</x:v>
      </x:c>
      <x:c r="G155" s="11" t="str">
        <x:v>TC-EVA-008-01 / -02</x:v>
      </x:c>
      <x:c r="H155" s="11" t="str">
        <x:v>Apply a rural implementation lesson in an urban programme and record the contextual differences while the underlying confidential transcripts remain inaccessible.</x:v>
      </x:c>
    </x:row>
    <x:row r="156" ht="42" customHeight="1">
      <x:c r="A156" s="11" t="str">
        <x:v>SC-150</x:v>
      </x:c>
      <x:c r="B156" s="11" t="str">
        <x:v>FR-WFL-001</x:v>
      </x:c>
      <x:c r="C156" s="11" t="str">
        <x:v>Configurable approvals</x:v>
      </x:c>
      <x:c r="D156" s="11" t="str">
        <x:v>P0</x:v>
      </x:c>
      <x:c r="E156" s="11" t="str">
        <x:v>R1</x:v>
      </x:c>
      <x:c r="F156" s="11" t="str">
        <x:v>C08</x:v>
      </x:c>
      <x:c r="G156" s="11" t="str">
        <x:v>TC-WFL-001-01 / -02</x:v>
      </x:c>
      <x:c r="H156" s="11" t="str">
        <x:v>Change a two-stage review while one candidate is underway; it retains its original route unless an authorised migration restarts the affected stages.</x:v>
      </x:c>
    </x:row>
    <x:row r="157" ht="42" customHeight="1">
      <x:c r="A157" s="11" t="str">
        <x:v>SC-151</x:v>
      </x:c>
      <x:c r="B157" s="11" t="str">
        <x:v>FR-WFL-002</x:v>
      </x:c>
      <x:c r="C157" s="11" t="str">
        <x:v>Reviewer independence and authority</x:v>
      </x:c>
      <x:c r="D157" s="11" t="str">
        <x:v>P0</x:v>
      </x:c>
      <x:c r="E157" s="11" t="str">
        <x:v>R1</x:v>
      </x:c>
      <x:c r="F157" s="11" t="str">
        <x:v>C08</x:v>
      </x:c>
      <x:c r="G157" s="11" t="str">
        <x:v>TC-WFL-002-01 / -02</x:v>
      </x:c>
      <x:c r="H157" s="11" t="str">
        <x:v>Change a submission after the reviewer opens it; their old approve command fails and requires fresh review.</x:v>
      </x:c>
    </x:row>
    <x:row r="158" ht="42" customHeight="1">
      <x:c r="A158" s="11" t="str">
        <x:v>SC-152</x:v>
      </x:c>
      <x:c r="B158" s="11" t="str">
        <x:v>FR-WFL-003</x:v>
      </x:c>
      <x:c r="C158" s="11" t="str">
        <x:v>Return reject and resubmit</x:v>
      </x:c>
      <x:c r="D158" s="11" t="str">
        <x:v>P0</x:v>
      </x:c>
      <x:c r="E158" s="11" t="str">
        <x:v>R1</x:v>
      </x:c>
      <x:c r="F158" s="11" t="str">
        <x:v>C08</x:v>
      </x:c>
      <x:c r="G158" s="11" t="str">
        <x:v>TC-WFL-003-01 / -02</x:v>
      </x:c>
      <x:c r="H158" s="11" t="str">
        <x:v>Complete two correction cycles and inspect distinct reasons, revisions, authors and decision times for each.</x:v>
      </x:c>
    </x:row>
    <x:row r="159" ht="42" customHeight="1">
      <x:c r="A159" s="11" t="str">
        <x:v>SC-153</x:v>
      </x:c>
      <x:c r="B159" s="11" t="str">
        <x:v>FR-WFL-004</x:v>
      </x:c>
      <x:c r="C159" s="11" t="str">
        <x:v>Delegation escalation and absence</x:v>
      </x:c>
      <x:c r="D159" s="11" t="str">
        <x:v>P1</x:v>
      </x:c>
      <x:c r="E159" s="11" t="str">
        <x:v>R1</x:v>
      </x:c>
      <x:c r="F159" s="11" t="str">
        <x:v>C08</x:v>
      </x:c>
      <x:c r="G159" s="11" t="str">
        <x:v>TC-WFL-004-01 / -02</x:v>
      </x:c>
      <x:c r="H159" s="11" t="str">
        <x:v>Remove the only assigned reviewer during close; an eligible backup is selected with attribution and the original reviewer receives no new protected task.</x:v>
      </x:c>
    </x:row>
    <x:row r="160" ht="42" customHeight="1">
      <x:c r="A160" s="11" t="str">
        <x:v>SC-154</x:v>
      </x:c>
      <x:c r="B160" s="11" t="str">
        <x:v>FR-WFL-005</x:v>
      </x:c>
      <x:c r="C160" s="11" t="str">
        <x:v>Comments mentions and discussions</x:v>
      </x:c>
      <x:c r="D160" s="11" t="str">
        <x:v>P1</x:v>
      </x:c>
      <x:c r="E160" s="11" t="str">
        <x:v>R1</x:v>
      </x:c>
      <x:c r="F160" s="11" t="str">
        <x:v>C08</x:v>
      </x:c>
      <x:c r="G160" s="11" t="str">
        <x:v>TC-WFL-005-01 / -02</x:v>
      </x:c>
      <x:c r="H160" s="11" t="str">
        <x:v>Mention an external viewer in a restricted evidence discussion; the system prevents disclosure through both the mention list and outgoing notification.</x:v>
      </x:c>
    </x:row>
    <x:row r="161" ht="42" customHeight="1">
      <x:c r="A161" s="11" t="str">
        <x:v>SC-155</x:v>
      </x:c>
      <x:c r="B161" s="11" t="str">
        <x:v>FR-WFL-006</x:v>
      </x:c>
      <x:c r="C161" s="11" t="str">
        <x:v>Task and notification centre</x:v>
      </x:c>
      <x:c r="D161" s="11" t="str">
        <x:v>P1</x:v>
      </x:c>
      <x:c r="E161" s="11" t="str">
        <x:v>R1</x:v>
      </x:c>
      <x:c r="F161" s="11" t="str">
        <x:v>C08</x:v>
      </x:c>
      <x:c r="G161" s="11" t="str">
        <x:v>TC-WFL-006-01 / -02</x:v>
      </x:c>
      <x:c r="H161" s="11" t="str">
        <x:v>Retry one overdue reminder after provider timeout; one logical notice and traceable attempts remain, with no duplicate task creation.</x:v>
      </x:c>
    </x:row>
    <x:row r="162" ht="42" customHeight="1">
      <x:c r="A162" s="11" t="str">
        <x:v>SC-156</x:v>
      </x:c>
      <x:c r="B162" s="11" t="str">
        <x:v>FR-WFL-007</x:v>
      </x:c>
      <x:c r="C162" s="11" t="str">
        <x:v>Period close and lock</x:v>
      </x:c>
      <x:c r="D162" s="11" t="str">
        <x:v>P0</x:v>
      </x:c>
      <x:c r="E162" s="11" t="str">
        <x:v>R1</x:v>
      </x:c>
      <x:c r="F162" s="11" t="str">
        <x:v>C08</x:v>
      </x:c>
      <x:c r="G162" s="11" t="str">
        <x:v>TC-WFL-007-01 / -02</x:v>
      </x:c>
      <x:c r="H162" s="11" t="str">
        <x:v>Lock a quarter with three approved mandatory obligations, then receive a late optional record; the snapshot stays fixed and current views label the new data separately.</x:v>
      </x:c>
    </x:row>
    <x:row r="163" ht="42" customHeight="1">
      <x:c r="A163" s="11" t="str">
        <x:v>SC-157</x:v>
      </x:c>
      <x:c r="B163" s="11" t="str">
        <x:v>FR-WFL-008</x:v>
      </x:c>
      <x:c r="C163" s="11" t="str">
        <x:v>Reopen and restate</x:v>
      </x:c>
      <x:c r="D163" s="11" t="str">
        <x:v>P0</x:v>
      </x:c>
      <x:c r="E163" s="11" t="str">
        <x:v>R1</x:v>
      </x:c>
      <x:c r="F163" s="11" t="str">
        <x:v>C08</x:v>
      </x:c>
      <x:c r="G163" s="11" t="str">
        <x:v>TC-WFL-008-01 / -02</x:v>
      </x:c>
      <x:c r="H163" s="11" t="str">
        <x:v>Restate Q1 and regenerate year-to-date; old Q1 remains available as superseded and the annual package points to the new approved version.</x:v>
      </x:c>
    </x:row>
    <x:row r="164" ht="42" customHeight="1">
      <x:c r="A164" s="11" t="str">
        <x:v>SC-158</x:v>
      </x:c>
      <x:c r="B164" s="11" t="str">
        <x:v>FR-WFL-009</x:v>
      </x:c>
      <x:c r="C164" s="11" t="str">
        <x:v>Automation rules</x:v>
      </x:c>
      <x:c r="D164" s="11" t="str">
        <x:v>P1</x:v>
      </x:c>
      <x:c r="E164" s="11" t="str">
        <x:v>R2</x:v>
      </x:c>
      <x:c r="F164" s="11" t="str">
        <x:v>C08</x:v>
      </x:c>
      <x:c r="G164" s="11" t="str">
        <x:v>TC-WFL-009-01 / -02</x:v>
      </x:c>
      <x:c r="H164" s="11" t="str">
        <x:v>Create an overdue reminder rule that triggers a task update; repeated events produce one task and cannot recursively create unlimited reminders.</x:v>
      </x:c>
    </x:row>
    <x:row r="165" ht="42" customHeight="1">
      <x:c r="A165" s="11" t="str">
        <x:v>SC-159</x:v>
      </x:c>
      <x:c r="B165" s="11" t="str">
        <x:v>FR-WFL-010</x:v>
      </x:c>
      <x:c r="C165" s="11" t="str">
        <x:v>Decisions and signoff</x:v>
      </x:c>
      <x:c r="D165" s="11" t="str">
        <x:v>P0</x:v>
      </x:c>
      <x:c r="E165" s="11" t="str">
        <x:v>R1</x:v>
      </x:c>
      <x:c r="F165" s="11" t="str">
        <x:v>C08</x:v>
      </x:c>
      <x:c r="G165" s="11" t="str">
        <x:v>TC-WFL-010-01 / -02</x:v>
      </x:c>
      <x:c r="H165" s="11" t="str">
        <x:v>Export the decisions for one report and identify the exact candidate approved by each reviewer without attributing a signature standard the product has not qualified.</x:v>
      </x:c>
    </x:row>
    <x:row r="166" ht="42" customHeight="1">
      <x:c r="A166" s="11" t="str">
        <x:v>SC-160</x:v>
      </x:c>
      <x:c r="B166" s="11" t="str">
        <x:v>FR-ANA-001</x:v>
      </x:c>
      <x:c r="C166" s="11" t="str">
        <x:v>Dashboard authoring</x:v>
      </x:c>
      <x:c r="D166" s="11" t="str">
        <x:v>P1</x:v>
      </x:c>
      <x:c r="E166" s="11" t="str">
        <x:v>R1</x:v>
      </x:c>
      <x:c r="F166" s="11" t="str">
        <x:v>C09</x:v>
      </x:c>
      <x:c r="G166" s="11" t="str">
        <x:v>TC-ANA-001-01 / -02</x:v>
      </x:c>
      <x:c r="H166" s="11" t="str">
        <x:v>Build a ten-widget dashboard, open it at mobile width and verify each chart has a readable labelled equivalent with identical values.</x:v>
      </x:c>
    </x:row>
    <x:row r="167" ht="42" customHeight="1">
      <x:c r="A167" s="11" t="str">
        <x:v>SC-161</x:v>
      </x:c>
      <x:c r="B167" s="11" t="str">
        <x:v>FR-ANA-002</x:v>
      </x:c>
      <x:c r="C167" s="11" t="str">
        <x:v>Filters and drill down</x:v>
      </x:c>
      <x:c r="D167" s="11" t="str">
        <x:v>P0</x:v>
      </x:c>
      <x:c r="E167" s="11" t="str">
        <x:v>R1</x:v>
      </x:c>
      <x:c r="F167" s="11" t="str">
        <x:v>C09</x:v>
      </x:c>
      <x:c r="G167" s="11" t="str">
        <x:v>TC-ANA-002-01 / -02</x:v>
      </x:c>
      <x:c r="H167" s="11" t="str">
        <x:v>Select partner A and drill to programme data; a restricted participant level remains unavailable and the summary does not leak partner B through totals.</x:v>
      </x:c>
    </x:row>
    <x:row r="168" ht="42" customHeight="1">
      <x:c r="A168" s="11" t="str">
        <x:v>SC-162</x:v>
      </x:c>
      <x:c r="B168" s="11" t="str">
        <x:v>FR-ANA-003</x:v>
      </x:c>
      <x:c r="C168" s="11" t="str">
        <x:v>Actual target and baseline views</x:v>
      </x:c>
      <x:c r="D168" s="11" t="str">
        <x:v>P0</x:v>
      </x:c>
      <x:c r="E168" s="11" t="str">
        <x:v>R1</x:v>
      </x:c>
      <x:c r="F168" s="11" t="str">
        <x:v>C09</x:v>
      </x:c>
      <x:c r="G168" s="11" t="str">
        <x:v>TC-ANA-003-01 / -02</x:v>
      </x:c>
      <x:c r="H168" s="11" t="str">
        <x:v>Display lower-is-better target ten with actual eight and show the correct status and declared deviation without an inverted success interpretation.</x:v>
      </x:c>
    </x:row>
    <x:row r="169" ht="42" customHeight="1">
      <x:c r="A169" s="11" t="str">
        <x:v>SC-163</x:v>
      </x:c>
      <x:c r="B169" s="11" t="str">
        <x:v>FR-ANA-004</x:v>
      </x:c>
      <x:c r="C169" s="11" t="str">
        <x:v>Freshness and approval context</x:v>
      </x:c>
      <x:c r="D169" s="11" t="str">
        <x:v>P0</x:v>
      </x:c>
      <x:c r="E169" s="11" t="str">
        <x:v>R1</x:v>
      </x:c>
      <x:c r="F169" s="11" t="str">
        <x:v>C09</x:v>
      </x:c>
      <x:c r="G169" s="11" t="str">
        <x:v>TC-ANA-004-01 / -02</x:v>
      </x:c>
      <x:c r="H169" s="11" t="str">
        <x:v>Fail a source refresh and export the dashboard; the exported result remains marked stale with the last valid data time.</x:v>
      </x:c>
    </x:row>
    <x:row r="170" ht="42" customHeight="1">
      <x:c r="A170" s="11" t="str">
        <x:v>SC-164</x:v>
      </x:c>
      <x:c r="B170" s="11" t="str">
        <x:v>FR-ANA-005</x:v>
      </x:c>
      <x:c r="C170" s="11" t="str">
        <x:v>Table analysis and pivots</x:v>
      </x:c>
      <x:c r="D170" s="11" t="str">
        <x:v>P1</x:v>
      </x:c>
      <x:c r="E170" s="11" t="str">
        <x:v>R2</x:v>
      </x:c>
      <x:c r="F170" s="11" t="str">
        <x:v>C09</x:v>
      </x:c>
      <x:c r="G170" s="11" t="str">
        <x:v>TC-ANA-005-01 / -02</x:v>
      </x:c>
      <x:c r="H170" s="11" t="str">
        <x:v>Pivot participants by a multiselect service type; category totals may exceed the distinct grand total, and that difference is explained.</x:v>
      </x:c>
    </x:row>
    <x:row r="171" ht="42" customHeight="1">
      <x:c r="A171" s="11" t="str">
        <x:v>SC-165</x:v>
      </x:c>
      <x:c r="B171" s="11" t="str">
        <x:v>FR-ANA-006</x:v>
      </x:c>
      <x:c r="C171" s="11" t="str">
        <x:v>Geographic analysis</x:v>
      </x:c>
      <x:c r="D171" s="11" t="str">
        <x:v>P1</x:v>
      </x:c>
      <x:c r="E171" s="11" t="str">
        <x:v>R2</x:v>
      </x:c>
      <x:c r="F171" s="11" t="str">
        <x:v>C09</x:v>
      </x:c>
      <x:c r="G171" s="11" t="str">
        <x:v>TC-ANA-006-01 / -02</x:v>
      </x:c>
      <x:c r="H171" s="11" t="str">
        <x:v>Publish a district view of vulnerable participants and inspect the permitted payload: no household coordinate is disclosed.</x:v>
      </x:c>
    </x:row>
    <x:row r="172" ht="42" customHeight="1">
      <x:c r="A172" s="11" t="str">
        <x:v>SC-166</x:v>
      </x:c>
      <x:c r="B172" s="11" t="str">
        <x:v>FR-ANA-007</x:v>
      </x:c>
      <x:c r="C172" s="11" t="str">
        <x:v>Portfolio comparison</x:v>
      </x:c>
      <x:c r="D172" s="11" t="str">
        <x:v>P1</x:v>
      </x:c>
      <x:c r="E172" s="11" t="str">
        <x:v>R1</x:v>
      </x:c>
      <x:c r="F172" s="11" t="str">
        <x:v>C09</x:v>
      </x:c>
      <x:c r="G172" s="11" t="str">
        <x:v>TC-ANA-007-01 / -02</x:v>
      </x:c>
      <x:c r="H172" s="11" t="str">
        <x:v>Compare two completion rates with different eligible populations; require reviewed comparability before presenting an unqualified league table.</x:v>
      </x:c>
    </x:row>
    <x:row r="173" ht="42" customHeight="1">
      <x:c r="A173" s="11" t="str">
        <x:v>SC-167</x:v>
      </x:c>
      <x:c r="B173" s="11" t="str">
        <x:v>FR-ANA-008</x:v>
      </x:c>
      <x:c r="C173" s="11" t="str">
        <x:v>Dashboard governance</x:v>
      </x:c>
      <x:c r="D173" s="11" t="str">
        <x:v>P0</x:v>
      </x:c>
      <x:c r="E173" s="11" t="str">
        <x:v>R1</x:v>
      </x:c>
      <x:c r="F173" s="11" t="str">
        <x:v>C09</x:v>
      </x:c>
      <x:c r="G173" s="11" t="str">
        <x:v>TC-ANA-008-01 / -02</x:v>
      </x:c>
      <x:c r="H173" s="11" t="str">
        <x:v>Copy an internal dashboard to a funder workspace; restricted widgets remain unavailable until explicitly bound to approved disclosed metrics.</x:v>
      </x:c>
    </x:row>
    <x:row r="174" ht="42" customHeight="1">
      <x:c r="A174" s="11" t="str">
        <x:v>SC-168</x:v>
      </x:c>
      <x:c r="B174" s="11" t="str">
        <x:v>FR-ANA-009</x:v>
      </x:c>
      <x:c r="C174" s="11" t="str">
        <x:v>Alerts and thresholds</x:v>
      </x:c>
      <x:c r="D174" s="11" t="str">
        <x:v>P1</x:v>
      </x:c>
      <x:c r="E174" s="11" t="str">
        <x:v>R2</x:v>
      </x:c>
      <x:c r="F174" s="11" t="str">
        <x:v>C09</x:v>
      </x:c>
      <x:c r="G174" s="11" t="str">
        <x:v>TC-ANA-009-01 / -02</x:v>
      </x:c>
      <x:c r="H174" s="11" t="str">
        <x:v>A missed monthly submission generates a missingness alert, while an approved performance decline produces a separate threshold alert.</x:v>
      </x:c>
    </x:row>
    <x:row r="175" ht="42" customHeight="1">
      <x:c r="A175" s="11" t="str">
        <x:v>SC-169</x:v>
      </x:c>
      <x:c r="B175" s="11" t="str">
        <x:v>FR-ANA-010</x:v>
      </x:c>
      <x:c r="C175" s="11" t="str">
        <x:v>External analytics access</x:v>
      </x:c>
      <x:c r="D175" s="11" t="str">
        <x:v>P1</x:v>
      </x:c>
      <x:c r="E175" s="11" t="str">
        <x:v>R2</x:v>
      </x:c>
      <x:c r="F175" s="11" t="str">
        <x:v>C09</x:v>
      </x:c>
      <x:c r="G175" s="11" t="str">
        <x:v>TC-ANA-010-01 / -02</x:v>
      </x:c>
      <x:c r="H175" s="11" t="str">
        <x:v>Revoke the BI service identity and verify subsequent refresh fails while the register identifies the last successful external extract.</x:v>
      </x:c>
    </x:row>
    <x:row r="176" ht="42" customHeight="1">
      <x:c r="A176" s="11" t="str">
        <x:v>SC-170</x:v>
      </x:c>
      <x:c r="B176" s="11" t="str">
        <x:v>FR-RPT-001</x:v>
      </x:c>
      <x:c r="C176" s="11" t="str">
        <x:v>Report template library</x:v>
      </x:c>
      <x:c r="D176" s="11" t="str">
        <x:v>P1</x:v>
      </x:c>
      <x:c r="E176" s="11" t="str">
        <x:v>R1</x:v>
      </x:c>
      <x:c r="F176" s="11" t="str">
        <x:v>C09</x:v>
      </x:c>
      <x:c r="G176" s="11" t="str">
        <x:v>TC-RPT-001-01 / -02</x:v>
      </x:c>
      <x:c r="H176" s="11" t="str">
        <x:v>Generate quarterly donor A and donor B reports from one snapshot and reconcile shared numeric fields to the same result IDs.</x:v>
      </x:c>
    </x:row>
    <x:row r="177" ht="42" customHeight="1">
      <x:c r="A177" s="11" t="str">
        <x:v>SC-171</x:v>
      </x:c>
      <x:c r="B177" s="11" t="str">
        <x:v>FR-RPT-002</x:v>
      </x:c>
      <x:c r="C177" s="11" t="str">
        <x:v>Reporting obligations</x:v>
      </x:c>
      <x:c r="D177" s="11" t="str">
        <x:v>P0</x:v>
      </x:c>
      <x:c r="E177" s="11" t="str">
        <x:v>R1</x:v>
      </x:c>
      <x:c r="F177" s="11" t="str">
        <x:v>C09</x:v>
      </x:c>
      <x:c r="G177" s="11" t="str">
        <x:v>TC-RPT-002-01 / -02</x:v>
      </x:c>
      <x:c r="H177" s="11" t="str">
        <x:v>Create quarterly and annual obligations for one project; completion of Q4 does not close the annual obligation automatically.</x:v>
      </x:c>
    </x:row>
    <x:row r="178" ht="42" customHeight="1">
      <x:c r="A178" s="11" t="str">
        <x:v>SC-172</x:v>
      </x:c>
      <x:c r="B178" s="11" t="str">
        <x:v>FR-RPT-003</x:v>
      </x:c>
      <x:c r="C178" s="11" t="str">
        <x:v>Frozen reporting packages</x:v>
      </x:c>
      <x:c r="D178" s="11" t="str">
        <x:v>P0</x:v>
      </x:c>
      <x:c r="E178" s="11" t="str">
        <x:v>R1</x:v>
      </x:c>
      <x:c r="F178" s="11" t="str">
        <x:v>C09</x:v>
      </x:c>
      <x:c r="G178" s="11" t="str">
        <x:v>TC-RPT-003-01 / -02</x:v>
      </x:c>
      <x:c r="H178" s="11" t="str">
        <x:v>Correct live source data and regenerate the old quarter; its authorised numeric content stays unchanged and the later correction is a separate report version.</x:v>
      </x:c>
    </x:row>
    <x:row r="179" ht="42" customHeight="1">
      <x:c r="A179" s="11" t="str">
        <x:v>SC-173</x:v>
      </x:c>
      <x:c r="B179" s="11" t="str">
        <x:v>FR-RPT-004</x:v>
      </x:c>
      <x:c r="C179" s="11" t="str">
        <x:v>Narrative authoring and review</x:v>
      </x:c>
      <x:c r="D179" s="11" t="str">
        <x:v>P1</x:v>
      </x:c>
      <x:c r="E179" s="11" t="str">
        <x:v>R1</x:v>
      </x:c>
      <x:c r="F179" s="11" t="str">
        <x:v>C09</x:v>
      </x:c>
      <x:c r="G179" s="11" t="str">
        <x:v>TC-RPT-004-01 / -02</x:v>
      </x:c>
      <x:c r="H179" s="11" t="str">
        <x:v>Change a narrative from 180 to 200 participants while its metric remains 180; reconciliation blocks approval until the discrepancy is resolved.</x:v>
      </x:c>
    </x:row>
    <x:row r="180" ht="42" customHeight="1">
      <x:c r="A180" s="11" t="str">
        <x:v>SC-174</x:v>
      </x:c>
      <x:c r="B180" s="11" t="str">
        <x:v>FR-RPT-005</x:v>
      </x:c>
      <x:c r="C180" s="11" t="str">
        <x:v>Accessible export formats</x:v>
      </x:c>
      <x:c r="D180" s="11" t="str">
        <x:v>P1</x:v>
      </x:c>
      <x:c r="E180" s="11" t="str">
        <x:v>R1</x:v>
      </x:c>
      <x:c r="F180" s="11" t="str">
        <x:v>C09</x:v>
      </x:c>
      <x:c r="G180" s="11" t="str">
        <x:v>TC-RPT-005-01 / -02</x:v>
      </x:c>
      <x:c r="H180" s="11" t="str">
        <x:v>Export a 50-page report with twenty charts and confirm no clipped values or missing caveats and exact agreement with the snapshot.</x:v>
      </x:c>
    </x:row>
    <x:row r="181" ht="42" customHeight="1">
      <x:c r="A181" s="11" t="str">
        <x:v>SC-175</x:v>
      </x:c>
      <x:c r="B181" s="11" t="str">
        <x:v>FR-RPT-006</x:v>
      </x:c>
      <x:c r="C181" s="11" t="str">
        <x:v>Presentation and donor format output</x:v>
      </x:c>
      <x:c r="D181" s="11" t="str">
        <x:v>P1</x:v>
      </x:c>
      <x:c r="E181" s="11" t="str">
        <x:v>R2</x:v>
      </x:c>
      <x:c r="F181" s="11" t="str">
        <x:v>C09</x:v>
      </x:c>
      <x:c r="G181" s="11" t="str">
        <x:v>TC-RPT-006-01 / -02</x:v>
      </x:c>
      <x:c r="H181" s="11" t="str">
        <x:v>Produce a presentation and structured donor submission from the same snapshot; shared result values and periods agree despite different layouts.</x:v>
      </x:c>
    </x:row>
    <x:row r="182" ht="42" customHeight="1">
      <x:c r="A182" s="11" t="str">
        <x:v>SC-176</x:v>
      </x:c>
      <x:c r="B182" s="11" t="str">
        <x:v>FR-RPT-007</x:v>
      </x:c>
      <x:c r="C182" s="11" t="str">
        <x:v>Publication control</x:v>
      </x:c>
      <x:c r="D182" s="11" t="str">
        <x:v>P0</x:v>
      </x:c>
      <x:c r="E182" s="11" t="str">
        <x:v>R1</x:v>
      </x:c>
      <x:c r="F182" s="11" t="str">
        <x:v>C09</x:v>
      </x:c>
      <x:c r="G182" s="11" t="str">
        <x:v>TC-RPT-007-01 / -02</x:v>
      </x:c>
      <x:c r="H182" s="11" t="str">
        <x:v>Guess the URL of a draft report, then publish its approved version to a funder; only the eligible funder can access the published artifact.</x:v>
      </x:c>
    </x:row>
    <x:row r="183" ht="42" customHeight="1">
      <x:c r="A183" s="11" t="str">
        <x:v>SC-177</x:v>
      </x:c>
      <x:c r="B183" s="11" t="str">
        <x:v>FR-RPT-008</x:v>
      </x:c>
      <x:c r="C183" s="11" t="str">
        <x:v>Distribution and scheduled delivery</x:v>
      </x:c>
      <x:c r="D183" s="11" t="str">
        <x:v>P0</x:v>
      </x:c>
      <x:c r="E183" s="11" t="str">
        <x:v>R1</x:v>
      </x:c>
      <x:c r="F183" s="11" t="str">
        <x:v>C09</x:v>
      </x:c>
      <x:c r="G183" s="11" t="str">
        <x:v>TC-RPT-008-01 / -02</x:v>
      </x:c>
      <x:c r="H183" s="11" t="str">
        <x:v>Remove one of three recipients after scheduling; two eligible notices send and the removed recipient receives no protected artifact.</x:v>
      </x:c>
    </x:row>
    <x:row r="184" ht="42" customHeight="1">
      <x:c r="A184" s="11" t="str">
        <x:v>SC-178</x:v>
      </x:c>
      <x:c r="B184" s="11" t="str">
        <x:v>FR-RPT-009</x:v>
      </x:c>
      <x:c r="C184" s="11" t="str">
        <x:v>Amend withdraw and supersede</x:v>
      </x:c>
      <x:c r="D184" s="11" t="str">
        <x:v>P0</x:v>
      </x:c>
      <x:c r="E184" s="11" t="str">
        <x:v>R1</x:v>
      </x:c>
      <x:c r="F184" s="11" t="str">
        <x:v>C09</x:v>
      </x:c>
      <x:c r="G184" s="11" t="str">
        <x:v>TC-RPT-009-01 / -02</x:v>
      </x:c>
      <x:c r="H184" s="11" t="str">
        <x:v>Supersede report v1 with v2 and verify old links expose only permitted supersession status while the distribution log identifies v1 recipients.</x:v>
      </x:c>
    </x:row>
    <x:row r="185" ht="42" customHeight="1">
      <x:c r="A185" s="11" t="str">
        <x:v>SC-179</x:v>
      </x:c>
      <x:c r="B185" s="11" t="str">
        <x:v>FR-RPT-010</x:v>
      </x:c>
      <x:c r="C185" s="11" t="str">
        <x:v>Reporting reconciliation</x:v>
      </x:c>
      <x:c r="D185" s="11" t="str">
        <x:v>P0</x:v>
      </x:c>
      <x:c r="E185" s="11" t="str">
        <x:v>R1</x:v>
      </x:c>
      <x:c r="F185" s="11" t="str">
        <x:v>C09</x:v>
      </x:c>
      <x:c r="G185" s="11" t="str">
        <x:v>TC-RPT-010-01 / -02</x:v>
      </x:c>
      <x:c r="H185" s="11" t="str">
        <x:v>Change one approved metric and identify every affected narrative and chart location before approving the new report candidate.</x:v>
      </x:c>
    </x:row>
    <x:row r="186" ht="42" customHeight="1">
      <x:c r="A186" s="11" t="str">
        <x:v>SC-180</x:v>
      </x:c>
      <x:c r="B186" s="11" t="str">
        <x:v>FR-RPT-011</x:v>
      </x:c>
      <x:c r="C186" s="11" t="str">
        <x:v>Transparency publication</x:v>
      </x:c>
      <x:c r="D186" s="11" t="str">
        <x:v>P1</x:v>
      </x:c>
      <x:c r="E186" s="11" t="str">
        <x:v>R2</x:v>
      </x:c>
      <x:c r="F186" s="11" t="str">
        <x:v>C09</x:v>
      </x:c>
      <x:c r="G186" s="11" t="str">
        <x:v>TC-RPT-011-01 / -02</x:v>
      </x:c>
      <x:c r="H186" s="11" t="str">
        <x:v>Validate a representative payload, fix an invalid code, approve the exact version and reconcile its external acknowledgement to the internal publication record.</x:v>
      </x:c>
    </x:row>
    <x:row r="187" ht="42" customHeight="1">
      <x:c r="A187" s="11" t="str">
        <x:v>SC-181</x:v>
      </x:c>
      <x:c r="B187" s="11" t="str">
        <x:v>FR-RPT-012</x:v>
      </x:c>
      <x:c r="C187" s="11" t="str">
        <x:v>Report evidence package</x:v>
      </x:c>
      <x:c r="D187" s="11" t="str">
        <x:v>P1</x:v>
      </x:c>
      <x:c r="E187" s="11" t="str">
        <x:v>R1</x:v>
      </x:c>
      <x:c r="F187" s="11" t="str">
        <x:v>C09</x:v>
      </x:c>
      <x:c r="G187" s="11" t="str">
        <x:v>TC-RPT-012-01 / -02</x:v>
      </x:c>
      <x:c r="H187" s="11" t="str">
        <x:v>Reconstruct a published pooled ratio from the package and identify one lawfully withheld attachment without receiving its private data.</x:v>
      </x:c>
    </x:row>
    <x:row r="188" ht="42" customHeight="1">
      <x:c r="A188" s="11" t="str">
        <x:v>SC-182</x:v>
      </x:c>
      <x:c r="B188" s="11" t="str">
        <x:v>FR-FIN-001</x:v>
      </x:c>
      <x:c r="C188" s="11" t="str">
        <x:v>Funding and grant context</x:v>
      </x:c>
      <x:c r="D188" s="11" t="str">
        <x:v>P1</x:v>
      </x:c>
      <x:c r="E188" s="11" t="str">
        <x:v>R1</x:v>
      </x:c>
      <x:c r="F188" s="11" t="str">
        <x:v>C10</x:v>
      </x:c>
      <x:c r="G188" s="11" t="str">
        <x:v>TC-FIN-001-01 / -02</x:v>
      </x:c>
      <x:c r="H188" s="11" t="str">
        <x:v>Link two donors to one project; each external user sees only their approved report view and no automatic access to the other's agreement.</x:v>
      </x:c>
    </x:row>
    <x:row r="189" ht="42" customHeight="1">
      <x:c r="A189" s="11" t="str">
        <x:v>SC-183</x:v>
      </x:c>
      <x:c r="B189" s="11" t="str">
        <x:v>FR-FIN-002</x:v>
      </x:c>
      <x:c r="C189" s="11" t="str">
        <x:v>Budget planning</x:v>
      </x:c>
      <x:c r="D189" s="11" t="str">
        <x:v>P1</x:v>
      </x:c>
      <x:c r="E189" s="11" t="str">
        <x:v>R2</x:v>
      </x:c>
      <x:c r="F189" s="11" t="str">
        <x:v>C10</x:v>
      </x:c>
      <x:c r="G189" s="11" t="str">
        <x:v>TC-FIN-002-01 / -02</x:v>
      </x:c>
      <x:c r="H189" s="11" t="str">
        <x:v>Raise an approved budget from 100 to 120; the original comparison remains available and imported actual spending stays unchanged.</x:v>
      </x:c>
    </x:row>
    <x:row r="190" ht="42" customHeight="1">
      <x:c r="A190" s="11" t="str">
        <x:v>SC-184</x:v>
      </x:c>
      <x:c r="B190" s="11" t="str">
        <x:v>FR-FIN-003</x:v>
      </x:c>
      <x:c r="C190" s="11" t="str">
        <x:v>Expenditure ingestion</x:v>
      </x:c>
      <x:c r="D190" s="11" t="str">
        <x:v>P1</x:v>
      </x:c>
      <x:c r="E190" s="11" t="str">
        <x:v>R2</x:v>
      </x:c>
      <x:c r="F190" s="11" t="str">
        <x:v>C10</x:v>
      </x:c>
      <x:c r="G190" s="11" t="str">
        <x:v>TC-FIN-003-01 / -02</x:v>
      </x:c>
      <x:c r="H190" s="11" t="str">
        <x:v>Import an amended transaction file twice and verify only the intended corrected expenditure balance contributes to analysis.</x:v>
      </x:c>
    </x:row>
    <x:row r="191" ht="42" customHeight="1">
      <x:c r="A191" s="11" t="str">
        <x:v>SC-185</x:v>
      </x:c>
      <x:c r="B191" s="11" t="str">
        <x:v>FR-FIN-004</x:v>
      </x:c>
      <x:c r="C191" s="11" t="str">
        <x:v>Currency treatment</x:v>
      </x:c>
      <x:c r="D191" s="11" t="str">
        <x:v>P0</x:v>
      </x:c>
      <x:c r="E191" s="11" t="str">
        <x:v>R1</x:v>
      </x:c>
      <x:c r="F191" s="11" t="str">
        <x:v>C10</x:v>
      </x:c>
      <x:c r="G191" s="11" t="str">
        <x:v>TC-FIN-004-01 / -02</x:v>
      </x:c>
      <x:c r="H191" s="11" t="str">
        <x:v>Convert USD 100 at 83 INR per USD to INR 8300; a later rate of 84 creates a new view while the published historical value remains 8300.</x:v>
      </x:c>
    </x:row>
    <x:row r="192" ht="42" customHeight="1">
      <x:c r="A192" s="11" t="str">
        <x:v>SC-186</x:v>
      </x:c>
      <x:c r="B192" s="11" t="str">
        <x:v>FR-FIN-005</x:v>
      </x:c>
      <x:c r="C192" s="11" t="str">
        <x:v>Variance and forecast</x:v>
      </x:c>
      <x:c r="D192" s="11" t="str">
        <x:v>P1</x:v>
      </x:c>
      <x:c r="E192" s="11" t="str">
        <x:v>R2</x:v>
      </x:c>
      <x:c r="F192" s="11" t="str">
        <x:v>C10</x:v>
      </x:c>
      <x:c r="G192" s="11" t="str">
        <x:v>TC-FIN-005-01 / -02</x:v>
      </x:c>
      <x:c r="H192" s="11" t="str">
        <x:v>Budget 100, recorded spending 60 and forecast total 110 show 40 currently unspent and a forecast overrun of ten, as separate facts.</x:v>
      </x:c>
    </x:row>
    <x:row r="193" ht="42" customHeight="1">
      <x:c r="A193" s="11" t="str">
        <x:v>SC-187</x:v>
      </x:c>
      <x:c r="B193" s="11" t="str">
        <x:v>FR-FIN-006</x:v>
      </x:c>
      <x:c r="C193" s="11" t="str">
        <x:v>Shared costs and allocations</x:v>
      </x:c>
      <x:c r="D193" s="11" t="str">
        <x:v>P1</x:v>
      </x:c>
      <x:c r="E193" s="11" t="str">
        <x:v>R2</x:v>
      </x:c>
      <x:c r="F193" s="11" t="str">
        <x:v>C10</x:v>
      </x:c>
      <x:c r="G193" s="11" t="str">
        <x:v>TC-FIN-006-01 / -02</x:v>
      </x:c>
      <x:c r="H193" s="11" t="str">
        <x:v>Allocate 100 at 60 and 40 percent; the two outputs sum to 100 and a repeated import creates no additional allocation.</x:v>
      </x:c>
    </x:row>
    <x:row r="194" ht="42" customHeight="1">
      <x:c r="A194" s="11" t="str">
        <x:v>SC-188</x:v>
      </x:c>
      <x:c r="B194" s="11" t="str">
        <x:v>FR-FIN-007</x:v>
      </x:c>
      <x:c r="C194" s="11" t="str">
        <x:v>Cost effectiveness</x:v>
      </x:c>
      <x:c r="D194" s="11" t="str">
        <x:v>P2</x:v>
      </x:c>
      <x:c r="E194" s="11" t="str">
        <x:v>R3</x:v>
      </x:c>
      <x:c r="F194" s="11" t="str">
        <x:v>C10</x:v>
      </x:c>
      <x:c r="G194" s="11" t="str">
        <x:v>TC-FIN-007-01 / -02</x:v>
      </x:c>
      <x:c r="H194" s="11" t="str">
        <x:v>Approved cost 900 over 180 unique participants produces cost per participant five, with shared-cost exclusions explicitly listed.</x:v>
      </x:c>
    </x:row>
    <x:row r="195" ht="42" customHeight="1">
      <x:c r="A195" s="11" t="str">
        <x:v>SC-189</x:v>
      </x:c>
      <x:c r="B195" s="11" t="str">
        <x:v>FR-FIN-008</x:v>
      </x:c>
      <x:c r="C195" s="11" t="str">
        <x:v>Finance permissions and audit</x:v>
      </x:c>
      <x:c r="D195" s="11" t="str">
        <x:v>P0</x:v>
      </x:c>
      <x:c r="E195" s="11" t="str">
        <x:v>R1</x:v>
      </x:c>
      <x:c r="F195" s="11" t="str">
        <x:v>C10</x:v>
      </x:c>
      <x:c r="G195" s="11" t="str">
        <x:v>TC-FIN-008-01 / -02</x:v>
      </x:c>
      <x:c r="H195" s="11" t="str">
        <x:v>A programme viewer opens a published budget total but cannot retrieve transaction rows or confidential clauses through drill down, API or export.</x:v>
      </x:c>
    </x:row>
    <x:row r="196" ht="42" customHeight="1">
      <x:c r="A196" s="11" t="str">
        <x:v>SC-190</x:v>
      </x:c>
      <x:c r="B196" s="11" t="str">
        <x:v>FR-INT-001</x:v>
      </x:c>
      <x:c r="C196" s="11" t="str">
        <x:v>Connector qualification</x:v>
      </x:c>
      <x:c r="D196" s="11" t="str">
        <x:v>P0</x:v>
      </x:c>
      <x:c r="E196" s="11" t="str">
        <x:v>R1</x:v>
      </x:c>
      <x:c r="F196" s="11" t="str">
        <x:v>C11</x:v>
      </x:c>
      <x:c r="G196" s="11" t="str">
        <x:v>TC-INT-001-01 / -02</x:v>
      </x:c>
      <x:c r="H196" s="11" t="str">
        <x:v>Exercise create, update, delete, replay and attachment cases; reconcile source and destination counts and every unsupported field in a qualification manifest.</x:v>
      </x:c>
    </x:row>
    <x:row r="197" ht="42" customHeight="1">
      <x:c r="A197" s="11" t="str">
        <x:v>SC-191</x:v>
      </x:c>
      <x:c r="B197" s="11" t="str">
        <x:v>FR-INT-002</x:v>
      </x:c>
      <x:c r="C197" s="11" t="str">
        <x:v>Connection lifecycle</x:v>
      </x:c>
      <x:c r="D197" s="11" t="str">
        <x:v>P0</x:v>
      </x:c>
      <x:c r="E197" s="11" t="str">
        <x:v>R1</x:v>
      </x:c>
      <x:c r="F197" s="11" t="str">
        <x:v>C11</x:v>
      </x:c>
      <x:c r="G197" s="11" t="str">
        <x:v>TC-INT-002-01 / -02</x:v>
      </x:c>
      <x:c r="H197" s="11" t="str">
        <x:v>Revoke upstream authorisation while a run is queued; the run reports credential unavailable and does not continue under another person's token.</x:v>
      </x:c>
    </x:row>
    <x:row r="198" ht="42" customHeight="1">
      <x:c r="A198" s="11" t="str">
        <x:v>SC-192</x:v>
      </x:c>
      <x:c r="B198" s="11" t="str">
        <x:v>FR-INT-003</x:v>
      </x:c>
      <x:c r="C198" s="11" t="str">
        <x:v>Reliable job execution</x:v>
      </x:c>
      <x:c r="D198" s="11" t="str">
        <x:v>P0</x:v>
      </x:c>
      <x:c r="E198" s="11" t="str">
        <x:v>R1</x:v>
      </x:c>
      <x:c r="F198" s="11" t="str">
        <x:v>C11</x:v>
      </x:c>
      <x:c r="G198" s="11" t="str">
        <x:v>TC-INT-003-01 / -02</x:v>
      </x:c>
      <x:c r="H198" s="11" t="str">
        <x:v>Interrupt after 60 of 100 records and resume; the first 60 are recognised and exactly 40 remaining intended effects occur.</x:v>
      </x:c>
    </x:row>
    <x:row r="199" ht="42" customHeight="1">
      <x:c r="A199" s="11" t="str">
        <x:v>SC-193</x:v>
      </x:c>
      <x:c r="B199" s="11" t="str">
        <x:v>FR-INT-004</x:v>
      </x:c>
      <x:c r="C199" s="11" t="str">
        <x:v>API completeness and consistency</x:v>
      </x:c>
      <x:c r="D199" s="11" t="str">
        <x:v>P1</x:v>
      </x:c>
      <x:c r="E199" s="11" t="str">
        <x:v>R1</x:v>
      </x:c>
      <x:c r="F199" s="11" t="str">
        <x:v>C11</x:v>
      </x:c>
      <x:c r="G199" s="11" t="str">
        <x:v>TC-INT-004-01 / -02</x:v>
      </x:c>
      <x:c r="H199" s="11" t="str">
        <x:v>Create a draft indicator through the API, submit it and attempt direct approval as its author; the same independence rule blocks it.</x:v>
      </x:c>
    </x:row>
    <x:row r="200" ht="42" customHeight="1">
      <x:c r="A200" s="11" t="str">
        <x:v>SC-194</x:v>
      </x:c>
      <x:c r="B200" s="11" t="str">
        <x:v>FR-INT-005</x:v>
      </x:c>
      <x:c r="C200" s="11" t="str">
        <x:v>API version and compatibility</x:v>
      </x:c>
      <x:c r="D200" s="11" t="str">
        <x:v>P1</x:v>
      </x:c>
      <x:c r="E200" s="11" t="str">
        <x:v>R1</x:v>
      </x:c>
      <x:c r="F200" s="11" t="str">
        <x:v>C11</x:v>
      </x:c>
      <x:c r="G200" s="11" t="str">
        <x:v>TC-INT-005-01 / -02</x:v>
      </x:c>
      <x:c r="H200" s="11" t="str">
        <x:v>Run a supported prior client against a candidate release and verify its saved queries, validation semantics and error codes still behave as documented.</x:v>
      </x:c>
    </x:row>
    <x:row r="201" ht="42" customHeight="1">
      <x:c r="A201" s="11" t="str">
        <x:v>SC-195</x:v>
      </x:c>
      <x:c r="B201" s="11" t="str">
        <x:v>FR-INT-006</x:v>
      </x:c>
      <x:c r="C201" s="11" t="str">
        <x:v>Webhook delivery</x:v>
      </x:c>
      <x:c r="D201" s="11" t="str">
        <x:v>P1</x:v>
      </x:c>
      <x:c r="E201" s="11" t="str">
        <x:v>R2</x:v>
      </x:c>
      <x:c r="F201" s="11" t="str">
        <x:v>C11</x:v>
      </x:c>
      <x:c r="G201" s="11" t="str">
        <x:v>TC-INT-006-01 / -02</x:v>
      </x:c>
      <x:c r="H201" s="11" t="str">
        <x:v>Deliver events v2 then v1 twice; a qualified consumer records one effect per event and rejects invalid authentication without downgrading resource state.</x:v>
      </x:c>
    </x:row>
    <x:row r="202" ht="42" customHeight="1">
      <x:c r="A202" s="11" t="str">
        <x:v>SC-196</x:v>
      </x:c>
      <x:c r="B202" s="11" t="str">
        <x:v>FR-INT-007</x:v>
      </x:c>
      <x:c r="C202" s="11" t="str">
        <x:v>Limits and tenant fairness</x:v>
      </x:c>
      <x:c r="D202" s="11" t="str">
        <x:v>P0</x:v>
      </x:c>
      <x:c r="E202" s="11" t="str">
        <x:v>R1</x:v>
      </x:c>
      <x:c r="F202" s="11" t="str">
        <x:v>C11</x:v>
      </x:c>
      <x:c r="G202" s="11" t="str">
        <x:v>TC-INT-007-01 / -02</x:v>
      </x:c>
      <x:c r="H202" s="11" t="str">
        <x:v>Exceed one tenant's bulk queue and verify unrelated tenants' record saves and approvals continue within their qualified targets.</x:v>
      </x:c>
    </x:row>
    <x:row r="203" ht="42" customHeight="1">
      <x:c r="A203" s="11" t="str">
        <x:v>SC-197</x:v>
      </x:c>
      <x:c r="B203" s="11" t="str">
        <x:v>FR-INT-008</x:v>
      </x:c>
      <x:c r="C203" s="11" t="str">
        <x:v>Import export standards</x:v>
      </x:c>
      <x:c r="D203" s="11" t="str">
        <x:v>P1</x:v>
      </x:c>
      <x:c r="E203" s="11" t="str">
        <x:v>R2</x:v>
      </x:c>
      <x:c r="F203" s="11" t="str">
        <x:v>C11</x:v>
      </x:c>
      <x:c r="G203" s="11" t="str">
        <x:v>TC-INT-008-01 / -02</x:v>
      </x:c>
      <x:c r="H203" s="11" t="str">
        <x:v>Round trip a multilingual record containing currency, unit and geography codes and account for every intentionally transformed field.</x:v>
      </x:c>
    </x:row>
    <x:row r="204" ht="42" customHeight="1">
      <x:c r="A204" s="11" t="str">
        <x:v>SC-198</x:v>
      </x:c>
      <x:c r="B204" s="11" t="str">
        <x:v>FR-INT-009</x:v>
      </x:c>
      <x:c r="C204" s="11" t="str">
        <x:v>Integration diagnostics</x:v>
      </x:c>
      <x:c r="D204" s="11" t="str">
        <x:v>P1</x:v>
      </x:c>
      <x:c r="E204" s="11" t="str">
        <x:v>R1</x:v>
      </x:c>
      <x:c r="F204" s="11" t="str">
        <x:v>C11</x:v>
      </x:c>
      <x:c r="G204" s="11" t="str">
        <x:v>TC-INT-009-01 / -02</x:v>
      </x:c>
      <x:c r="H204" s="11" t="str">
        <x:v>Diagnose a renamed column, publish the mapping fix and replay only the failed records while retaining the original failure manifest.</x:v>
      </x:c>
    </x:row>
    <x:row r="205" ht="42" customHeight="1">
      <x:c r="A205" s="11" t="str">
        <x:v>SC-199</x:v>
      </x:c>
      <x:c r="B205" s="11" t="str">
        <x:v>FR-INT-010</x:v>
      </x:c>
      <x:c r="C205" s="11" t="str">
        <x:v>Development and testing access</x:v>
      </x:c>
      <x:c r="D205" s="11" t="str">
        <x:v>P1</x:v>
      </x:c>
      <x:c r="E205" s="11" t="str">
        <x:v>R2</x:v>
      </x:c>
      <x:c r="F205" s="11" t="str">
        <x:v>C11</x:v>
      </x:c>
      <x:c r="G205" s="11" t="str">
        <x:v>TC-INT-010-01 / -02</x:v>
      </x:c>
      <x:c r="H205" s="11" t="str">
        <x:v>Run a connector test end to end and demonstrate its credential cannot enumerate or mutate a production project.</x:v>
      </x:c>
    </x:row>
    <x:row r="206" ht="42" customHeight="1">
      <x:c r="A206" s="11" t="str">
        <x:v>SC-200</x:v>
      </x:c>
      <x:c r="B206" s="11" t="str">
        <x:v>FR-AI-001</x:v>
      </x:c>
      <x:c r="C206" s="11" t="str">
        <x:v>Explicit enablement and policy</x:v>
      </x:c>
      <x:c r="D206" s="11" t="str">
        <x:v>P0</x:v>
      </x:c>
      <x:c r="E206" s="11" t="str">
        <x:v>R1</x:v>
      </x:c>
      <x:c r="F206" s="11" t="str">
        <x:v>C12</x:v>
      </x:c>
      <x:c r="G206" s="11" t="str">
        <x:v>TC-AI-001-01 / -02</x:v>
      </x:c>
      <x:c r="H206" s="11" t="str">
        <x:v>Disable AI for a tenant and complete programme setup, period close and report generation using deterministic and manual workflows.</x:v>
      </x:c>
    </x:row>
    <x:row r="207" ht="42" customHeight="1">
      <x:c r="A207" s="11" t="str">
        <x:v>SC-201</x:v>
      </x:c>
      <x:c r="B207" s="11" t="str">
        <x:v>FR-AI-002</x:v>
      </x:c>
      <x:c r="C207" s="11" t="str">
        <x:v>Proposal and logframe extraction</x:v>
      </x:c>
      <x:c r="D207" s="11" t="str">
        <x:v>P1</x:v>
      </x:c>
      <x:c r="E207" s="11" t="str">
        <x:v>R1</x:v>
      </x:c>
      <x:c r="F207" s="11" t="str">
        <x:v>C12</x:v>
      </x:c>
      <x:c r="G207" s="11" t="str">
        <x:v>TC-AI-002-01 / -02</x:v>
      </x:c>
      <x:c r="H207" s="11" t="str">
        <x:v>Extract a proposal with two end dates and no population; both dates and the missing field are flagged, and activation remains blocked until reviewed.</x:v>
      </x:c>
    </x:row>
    <x:row r="208" ht="42" customHeight="1">
      <x:c r="A208" s="11" t="str">
        <x:v>SC-202</x:v>
      </x:c>
      <x:c r="B208" s="11" t="str">
        <x:v>FR-AI-003</x:v>
      </x:c>
      <x:c r="C208" s="11" t="str">
        <x:v>Indicator design assistance</x:v>
      </x:c>
      <x:c r="D208" s="11" t="str">
        <x:v>P1</x:v>
      </x:c>
      <x:c r="E208" s="11" t="str">
        <x:v>R1</x:v>
      </x:c>
      <x:c r="F208" s="11" t="str">
        <x:v>C12</x:v>
      </x:c>
      <x:c r="G208" s="11" t="str">
        <x:v>TC-AI-003-01 / -02</x:v>
      </x:c>
      <x:c r="H208" s="11" t="str">
        <x:v>Suggest a completion percentage and verify the proposal requires eligible denominator, reporting period and evidence method before review submission.</x:v>
      </x:c>
    </x:row>
    <x:row r="209" ht="42" customHeight="1">
      <x:c r="A209" s="11" t="str">
        <x:v>SC-203</x:v>
      </x:c>
      <x:c r="B209" s="11" t="str">
        <x:v>FR-AI-004</x:v>
      </x:c>
      <x:c r="C209" s="11" t="str">
        <x:v>Import and cleaning assistance</x:v>
      </x:c>
      <x:c r="D209" s="11" t="str">
        <x:v>P1</x:v>
      </x:c>
      <x:c r="E209" s="11" t="str">
        <x:v>R1</x:v>
      </x:c>
      <x:c r="F209" s="11" t="str">
        <x:v>C12</x:v>
      </x:c>
      <x:c r="G209" s="11" t="str">
        <x:v>TC-AI-004-01 / -02</x:v>
      </x:c>
      <x:c r="H209" s="11" t="str">
        <x:v>Accept a date normalisation suggestion but reject a name-based participant merge; only the approved deterministic conversion is applied.</x:v>
      </x:c>
    </x:row>
    <x:row r="210" ht="42" customHeight="1">
      <x:c r="A210" s="11" t="str">
        <x:v>SC-204</x:v>
      </x:c>
      <x:c r="B210" s="11" t="str">
        <x:v>FR-AI-005</x:v>
      </x:c>
      <x:c r="C210" s="11" t="str">
        <x:v>Evidence based questions</x:v>
      </x:c>
      <x:c r="D210" s="11" t="str">
        <x:v>P1</x:v>
      </x:c>
      <x:c r="E210" s="11" t="str">
        <x:v>R1</x:v>
      </x:c>
      <x:c r="F210" s="11" t="str">
        <x:v>C12</x:v>
      </x:c>
      <x:c r="G210" s="11" t="str">
        <x:v>TC-AI-005-01 / -02</x:v>
      </x:c>
      <x:c r="H210" s="11" t="str">
        <x:v>Ask a supported programme question and an inaccessible partner question; the first cites source locations and the second reveals no hidden record detail.</x:v>
      </x:c>
    </x:row>
    <x:row r="211" ht="42" customHeight="1">
      <x:c r="A211" s="11" t="str">
        <x:v>SC-205</x:v>
      </x:c>
      <x:c r="B211" s="11" t="str">
        <x:v>FR-AI-006</x:v>
      </x:c>
      <x:c r="C211" s="11" t="str">
        <x:v>Governed numerical analysis</x:v>
      </x:c>
      <x:c r="D211" s="11" t="str">
        <x:v>P0</x:v>
      </x:c>
      <x:c r="E211" s="11" t="str">
        <x:v>R1</x:v>
      </x:c>
      <x:c r="F211" s="11" t="str">
        <x:v>C12</x:v>
      </x:c>
      <x:c r="G211" s="11" t="str">
        <x:v>TC-AI-006-01 / -02</x:v>
      </x:c>
      <x:c r="H211" s="11" t="str">
        <x:v>Ask for pooled 50/100 and 1/10; the answer presents 46.36 percent with 51/110 and the approved calculation receipt.</x:v>
      </x:c>
    </x:row>
    <x:row r="212" ht="42" customHeight="1">
      <x:c r="A212" s="11" t="str">
        <x:v>SC-206</x:v>
      </x:c>
      <x:c r="B212" s="11" t="str">
        <x:v>FR-AI-007</x:v>
      </x:c>
      <x:c r="C212" s="11" t="str">
        <x:v>Report drafting</x:v>
      </x:c>
      <x:c r="D212" s="11" t="str">
        <x:v>P1</x:v>
      </x:c>
      <x:c r="E212" s="11" t="str">
        <x:v>R1</x:v>
      </x:c>
      <x:c r="F212" s="11" t="str">
        <x:v>C12</x:v>
      </x:c>
      <x:c r="G212" s="11" t="str">
        <x:v>TC-AI-007-01 / -02</x:v>
      </x:c>
      <x:c r="H212" s="11" t="str">
        <x:v>Draft from an incomplete snapshot and confirm missing evidence stays visible while every official number matches its bound result.</x:v>
      </x:c>
    </x:row>
    <x:row r="213" ht="42" customHeight="1">
      <x:c r="A213" s="11" t="str">
        <x:v>SC-207</x:v>
      </x:c>
      <x:c r="B213" s="11" t="str">
        <x:v>FR-AI-008</x:v>
      </x:c>
      <x:c r="C213" s="11" t="str">
        <x:v>Qualitative assistance</x:v>
      </x:c>
      <x:c r="D213" s="11" t="str">
        <x:v>P1</x:v>
      </x:c>
      <x:c r="E213" s="11" t="str">
        <x:v>R2</x:v>
      </x:c>
      <x:c r="F213" s="11" t="str">
        <x:v>C12</x:v>
      </x:c>
      <x:c r="G213" s="11" t="str">
        <x:v>TC-AI-008-01 / -02</x:v>
      </x:c>
      <x:c r="H213" s="11" t="str">
        <x:v>Summarise interviews with opposing views in two languages; both perspectives remain traceable to their original excerpts.</x:v>
      </x:c>
    </x:row>
    <x:row r="214" ht="42" customHeight="1">
      <x:c r="A214" s="11" t="str">
        <x:v>SC-208</x:v>
      </x:c>
      <x:c r="B214" s="11" t="str">
        <x:v>FR-AI-009</x:v>
      </x:c>
      <x:c r="C214" s="11" t="str">
        <x:v>Proactive findings</x:v>
      </x:c>
      <x:c r="D214" s="11" t="str">
        <x:v>P1</x:v>
      </x:c>
      <x:c r="E214" s="11" t="str">
        <x:v>R2</x:v>
      </x:c>
      <x:c r="F214" s="11" t="str">
        <x:v>C12</x:v>
      </x:c>
      <x:c r="G214" s="11" t="str">
        <x:v>TC-AI-009-01 / -02</x:v>
      </x:c>
      <x:c r="H214" s="11" t="str">
        <x:v>A performance spike creates one suggested finding with context; a manager dismisses it as seasonal and no source value changes.</x:v>
      </x:c>
    </x:row>
    <x:row r="215" ht="42" customHeight="1">
      <x:c r="A215" s="11" t="str">
        <x:v>SC-209</x:v>
      </x:c>
      <x:c r="B215" s="11" t="str">
        <x:v>FR-AI-010</x:v>
      </x:c>
      <x:c r="C215" s="11" t="str">
        <x:v>Action proposal and approval</x:v>
      </x:c>
      <x:c r="D215" s="11" t="str">
        <x:v>P0</x:v>
      </x:c>
      <x:c r="E215" s="11" t="str">
        <x:v>R1</x:v>
      </x:c>
      <x:c r="F215" s="11" t="str">
        <x:v>C12</x:v>
      </x:c>
      <x:c r="G215" s="11" t="str">
        <x:v>TC-AI-010-01 / -02</x:v>
      </x:c>
      <x:c r="H215" s="11" t="str">
        <x:v>Revoke permission after proposal generation and before confirmation; execution fails without applying any stale changes.</x:v>
      </x:c>
    </x:row>
    <x:row r="216" ht="42" customHeight="1">
      <x:c r="A216" s="11" t="str">
        <x:v>SC-210</x:v>
      </x:c>
      <x:c r="B216" s="11" t="str">
        <x:v>FR-AI-011</x:v>
      </x:c>
      <x:c r="C216" s="11" t="str">
        <x:v>Input and tool isolation</x:v>
      </x:c>
      <x:c r="D216" s="11" t="str">
        <x:v>P0</x:v>
      </x:c>
      <x:c r="E216" s="11" t="str">
        <x:v>R1</x:v>
      </x:c>
      <x:c r="F216" s="11" t="str">
        <x:v>C12</x:v>
      </x:c>
      <x:c r="G216" s="11" t="str">
        <x:v>TC-AI-011-01 / -02</x:v>
      </x:c>
      <x:c r="H216" s="11" t="str">
        <x:v>Include an embedded instruction to export all records in a proposal; extraction treats it as untrusted content and performs no export.</x:v>
      </x:c>
    </x:row>
    <x:row r="217" ht="42" customHeight="1">
      <x:c r="A217" s="11" t="str">
        <x:v>SC-211</x:v>
      </x:c>
      <x:c r="B217" s="11" t="str">
        <x:v>FR-AI-012</x:v>
      </x:c>
      <x:c r="C217" s="11" t="str">
        <x:v>Model data handling</x:v>
      </x:c>
      <x:c r="D217" s="11" t="str">
        <x:v>P0</x:v>
      </x:c>
      <x:c r="E217" s="11" t="str">
        <x:v>R1</x:v>
      </x:c>
      <x:c r="F217" s="11" t="str">
        <x:v>C12</x:v>
      </x:c>
      <x:c r="G217" s="11" t="str">
        <x:v>TC-AI-012-01 / -02</x:v>
      </x:c>
      <x:c r="H217" s="11" t="str">
        <x:v>Force the primary provider offline for restricted data; no unapproved fallback receives the content and the manual workflow remains usable.</x:v>
      </x:c>
    </x:row>
    <x:row r="218" ht="42" customHeight="1">
      <x:c r="A218" s="11" t="str">
        <x:v>SC-212</x:v>
      </x:c>
      <x:c r="B218" s="11" t="str">
        <x:v>FR-AI-013</x:v>
      </x:c>
      <x:c r="C218" s="11" t="str">
        <x:v>Source access and conversation history</x:v>
      </x:c>
      <x:c r="D218" s="11" t="str">
        <x:v>P0</x:v>
      </x:c>
      <x:c r="E218" s="11" t="str">
        <x:v>R1</x:v>
      </x:c>
      <x:c r="F218" s="11" t="str">
        <x:v>C12</x:v>
      </x:c>
      <x:c r="G218" s="11" t="str">
        <x:v>TC-AI-013-01 / -02</x:v>
      </x:c>
      <x:c r="H218" s="11" t="str">
        <x:v>Revoke a source grant and request a summary of the prior conversation; the assistant cannot reveal the now restricted passages.</x:v>
      </x:c>
    </x:row>
    <x:row r="219" ht="42" customHeight="1">
      <x:c r="A219" s="11" t="str">
        <x:v>SC-213</x:v>
      </x:c>
      <x:c r="B219" s="11" t="str">
        <x:v>FR-AI-014</x:v>
      </x:c>
      <x:c r="C219" s="11" t="str">
        <x:v>Traceability and reproducibility</x:v>
      </x:c>
      <x:c r="D219" s="11" t="str">
        <x:v>P0</x:v>
      </x:c>
      <x:c r="E219" s="11" t="str">
        <x:v>R1</x:v>
      </x:c>
      <x:c r="F219" s="11" t="str">
        <x:v>C12</x:v>
      </x:c>
      <x:c r="G219" s="11" t="str">
        <x:v>TC-AI-014-01 / -02</x:v>
      </x:c>
      <x:c r="H219" s="11" t="str">
        <x:v>Audit an applied mapping suggestion and identify the evidence, model configuration, reviewer and deterministic command without requiring private chain of thought.</x:v>
      </x:c>
    </x:row>
    <x:row r="220" ht="42" customHeight="1">
      <x:c r="A220" s="11" t="str">
        <x:v>SC-214</x:v>
      </x:c>
      <x:c r="B220" s="11" t="str">
        <x:v>FR-AI-015</x:v>
      </x:c>
      <x:c r="C220" s="11" t="str">
        <x:v>Evaluation and release gates</x:v>
      </x:c>
      <x:c r="D220" s="11" t="str">
        <x:v>P0</x:v>
      </x:c>
      <x:c r="E220" s="11" t="str">
        <x:v>R1</x:v>
      </x:c>
      <x:c r="F220" s="11" t="str">
        <x:v>C12</x:v>
      </x:c>
      <x:c r="G220" s="11" t="str">
        <x:v>TC-AI-015-01 / -02</x:v>
      </x:c>
      <x:c r="H220" s="11" t="str">
        <x:v>Evaluate a candidate with higher average quality but one cross tenant leak; it cannot replace the approved configuration.</x:v>
      </x:c>
    </x:row>
    <x:row r="221" ht="42" customHeight="1">
      <x:c r="A221" s="11" t="str">
        <x:v>SC-215</x:v>
      </x:c>
      <x:c r="B221" s="11" t="str">
        <x:v>FR-AI-016</x:v>
      </x:c>
      <x:c r="C221" s="11" t="str">
        <x:v>Cost latency and fallback</x:v>
      </x:c>
      <x:c r="D221" s="11" t="str">
        <x:v>P0</x:v>
      </x:c>
      <x:c r="E221" s="11" t="str">
        <x:v>R1</x:v>
      </x:c>
      <x:c r="F221" s="11" t="str">
        <x:v>C12</x:v>
      </x:c>
      <x:c r="G221" s="11" t="str">
        <x:v>TC-AI-016-01 / -02</x:v>
      </x:c>
      <x:c r="H221" s="11" t="str">
        <x:v>Exhaust the AI budget during close; the user can still approve data, calculate results and generate a non-AI report.</x:v>
      </x:c>
    </x:row>
    <x:row r="222" ht="42" customHeight="1">
      <x:c r="A222" s="11" t="str">
        <x:v>SC-216</x:v>
      </x:c>
      <x:c r="B222" s="11" t="str">
        <x:v>FR-AI-017</x:v>
      </x:c>
      <x:c r="C222" s="11" t="str">
        <x:v>Forecasts and scenario assistance</x:v>
      </x:c>
      <x:c r="D222" s="11" t="str">
        <x:v>P2</x:v>
      </x:c>
      <x:c r="E222" s="11" t="str">
        <x:v>R3</x:v>
      </x:c>
      <x:c r="F222" s="11" t="str">
        <x:v>C12</x:v>
      </x:c>
      <x:c r="G222" s="11" t="str">
        <x:v>TC-AI-017-01 / -02</x:v>
      </x:c>
      <x:c r="H222" s="11" t="str">
        <x:v>Export actuals and a projection together and verify distinct series, horizon, uncertainty and no automatic overwrite of approved targets.</x:v>
      </x:c>
    </x:row>
    <x:row r="223" ht="42" customHeight="1">
      <x:c r="A223" s="11" t="str">
        <x:v>SC-217</x:v>
      </x:c>
      <x:c r="B223" s="11" t="str">
        <x:v>FR-AI-018</x:v>
      </x:c>
      <x:c r="C223" s="11" t="str">
        <x:v>Safety feedback and shutdown</x:v>
      </x:c>
      <x:c r="D223" s="11" t="str">
        <x:v>P0</x:v>
      </x:c>
      <x:c r="E223" s="11" t="str">
        <x:v>R1</x:v>
      </x:c>
      <x:c r="F223" s="11" t="str">
        <x:v>C12</x:v>
      </x:c>
      <x:c r="G223" s="11" t="str">
        <x:v>TC-AI-018-01 / -02</x:v>
      </x:c>
      <x:c r="H223" s="11" t="str">
        <x:v>Simulate an exposed sensitive citation, stop the use case and identify every affected saved answer while manual report workflows continue.</x:v>
      </x:c>
    </x:row>
    <x:row r="224" ht="42" customHeight="1">
      <x:c r="A224" s="11" t="str">
        <x:v>SC-218</x:v>
      </x:c>
      <x:c r="B224" s="11" t="str">
        <x:v>FR-SEC-001</x:v>
      </x:c>
      <x:c r="C224" s="11" t="str">
        <x:v>Security threat assessment</x:v>
      </x:c>
      <x:c r="D224" s="11" t="str">
        <x:v>P0</x:v>
      </x:c>
      <x:c r="E224" s="11" t="str">
        <x:v>R1</x:v>
      </x:c>
      <x:c r="F224" s="11" t="str">
        <x:v>C02</x:v>
      </x:c>
      <x:c r="G224" s="11" t="str">
        <x:v>TC-SEC-001-01 / -02</x:v>
      </x:c>
      <x:c r="H224" s="11" t="str">
        <x:v>Review a document injection leading to export and a support access escalation; identify the independent controls and verification evidence for both paths.</x:v>
      </x:c>
    </x:row>
    <x:row r="225" ht="42" customHeight="1">
      <x:c r="A225" s="11" t="str">
        <x:v>SC-219</x:v>
      </x:c>
      <x:c r="B225" s="11" t="str">
        <x:v>FR-SEC-002</x:v>
      </x:c>
      <x:c r="C225" s="11" t="str">
        <x:v>Encryption and key governance</x:v>
      </x:c>
      <x:c r="D225" s="11" t="str">
        <x:v>P0</x:v>
      </x:c>
      <x:c r="E225" s="11" t="str">
        <x:v>R1</x:v>
      </x:c>
      <x:c r="F225" s="11" t="str">
        <x:v>C02</x:v>
      </x:c>
      <x:c r="G225" s="11" t="str">
        <x:v>TC-SEC-002-01 / -02</x:v>
      </x:c>
      <x:c r="H225" s="11" t="str">
        <x:v>Rotate a test data protection key and verify approved records and backups remain accessible only through authorised paths, with no exposed key values.</x:v>
      </x:c>
    </x:row>
    <x:row r="226" ht="42" customHeight="1">
      <x:c r="A226" s="11" t="str">
        <x:v>SC-220</x:v>
      </x:c>
      <x:c r="B226" s="11" t="str">
        <x:v>FR-SEC-003</x:v>
      </x:c>
      <x:c r="C226" s="11" t="str">
        <x:v>Tenant isolation verification</x:v>
      </x:c>
      <x:c r="D226" s="11" t="str">
        <x:v>P0</x:v>
      </x:c>
      <x:c r="E226" s="11" t="str">
        <x:v>R1</x:v>
      </x:c>
      <x:c r="F226" s="11" t="str">
        <x:v>C02</x:v>
      </x:c>
      <x:c r="G226" s="11" t="str">
        <x:v>TC-SEC-003-01 / -02</x:v>
      </x:c>
      <x:c r="H226" s="11" t="str">
        <x:v>Guess another tenant's artifact, request it through a background job and ask AI for its contents; no path returns the synthetic marker.</x:v>
      </x:c>
    </x:row>
    <x:row r="227" ht="42" customHeight="1">
      <x:c r="A227" s="11" t="str">
        <x:v>SC-221</x:v>
      </x:c>
      <x:c r="B227" s="11" t="str">
        <x:v>FR-SEC-004</x:v>
      </x:c>
      <x:c r="C227" s="11" t="str">
        <x:v>Application and API protection</x:v>
      </x:c>
      <x:c r="D227" s="11" t="str">
        <x:v>P0</x:v>
      </x:c>
      <x:c r="E227" s="11" t="str">
        <x:v>R1</x:v>
      </x:c>
      <x:c r="F227" s="11" t="str">
        <x:v>C02</x:v>
      </x:c>
      <x:c r="G227" s="11" t="str">
        <x:v>TC-SEC-004-01 / -02</x:v>
      </x:c>
      <x:c r="H227" s="11" t="str">
        <x:v>Submit script-like text, a cross tenant object reference and an internal network URL; each is safely rendered or rejected at the relevant boundary.</x:v>
      </x:c>
    </x:row>
    <x:row r="228" ht="42" customHeight="1">
      <x:c r="A228" s="11" t="str">
        <x:v>SC-222</x:v>
      </x:c>
      <x:c r="B228" s="11" t="str">
        <x:v>FR-SEC-005</x:v>
      </x:c>
      <x:c r="C228" s="11" t="str">
        <x:v>File and content safety</x:v>
      </x:c>
      <x:c r="D228" s="11" t="str">
        <x:v>P0</x:v>
      </x:c>
      <x:c r="E228" s="11" t="str">
        <x:v>R1</x:v>
      </x:c>
      <x:c r="F228" s="11" t="str">
        <x:v>C02</x:v>
      </x:c>
      <x:c r="G228" s="11" t="str">
        <x:v>TC-SEC-005-01 / -02</x:v>
      </x:c>
      <x:c r="H228" s="11" t="str">
        <x:v>Upload a misleading extension, malicious document and archive expansion fixture; none reaches normal preview or satisfies mandatory evidence requirements.</x:v>
      </x:c>
    </x:row>
    <x:row r="229" ht="42" customHeight="1">
      <x:c r="A229" s="11" t="str">
        <x:v>SC-223</x:v>
      </x:c>
      <x:c r="B229" s="11" t="str">
        <x:v>FR-SEC-006</x:v>
      </x:c>
      <x:c r="C229" s="11" t="str">
        <x:v>Secrets management</x:v>
      </x:c>
      <x:c r="D229" s="11" t="str">
        <x:v>P0</x:v>
      </x:c>
      <x:c r="E229" s="11" t="str">
        <x:v>R1</x:v>
      </x:c>
      <x:c r="F229" s="11" t="str">
        <x:v>C02</x:v>
      </x:c>
      <x:c r="G229" s="11" t="str">
        <x:v>TC-SEC-006-01 / -02</x:v>
      </x:c>
      <x:c r="H229" s="11" t="str">
        <x:v>Rotate a connector credential, export its configuration and inspect permitted logs; the old credential is rejected and neither secret is present in the artifacts.</x:v>
      </x:c>
    </x:row>
    <x:row r="230" ht="42" customHeight="1">
      <x:c r="A230" s="11" t="str">
        <x:v>SC-224</x:v>
      </x:c>
      <x:c r="B230" s="11" t="str">
        <x:v>FR-SEC-007</x:v>
      </x:c>
      <x:c r="C230" s="11" t="str">
        <x:v>Tamper evident audit</x:v>
      </x:c>
      <x:c r="D230" s="11" t="str">
        <x:v>P0</x:v>
      </x:c>
      <x:c r="E230" s="11" t="str">
        <x:v>R1</x:v>
      </x:c>
      <x:c r="F230" s="11" t="str">
        <x:v>C02</x:v>
      </x:c>
      <x:c r="G230" s="11" t="str">
        <x:v>TC-SEC-007-01 / -02</x:v>
      </x:c>
      <x:c r="H230" s="11" t="str">
        <x:v>Attempt to change an approval event through ordinary administration; it fails, and the attempt plus original decision remain attributable.</x:v>
      </x:c>
    </x:row>
    <x:row r="231" ht="42" customHeight="1">
      <x:c r="A231" s="11" t="str">
        <x:v>SC-225</x:v>
      </x:c>
      <x:c r="B231" s="11" t="str">
        <x:v>FR-SEC-008</x:v>
      </x:c>
      <x:c r="C231" s="11" t="str">
        <x:v>Secure engineering lifecycle</x:v>
      </x:c>
      <x:c r="D231" s="11" t="str">
        <x:v>P0</x:v>
      </x:c>
      <x:c r="E231" s="11" t="str">
        <x:v>R1</x:v>
      </x:c>
      <x:c r="F231" s="11" t="str">
        <x:v>C02</x:v>
      </x:c>
      <x:c r="G231" s="11" t="str">
        <x:v>TC-SEC-008-01 / -02</x:v>
      </x:c>
      <x:c r="H231" s="11" t="str">
        <x:v>Select a production version and trace a changed export rule to its FSD parent, reviewed change, negative tests and release approval.</x:v>
      </x:c>
    </x:row>
    <x:row r="232" ht="42" customHeight="1">
      <x:c r="A232" s="11" t="str">
        <x:v>SC-226</x:v>
      </x:c>
      <x:c r="B232" s="11" t="str">
        <x:v>FR-SEC-009</x:v>
      </x:c>
      <x:c r="C232" s="11" t="str">
        <x:v>Vulnerability management</x:v>
      </x:c>
      <x:c r="D232" s="11" t="str">
        <x:v>P0</x:v>
      </x:c>
      <x:c r="E232" s="11" t="str">
        <x:v>R1</x:v>
      </x:c>
      <x:c r="F232" s="11" t="str">
        <x:v>C02</x:v>
      </x:c>
      <x:c r="G232" s="11" t="str">
        <x:v>TC-SEC-009-01 / -02</x:v>
      </x:c>
      <x:c r="H232" s="11" t="str">
        <x:v>Simulate a credential exposure and record report, acknowledgement, containment, rotation, fix and retest times against the applicable targets.</x:v>
      </x:c>
    </x:row>
    <x:row r="233" ht="42" customHeight="1">
      <x:c r="A233" s="11" t="str">
        <x:v>SC-227</x:v>
      </x:c>
      <x:c r="B233" s="11" t="str">
        <x:v>FR-SEC-010</x:v>
      </x:c>
      <x:c r="C233" s="11" t="str">
        <x:v>Independent assurance</x:v>
      </x:c>
      <x:c r="D233" s="11" t="str">
        <x:v>P0</x:v>
      </x:c>
      <x:c r="E233" s="11" t="str">
        <x:v>R1</x:v>
      </x:c>
      <x:c r="F233" s="11" t="str">
        <x:v>C02</x:v>
      </x:c>
      <x:c r="G233" s="11" t="str">
        <x:v>TC-SEC-010-01 / -02</x:v>
      </x:c>
      <x:c r="H233" s="11" t="str">
        <x:v>Attempt release with an unretired high object-authorisation finding; the gate remains blocked until independently retested mitigation is recorded.</x:v>
      </x:c>
    </x:row>
    <x:row r="234" ht="42" customHeight="1">
      <x:c r="A234" s="11" t="str">
        <x:v>SC-228</x:v>
      </x:c>
      <x:c r="B234" s="11" t="str">
        <x:v>FR-SEC-011</x:v>
      </x:c>
      <x:c r="C234" s="11" t="str">
        <x:v>Detection and incident response</x:v>
      </x:c>
      <x:c r="D234" s="11" t="str">
        <x:v>P0</x:v>
      </x:c>
      <x:c r="E234" s="11" t="str">
        <x:v>R1</x:v>
      </x:c>
      <x:c r="F234" s="11" t="str">
        <x:v>C02</x:v>
      </x:c>
      <x:c r="G234" s="11" t="str">
        <x:v>TC-SEC-011-01 / -02</x:v>
      </x:c>
      <x:c r="H234" s="11" t="str">
        <x:v>A simulated compromised service identity triggers detection and revocation; the incident identifies affected jobs and potential disclosures without exposing payloads in general alerts.</x:v>
      </x:c>
    </x:row>
    <x:row r="235" ht="42" customHeight="1">
      <x:c r="A235" s="11" t="str">
        <x:v>SC-229</x:v>
      </x:c>
      <x:c r="B235" s="11" t="str">
        <x:v>FR-SEC-012</x:v>
      </x:c>
      <x:c r="C235" s="11" t="str">
        <x:v>Environment separation</x:v>
      </x:c>
      <x:c r="D235" s="11" t="str">
        <x:v>P0</x:v>
      </x:c>
      <x:c r="E235" s="11" t="str">
        <x:v>R1</x:v>
      </x:c>
      <x:c r="F235" s="11" t="str">
        <x:v>C02</x:v>
      </x:c>
      <x:c r="G235" s="11" t="str">
        <x:v>TC-SEC-012-01 / -02</x:v>
      </x:c>
      <x:c r="H235" s="11" t="str">
        <x:v>Use a test credential against production and attempt to activate copied report schedules in a sandbox; both are prevented.</x:v>
      </x:c>
    </x:row>
    <x:row r="236" ht="42" customHeight="1">
      <x:c r="A236" s="11" t="str">
        <x:v>SC-230</x:v>
      </x:c>
      <x:c r="B236" s="11" t="str">
        <x:v>FR-SEC-013</x:v>
      </x:c>
      <x:c r="C236" s="11" t="str">
        <x:v>Privileged operations</x:v>
      </x:c>
      <x:c r="D236" s="11" t="str">
        <x:v>P0</x:v>
      </x:c>
      <x:c r="E236" s="11" t="str">
        <x:v>R1</x:v>
      </x:c>
      <x:c r="F236" s="11" t="str">
        <x:v>C02</x:v>
      </x:c>
      <x:c r="G236" s="11" t="str">
        <x:v>TC-SEC-013-01 / -02</x:v>
      </x:c>
      <x:c r="H236" s="11" t="str">
        <x:v>Elevate an operator for recovery diagnostics, expire the grant and verify further reads and queued sensitive operations are denied.</x:v>
      </x:c>
    </x:row>
    <x:row r="237" ht="42" customHeight="1">
      <x:c r="A237" s="11" t="str">
        <x:v>SC-231</x:v>
      </x:c>
      <x:c r="B237" s="11" t="str">
        <x:v>FR-SEC-014</x:v>
      </x:c>
      <x:c r="C237" s="11" t="str">
        <x:v>Resilience to abusive traffic</x:v>
      </x:c>
      <x:c r="D237" s="11" t="str">
        <x:v>P0</x:v>
      </x:c>
      <x:c r="E237" s="11" t="str">
        <x:v>R1</x:v>
      </x:c>
      <x:c r="F237" s="11" t="str">
        <x:v>C02</x:v>
      </x:c>
      <x:c r="G237" s="11" t="str">
        <x:v>TC-SEC-014-01 / -02</x:v>
      </x:c>
      <x:c r="H237" s="11" t="str">
        <x:v>Apply a burst to one public form and verify bounded rejection there while other tenants continue collecting and approving records.</x:v>
      </x:c>
    </x:row>
    <x:row r="238" ht="42" customHeight="1">
      <x:c r="A238" s="11" t="str">
        <x:v>SC-232</x:v>
      </x:c>
      <x:c r="B238" s="11" t="str">
        <x:v>FR-SEC-015</x:v>
      </x:c>
      <x:c r="C238" s="11" t="str">
        <x:v>Enterprise assurance options</x:v>
      </x:c>
      <x:c r="D238" s="11" t="str">
        <x:v>P2</x:v>
      </x:c>
      <x:c r="E238" s="11" t="str">
        <x:v>R3</x:v>
      </x:c>
      <x:c r="F238" s="11" t="str">
        <x:v>C02</x:v>
      </x:c>
      <x:c r="G238" s="11" t="str">
        <x:v>TC-SEC-015-01 / -02</x:v>
      </x:c>
      <x:c r="H238" s="11" t="str">
        <x:v>Qualify one dedicated profile, lose its customer controlled key and verify the documented unavailable and recovery behaviour without silently moving data elsewhere.</x:v>
      </x:c>
    </x:row>
    <x:row r="239" ht="42" customHeight="1">
      <x:c r="A239" s="11" t="str">
        <x:v>SC-233</x:v>
      </x:c>
      <x:c r="B239" s="11" t="str">
        <x:v>FR-PRV-001</x:v>
      </x:c>
      <x:c r="C239" s="11" t="str">
        <x:v>Data inventory and classification</x:v>
      </x:c>
      <x:c r="D239" s="11" t="str">
        <x:v>P0</x:v>
      </x:c>
      <x:c r="E239" s="11" t="str">
        <x:v>R1</x:v>
      </x:c>
      <x:c r="F239" s="11" t="str">
        <x:v>C13</x:v>
      </x:c>
      <x:c r="G239" s="11" t="str">
        <x:v>TC-PRV-001-01 / -02</x:v>
      </x:c>
      <x:c r="H239" s="11" t="str">
        <x:v>Add a restricted participant field and verify its values are absent from ordinary logs, analyst views, exports and unapproved model inputs.</x:v>
      </x:c>
    </x:row>
    <x:row r="240" ht="42" customHeight="1">
      <x:c r="A240" s="11" t="str">
        <x:v>SC-234</x:v>
      </x:c>
      <x:c r="B240" s="11" t="str">
        <x:v>FR-PRV-002</x:v>
      </x:c>
      <x:c r="C240" s="11" t="str">
        <x:v>Minimisation and purpose controls</x:v>
      </x:c>
      <x:c r="D240" s="11" t="str">
        <x:v>P0</x:v>
      </x:c>
      <x:c r="E240" s="11" t="str">
        <x:v>R1</x:v>
      </x:c>
      <x:c r="F240" s="11" t="str">
        <x:v>C13</x:v>
      </x:c>
      <x:c r="G240" s="11" t="str">
        <x:v>TC-PRV-002-01 / -02</x:v>
      </x:c>
      <x:c r="H240" s="11" t="str">
        <x:v>Attempt to send service delivery identities for shared model training under a monitoring purpose; policy denies the transfer before transmission.</x:v>
      </x:c>
    </x:row>
    <x:row r="241" ht="42" customHeight="1">
      <x:c r="A241" s="11" t="str">
        <x:v>SC-235</x:v>
      </x:c>
      <x:c r="B241" s="11" t="str">
        <x:v>FR-PRV-003</x:v>
      </x:c>
      <x:c r="C241" s="11" t="str">
        <x:v>Hosting and transfer policy</x:v>
      </x:c>
      <x:c r="D241" s="11" t="str">
        <x:v>P0</x:v>
      </x:c>
      <x:c r="E241" s="11" t="str">
        <x:v>R1</x:v>
      </x:c>
      <x:c r="F241" s="11" t="str">
        <x:v>C13</x:v>
      </x:c>
      <x:c r="G241" s="11" t="str">
        <x:v>TC-PRV-003-01 / -02</x:v>
      </x:c>
      <x:c r="H241" s="11" t="str">
        <x:v>Fail the primary region and request recovery in a prohibited region; recovery is blocked and the incident records the approved alternative or continued outage.</x:v>
      </x:c>
    </x:row>
    <x:row r="242" ht="42" customHeight="1">
      <x:c r="A242" s="11" t="str">
        <x:v>SC-236</x:v>
      </x:c>
      <x:c r="B242" s="11" t="str">
        <x:v>FR-PRV-004</x:v>
      </x:c>
      <x:c r="C242" s="11" t="str">
        <x:v>Retention schedules</x:v>
      </x:c>
      <x:c r="D242" s="11" t="str">
        <x:v>P0</x:v>
      </x:c>
      <x:c r="E242" s="11" t="str">
        <x:v>R1</x:v>
      </x:c>
      <x:c r="F242" s="11" t="str">
        <x:v>C13</x:v>
      </x:c>
      <x:c r="G242" s="11" t="str">
        <x:v>TC-PRV-004-01 / -02</x:v>
      </x:c>
      <x:c r="H242" s="11" t="str">
        <x:v>Configure 90 day diagnostic logs and a separate approved evidence term; each expires through its own schedule with accountable exceptions.</x:v>
      </x:c>
    </x:row>
    <x:row r="243" ht="42" customHeight="1">
      <x:c r="A243" s="11" t="str">
        <x:v>SC-237</x:v>
      </x:c>
      <x:c r="B243" s="11" t="str">
        <x:v>FR-PRV-005</x:v>
      </x:c>
      <x:c r="C243" s="11" t="str">
        <x:v>Deletion restriction and holds</x:v>
      </x:c>
      <x:c r="D243" s="11" t="str">
        <x:v>P0</x:v>
      </x:c>
      <x:c r="E243" s="11" t="str">
        <x:v>R1</x:v>
      </x:c>
      <x:c r="F243" s="11" t="str">
        <x:v>C13</x:v>
      </x:c>
      <x:c r="G243" s="11" t="str">
        <x:v>TC-PRV-005-01 / -02</x:v>
      </x:c>
      <x:c r="H243" s="11" t="str">
        <x:v>Delete a participant record with one held attachment; active data disappears within the target and the case explicitly reports the held item and review date.</x:v>
      </x:c>
    </x:row>
    <x:row r="244" ht="42" customHeight="1">
      <x:c r="A244" s="11" t="str">
        <x:v>SC-238</x:v>
      </x:c>
      <x:c r="B244" s="11" t="str">
        <x:v>FR-PRV-006</x:v>
      </x:c>
      <x:c r="C244" s="11" t="str">
        <x:v>Backup deletion handling</x:v>
      </x:c>
      <x:c r="D244" s="11" t="str">
        <x:v>P0</x:v>
      </x:c>
      <x:c r="E244" s="11" t="str">
        <x:v>R1</x:v>
      </x:c>
      <x:c r="F244" s="11" t="str">
        <x:v>C13</x:v>
      </x:c>
      <x:c r="G244" s="11" t="str">
        <x:v>TC-PRV-006-01 / -02</x:v>
      </x:c>
      <x:c r="H244" s="11" t="str">
        <x:v>Restore a backup from before a deletion and verify the participant is still unavailable before any user or AI query is admitted.</x:v>
      </x:c>
    </x:row>
    <x:row r="245" ht="42" customHeight="1">
      <x:c r="A245" s="11" t="str">
        <x:v>SC-239</x:v>
      </x:c>
      <x:c r="B245" s="11" t="str">
        <x:v>FR-PRV-007</x:v>
      </x:c>
      <x:c r="C245" s="11" t="str">
        <x:v>Data subject request handling</x:v>
      </x:c>
      <x:c r="D245" s="11" t="str">
        <x:v>P0</x:v>
      </x:c>
      <x:c r="E245" s="11" t="str">
        <x:v>R1</x:v>
      </x:c>
      <x:c r="F245" s="11" t="str">
        <x:v>C13</x:v>
      </x:c>
      <x:c r="G245" s="11" t="str">
        <x:v>TC-PRV-007-01 / -02</x:v>
      </x:c>
      <x:c r="H245" s="11" t="str">
        <x:v>Process one household member's access request and deliver only their permitted information, excluding another member's confidential answers.</x:v>
      </x:c>
    </x:row>
    <x:row r="246" ht="42" customHeight="1">
      <x:c r="A246" s="11" t="str">
        <x:v>SC-240</x:v>
      </x:c>
      <x:c r="B246" s="11" t="str">
        <x:v>FR-PRV-008</x:v>
      </x:c>
      <x:c r="C246" s="11" t="str">
        <x:v>Sharing register and agreements</x:v>
      </x:c>
      <x:c r="D246" s="11" t="str">
        <x:v>P1</x:v>
      </x:c>
      <x:c r="E246" s="11" t="str">
        <x:v>R1</x:v>
      </x:c>
      <x:c r="F246" s="11" t="str">
        <x:v>C13</x:v>
      </x:c>
      <x:c r="G246" s="11" t="str">
        <x:v>TC-PRV-008-01 / -02</x:v>
      </x:c>
      <x:c r="H246" s="11" t="str">
        <x:v>Correct a shared dataset and identify its two partner disclosures, revoke live access where required and record each correction notice outcome.</x:v>
      </x:c>
    </x:row>
    <x:row r="247" ht="42" customHeight="1">
      <x:c r="A247" s="11" t="str">
        <x:v>SC-241</x:v>
      </x:c>
      <x:c r="B247" s="11" t="str">
        <x:v>FR-PRV-009</x:v>
      </x:c>
      <x:c r="C247" s="11" t="str">
        <x:v>Privacy review and country policy</x:v>
      </x:c>
      <x:c r="D247" s="11" t="str">
        <x:v>P0</x:v>
      </x:c>
      <x:c r="E247" s="11" t="str">
        <x:v>R1</x:v>
      </x:c>
      <x:c r="F247" s="11" t="str">
        <x:v>C13</x:v>
      </x:c>
      <x:c r="G247" s="11" t="str">
        <x:v>TC-PRV-009-01 / -02</x:v>
      </x:c>
      <x:c r="H247" s="11" t="str">
        <x:v>Enable a children's location programme without a guardian or safe-contact decision; the use case stays inactive until approved policy is supplied.</x:v>
      </x:c>
    </x:row>
    <x:row r="248" ht="42" customHeight="1">
      <x:c r="A248" s="11" t="str">
        <x:v>SC-242</x:v>
      </x:c>
      <x:c r="B248" s="11" t="str">
        <x:v>FR-PRV-010</x:v>
      </x:c>
      <x:c r="C248" s="11" t="str">
        <x:v>Telemetry and analytics privacy</x:v>
      </x:c>
      <x:c r="D248" s="11" t="str">
        <x:v>P0</x:v>
      </x:c>
      <x:c r="E248" s="11" t="str">
        <x:v>R1</x:v>
      </x:c>
      <x:c r="F248" s="11" t="str">
        <x:v>C13</x:v>
      </x:c>
      <x:c r="G248" s="11" t="str">
        <x:v>TC-PRV-010-01 / -02</x:v>
      </x:c>
      <x:c r="H248" s="11" t="str">
        <x:v>Trigger import and AI failures containing synthetic personal markers and confirm none appears in general traces or analytics events.</x:v>
      </x:c>
    </x:row>
    <x:row r="249" ht="42" customHeight="1">
      <x:c r="A249" s="11" t="str">
        <x:v>SC-243</x:v>
      </x:c>
      <x:c r="B249" s="11" t="str">
        <x:v>FR-OPS-001</x:v>
      </x:c>
      <x:c r="C249" s="11" t="str">
        <x:v>Service administration console</x:v>
      </x:c>
      <x:c r="D249" s="11" t="str">
        <x:v>P0</x:v>
      </x:c>
      <x:c r="E249" s="11" t="str">
        <x:v>R1</x:v>
      </x:c>
      <x:c r="F249" s="11" t="str">
        <x:v>C14</x:v>
      </x:c>
      <x:c r="G249" s="11" t="str">
        <x:v>TC-OPS-001-01 / -02</x:v>
      </x:c>
      <x:c r="H249" s="11" t="str">
        <x:v>Suspend the intended synthetic tenant after preview and verify only its permitted lifecycle effects occur.</x:v>
      </x:c>
    </x:row>
    <x:row r="250" ht="42" customHeight="1">
      <x:c r="A250" s="11" t="str">
        <x:v>SC-244</x:v>
      </x:c>
      <x:c r="B250" s="11" t="str">
        <x:v>FR-OPS-002</x:v>
      </x:c>
      <x:c r="C250" s="11" t="str">
        <x:v>Entitlements and limits</x:v>
      </x:c>
      <x:c r="D250" s="11" t="str">
        <x:v>P1</x:v>
      </x:c>
      <x:c r="E250" s="11" t="str">
        <x:v>R1</x:v>
      </x:c>
      <x:c r="F250" s="11" t="str">
        <x:v>C14</x:v>
      </x:c>
      <x:c r="G250" s="11" t="str">
        <x:v>TC-OPS-002-01 / -02</x:v>
      </x:c>
      <x:c r="H250" s="11" t="str">
        <x:v>Fill storage allowance, attempt a new media upload and then export existing data; the upload is blocked safely while permitted export remains available.</x:v>
      </x:c>
    </x:row>
    <x:row r="251" ht="42" customHeight="1">
      <x:c r="A251" s="11" t="str">
        <x:v>SC-245</x:v>
      </x:c>
      <x:c r="B251" s="11" t="str">
        <x:v>FR-OPS-003</x:v>
      </x:c>
      <x:c r="C251" s="11" t="str">
        <x:v>Subscription administration</x:v>
      </x:c>
      <x:c r="D251" s="11" t="str">
        <x:v>P1</x:v>
      </x:c>
      <x:c r="E251" s="11" t="str">
        <x:v>R2</x:v>
      </x:c>
      <x:c r="F251" s="11" t="str">
        <x:v>C14</x:v>
      </x:c>
      <x:c r="G251" s="11" t="str">
        <x:v>TC-OPS-003-01 / -02</x:v>
      </x:c>
      <x:c r="H251" s="11" t="str">
        <x:v>Downgrade below current project count and verify existing records remain readable while creation beyond the new limit is controlled.</x:v>
      </x:c>
    </x:row>
    <x:row r="252" ht="42" customHeight="1">
      <x:c r="A252" s="11" t="str">
        <x:v>SC-246</x:v>
      </x:c>
      <x:c r="B252" s="11" t="str">
        <x:v>FR-OPS-004</x:v>
      </x:c>
      <x:c r="C252" s="11" t="str">
        <x:v>Support case management</x:v>
      </x:c>
      <x:c r="D252" s="11" t="str">
        <x:v>P1</x:v>
      </x:c>
      <x:c r="E252" s="11" t="str">
        <x:v>R1</x:v>
      </x:c>
      <x:c r="F252" s="11" t="str">
        <x:v>C14</x:v>
      </x:c>
      <x:c r="G252" s="11" t="str">
        <x:v>TC-OPS-004-01 / -02</x:v>
      </x:c>
      <x:c r="H252" s="11" t="str">
        <x:v>Resolve a failed import using safe error references; if content inspection becomes necessary, retain the explicit approved access grant and its expiry.</x:v>
      </x:c>
    </x:row>
    <x:row r="253" ht="42" customHeight="1">
      <x:c r="A253" s="11" t="str">
        <x:v>SC-247</x:v>
      </x:c>
      <x:c r="B253" s="11" t="str">
        <x:v>FR-OPS-005</x:v>
      </x:c>
      <x:c r="C253" s="11" t="str">
        <x:v>Monitoring and service visibility</x:v>
      </x:c>
      <x:c r="D253" s="11" t="str">
        <x:v>P0</x:v>
      </x:c>
      <x:c r="E253" s="11" t="str">
        <x:v>R1</x:v>
      </x:c>
      <x:c r="F253" s="11" t="str">
        <x:v>C14</x:v>
      </x:c>
      <x:c r="G253" s="11" t="str">
        <x:v>TC-OPS-005-01 / -02</x:v>
      </x:c>
      <x:c r="H253" s="11" t="str">
        <x:v>Fail a connector while the core remains healthy; show integration delay and stale results without falsely declaring all programme operations unavailable.</x:v>
      </x:c>
    </x:row>
    <x:row r="254" ht="42" customHeight="1">
      <x:c r="A254" s="11" t="str">
        <x:v>SC-248</x:v>
      </x:c>
      <x:c r="B254" s="11" t="str">
        <x:v>FR-OPS-006</x:v>
      </x:c>
      <x:c r="C254" s="11" t="str">
        <x:v>Backup and recovery operations</x:v>
      </x:c>
      <x:c r="D254" s="11" t="str">
        <x:v>P0</x:v>
      </x:c>
      <x:c r="E254" s="11" t="str">
        <x:v>R1</x:v>
      </x:c>
      <x:c r="F254" s="11" t="str">
        <x:v>C14</x:v>
      </x:c>
      <x:c r="G254" s="11" t="str">
        <x:v>TC-OPS-006-01 / -02</x:v>
      </x:c>
      <x:c r="H254" s="11" t="str">
        <x:v>Recover a representative tenant and compare structured records, attachment integrity, report snapshots and effective grants before allowing normal access.</x:v>
      </x:c>
    </x:row>
    <x:row r="255" ht="42" customHeight="1">
      <x:c r="A255" s="11" t="str">
        <x:v>SC-249</x:v>
      </x:c>
      <x:c r="B255" s="11" t="str">
        <x:v>FR-OPS-007</x:v>
      </x:c>
      <x:c r="C255" s="11" t="str">
        <x:v>Safe release and rollback</x:v>
      </x:c>
      <x:c r="D255" s="11" t="str">
        <x:v>P0</x:v>
      </x:c>
      <x:c r="E255" s="11" t="str">
        <x:v>R1</x:v>
      </x:c>
      <x:c r="F255" s="11" t="str">
        <x:v>C14</x:v>
      </x:c>
      <x:c r="G255" s="11" t="str">
        <x:v>TC-OPS-007-01 / -02</x:v>
      </x:c>
      <x:c r="H255" s="11" t="str">
        <x:v>Fail a release after valid submissions were accepted and verify they remain accounted for under the recovery plan.</x:v>
      </x:c>
    </x:row>
    <x:row r="256" ht="42" customHeight="1">
      <x:c r="A256" s="11" t="str">
        <x:v>SC-250</x:v>
      </x:c>
      <x:c r="B256" s="11" t="str">
        <x:v>FR-OPS-008</x:v>
      </x:c>
      <x:c r="C256" s="11" t="str">
        <x:v>Capacity and cost management</x:v>
      </x:c>
      <x:c r="D256" s="11" t="str">
        <x:v>P1</x:v>
      </x:c>
      <x:c r="E256" s="11" t="str">
        <x:v>R1</x:v>
      </x:c>
      <x:c r="F256" s="11" t="str">
        <x:v>C14</x:v>
      </x:c>
      <x:c r="G256" s="11" t="str">
        <x:v>TC-OPS-008-01 / -02</x:v>
      </x:c>
      <x:c r="H256" s="11" t="str">
        <x:v>Run an expensive AI workload to its allowance and verify bounded queuing, usage attribution and unaffected ordinary approvals.</x:v>
      </x:c>
    </x:row>
    <x:row r="257" ht="42" customHeight="1">
      <x:c r="A257" s="11" t="str">
        <x:v>SC-251</x:v>
      </x:c>
      <x:c r="B257" s="11" t="str">
        <x:v>FR-OPS-009</x:v>
      </x:c>
      <x:c r="C257" s="11" t="str">
        <x:v>Operational automation</x:v>
      </x:c>
      <x:c r="D257" s="11" t="str">
        <x:v>P1</x:v>
      </x:c>
      <x:c r="E257" s="11" t="str">
        <x:v>R2</x:v>
      </x:c>
      <x:c r="F257" s="11" t="str">
        <x:v>C14</x:v>
      </x:c>
      <x:c r="G257" s="11" t="str">
        <x:v>TC-OPS-009-01 / -02</x:v>
      </x:c>
      <x:c r="H257" s="11" t="str">
        <x:v>Retry a partially failed retention run; held evidence remains intact and already sent notifications are not duplicated.</x:v>
      </x:c>
    </x:row>
    <x:row r="258" ht="42" customHeight="1">
      <x:c r="A258" s="11" t="str">
        <x:v>SC-252</x:v>
      </x:c>
      <x:c r="B258" s="11" t="str">
        <x:v>FR-OPS-010</x:v>
      </x:c>
      <x:c r="C258" s="11" t="str">
        <x:v>Trust and assurance information</x:v>
      </x:c>
      <x:c r="D258" s="11" t="str">
        <x:v>P1</x:v>
      </x:c>
      <x:c r="E258" s="11" t="str">
        <x:v>R2</x:v>
      </x:c>
      <x:c r="F258" s="11" t="str">
        <x:v>C14</x:v>
      </x:c>
      <x:c r="G258" s="11" t="str">
        <x:v>TC-OPS-010-01 / -02</x:v>
      </x:c>
      <x:c r="H258" s="11" t="str">
        <x:v>Compare a published assurance claim to its scoped assessment and remove or qualify any claim whose evidence no longer applies.</x:v>
      </x:c>
    </x:row>
    <x:row r="259" ht="42" customHeight="1">
      <x:c r="A259" s="11" t="str">
        <x:v>SC-253</x:v>
      </x:c>
      <x:c r="B259" s="11" t="str">
        <x:v>FR-MIG-001</x:v>
      </x:c>
      <x:c r="C259" s="11" t="str">
        <x:v>Source discovery and mapping</x:v>
      </x:c>
      <x:c r="D259" s="11" t="str">
        <x:v>P0</x:v>
      </x:c>
      <x:c r="E259" s="11" t="str">
        <x:v>R1</x:v>
      </x:c>
      <x:c r="F259" s="11" t="str">
        <x:v>C06</x:v>
      </x:c>
      <x:c r="G259" s="11" t="str">
        <x:v>TC-MIG-001-01 / -02</x:v>
      </x:c>
      <x:c r="H259" s="11" t="str">
        <x:v>Map an indicator with unknown historic formula and identify the limitation explicitly rather than inventing a deterministic approval history.</x:v>
      </x:c>
    </x:row>
    <x:row r="260" ht="42" customHeight="1">
      <x:c r="A260" s="11" t="str">
        <x:v>SC-254</x:v>
      </x:c>
      <x:c r="B260" s="11" t="str">
        <x:v>FR-MIG-002</x:v>
      </x:c>
      <x:c r="C260" s="11" t="str">
        <x:v>Trial migrations</x:v>
      </x:c>
      <x:c r="D260" s="11" t="str">
        <x:v>P0</x:v>
      </x:c>
      <x:c r="E260" s="11" t="str">
        <x:v>R1</x:v>
      </x:c>
      <x:c r="F260" s="11" t="str">
        <x:v>C06</x:v>
      </x:c>
      <x:c r="G260" s="11" t="str">
        <x:v>TC-MIG-002-01 / -02</x:v>
      </x:c>
      <x:c r="H260" s="11" t="str">
        <x:v>Run two identical trials and compare intended records, errors and totals; no duplicate achievements or real recipient messages occur.</x:v>
      </x:c>
    </x:row>
    <x:row r="261" ht="42" customHeight="1">
      <x:c r="A261" s="11" t="str">
        <x:v>SC-255</x:v>
      </x:c>
      <x:c r="B261" s="11" t="str">
        <x:v>FR-MIG-003</x:v>
      </x:c>
      <x:c r="C261" s="11" t="str">
        <x:v>Semantic reconciliation</x:v>
      </x:c>
      <x:c r="D261" s="11" t="str">
        <x:v>P0</x:v>
      </x:c>
      <x:c r="E261" s="11" t="str">
        <x:v>R1</x:v>
      </x:c>
      <x:c r="F261" s="11" t="str">
        <x:v>C06</x:v>
      </x:c>
      <x:c r="G261" s="11" t="str">
        <x:v>TC-MIG-003-01 / -02</x:v>
      </x:c>
      <x:c r="H261" s="11" t="str">
        <x:v>Migrate a pooled percentage and cumulative series, independently recompute both and resolve semantic differences before signoff.</x:v>
      </x:c>
    </x:row>
    <x:row r="262" ht="42" customHeight="1">
      <x:c r="A262" s="11" t="str">
        <x:v>SC-256</x:v>
      </x:c>
      <x:c r="B262" s="11" t="str">
        <x:v>FR-MIG-004</x:v>
      </x:c>
      <x:c r="C262" s="11" t="str">
        <x:v>Historical provenance</x:v>
      </x:c>
      <x:c r="D262" s="11" t="str">
        <x:v>P0</x:v>
      </x:c>
      <x:c r="E262" s="11" t="str">
        <x:v>R1</x:v>
      </x:c>
      <x:c r="F262" s="11" t="str">
        <x:v>C06</x:v>
      </x:c>
      <x:c r="G262" s="11" t="str">
        <x:v>TC-MIG-004-01 / -02</x:v>
      </x:c>
      <x:c r="H262" s="11" t="str">
        <x:v>Inspect a migrated report approval and identify whether it is a preserved source record, verified evidence or a new destination decision.</x:v>
      </x:c>
    </x:row>
    <x:row r="263" ht="42" customHeight="1">
      <x:c r="A263" s="11" t="str">
        <x:v>SC-257</x:v>
      </x:c>
      <x:c r="B263" s="11" t="str">
        <x:v>FR-MIG-005</x:v>
      </x:c>
      <x:c r="C263" s="11" t="str">
        <x:v>Cutover and rollback</x:v>
      </x:c>
      <x:c r="D263" s="11" t="str">
        <x:v>P0</x:v>
      </x:c>
      <x:c r="E263" s="11" t="str">
        <x:v>R1</x:v>
      </x:c>
      <x:c r="F263" s="11" t="str">
        <x:v>C06</x:v>
      </x:c>
      <x:c r="G263" s="11" t="str">
        <x:v>TC-MIG-005-01 / -02</x:v>
      </x:c>
      <x:c r="H263" s="11" t="str">
        <x:v>Update one source record during the final transfer; the cutover captures it in the delta or reports a controlled exclusion requiring resolution.</x:v>
      </x:c>
    </x:row>
    <x:row r="264" ht="42" customHeight="1">
      <x:c r="A264" s="11" t="str">
        <x:v>SC-258</x:v>
      </x:c>
      <x:c r="B264" s="11" t="str">
        <x:v>FR-MIG-006</x:v>
      </x:c>
      <x:c r="C264" s="11" t="str">
        <x:v>User enablement</x:v>
      </x:c>
      <x:c r="D264" s="11" t="str">
        <x:v>P1</x:v>
      </x:c>
      <x:c r="E264" s="11" t="str">
        <x:v>R1</x:v>
      </x:c>
      <x:c r="F264" s="11" t="str">
        <x:v>C06</x:v>
      </x:c>
      <x:c r="G264" s="11" t="str">
        <x:v>TC-MIG-006-01 / -02</x:v>
      </x:c>
      <x:c r="H264" s="11" t="str">
        <x:v>An enumerator completes offline practice, a reviewer returns and approves a correction, and neither can access real participant records in training.</x:v>
      </x:c>
    </x:row>
    <x:row r="265" ht="42" customHeight="1">
      <x:c r="A265" s="11" t="str">
        <x:v>SC-259</x:v>
      </x:c>
      <x:c r="B265" s="11" t="str">
        <x:v>FR-MIG-007</x:v>
      </x:c>
      <x:c r="C265" s="11" t="str">
        <x:v>Full tenant export</x:v>
      </x:c>
      <x:c r="D265" s="11" t="str">
        <x:v>P0</x:v>
      </x:c>
      <x:c r="E265" s="11" t="str">
        <x:v>R1</x:v>
      </x:c>
      <x:c r="F265" s="11" t="str">
        <x:v>C06</x:v>
      </x:c>
      <x:c r="G265" s="11" t="str">
        <x:v>TC-MIG-007-01 / -02</x:v>
      </x:c>
      <x:c r="H265" s="11" t="str">
        <x:v>Reconstruct programme-to-indicator-to-result-to-report relationships and verify sample file integrity outside the application using the export package.</x:v>
      </x:c>
    </x:row>
    <x:row r="266" ht="42" customHeight="1">
      <x:c r="A266" s="11" t="str">
        <x:v>SC-260</x:v>
      </x:c>
      <x:c r="B266" s="11" t="str">
        <x:v>FR-MIG-008</x:v>
      </x:c>
      <x:c r="C266" s="11" t="str">
        <x:v>Closure and deletion evidence</x:v>
      </x:c>
      <x:c r="D266" s="11" t="str">
        <x:v>P0</x:v>
      </x:c>
      <x:c r="E266" s="11" t="str">
        <x:v>R1</x:v>
      </x:c>
      <x:c r="F266" s="11" t="str">
        <x:v>C06</x:v>
      </x:c>
      <x:c r="G266" s="11" t="str">
        <x:v>TC-MIG-008-01 / -02</x:v>
      </x:c>
      <x:c r="H266" s="11" t="str">
        <x:v>Close a tenant after confirmed export; live credentials and deliveries stop while the record identifies one held item and its review date.</x:v>
      </x:c>
    </x:row>
    <x:row r="267" ht="42" customHeight="1">
      <x:c r="A267" s="11" t="str">
        <x:v>SC-261</x:v>
      </x:c>
      <x:c r="B267" s="11" t="str">
        <x:v>FR-UX-001</x:v>
      </x:c>
      <x:c r="C267" s="11" t="str">
        <x:v>Role relevant workspaces</x:v>
      </x:c>
      <x:c r="D267" s="11" t="str">
        <x:v>P0</x:v>
      </x:c>
      <x:c r="E267" s="11" t="str">
        <x:v>R1</x:v>
      </x:c>
      <x:c r="F267" s="11" t="str">
        <x:v>C15</x:v>
      </x:c>
      <x:c r="G267" s="11" t="str">
        <x:v>TC-UX-001-01 / -02</x:v>
      </x:c>
      <x:c r="H267" s="11" t="str">
        <x:v>A new enumerator opens an assigned form in two primary navigation actions and sees its due time, save status and sync requirement.</x:v>
      </x:c>
    </x:row>
    <x:row r="268" ht="42" customHeight="1">
      <x:c r="A268" s="11" t="str">
        <x:v>SC-262</x:v>
      </x:c>
      <x:c r="B268" s="11" t="str">
        <x:v>FR-UX-002</x:v>
      </x:c>
      <x:c r="C268" s="11" t="str">
        <x:v>Progressive configuration</x:v>
      </x:c>
      <x:c r="D268" s="11" t="str">
        <x:v>P1</x:v>
      </x:c>
      <x:c r="E268" s="11" t="str">
        <x:v>R1</x:v>
      </x:c>
      <x:c r="F268" s="11" t="str">
        <x:v>C15</x:v>
      </x:c>
      <x:c r="G268" s="11" t="str">
        <x:v>TC-UX-002-01 / -02</x:v>
      </x:c>
      <x:c r="H268" s="11" t="str">
        <x:v>Create a simple programme from a template and inspect the exact sum rule and reporting calendar that produce its first result.</x:v>
      </x:c>
    </x:row>
    <x:row r="269" ht="42" customHeight="1">
      <x:c r="A269" s="11" t="str">
        <x:v>SC-263</x:v>
      </x:c>
      <x:c r="B269" s="11" t="str">
        <x:v>FR-UX-003</x:v>
      </x:c>
      <x:c r="C269" s="11" t="str">
        <x:v>Error recovery and work preservation</x:v>
      </x:c>
      <x:c r="D269" s="11" t="str">
        <x:v>P0</x:v>
      </x:c>
      <x:c r="E269" s="11" t="str">
        <x:v>R1</x:v>
      </x:c>
      <x:c r="F269" s="11" t="str">
        <x:v>C15</x:v>
      </x:c>
      <x:c r="G269" s="11" t="str">
        <x:v>TC-UX-003-01 / -02</x:v>
      </x:c>
      <x:c r="H269" s="11" t="str">
        <x:v>Time out an import confirmation, reconnect and recover the existing job receipt without creating another load.</x:v>
      </x:c>
    </x:row>
    <x:row r="270" ht="42" customHeight="1">
      <x:c r="A270" s="11" t="str">
        <x:v>SC-264</x:v>
      </x:c>
      <x:c r="B270" s="11" t="str">
        <x:v>FR-UX-004</x:v>
      </x:c>
      <x:c r="C270" s="11" t="str">
        <x:v>Accessible interaction</x:v>
      </x:c>
      <x:c r="D270" s="11" t="str">
        <x:v>P0</x:v>
      </x:c>
      <x:c r="E270" s="11" t="str">
        <x:v>R1</x:v>
      </x:c>
      <x:c r="F270" s="11" t="str">
        <x:v>C15</x:v>
      </x:c>
      <x:c r="G270" s="11" t="str">
        <x:v>TC-UX-004-01 / -02</x:v>
      </x:c>
      <x:c r="H270" s="11" t="str">
        <x:v>Complete collection, correction and approval with keyboard and a qualified screen reader, including an invalid field and a stale revision conflict.</x:v>
      </x:c>
    </x:row>
    <x:row r="271" ht="42" customHeight="1">
      <x:c r="A271" s="11" t="str">
        <x:v>SC-265</x:v>
      </x:c>
      <x:c r="B271" s="11" t="str">
        <x:v>FR-UX-005</x:v>
      </x:c>
      <x:c r="C271" s="11" t="str">
        <x:v>Responsive operation</x:v>
      </x:c>
      <x:c r="D271" s="11" t="str">
        <x:v>P0</x:v>
      </x:c>
      <x:c r="E271" s="11" t="str">
        <x:v>R1</x:v>
      </x:c>
      <x:c r="F271" s="11" t="str">
        <x:v>C15</x:v>
      </x:c>
      <x:c r="G271" s="11" t="str">
        <x:v>TC-UX-005-01 / -02</x:v>
      </x:c>
      <x:c r="H271" s="11" t="str">
        <x:v>Complete a form, review evidence and return a submission on the supported mobile profile without horizontal dependence for ordinary fields.</x:v>
      </x:c>
    </x:row>
    <x:row r="272" ht="42" customHeight="1">
      <x:c r="A272" s="11" t="str">
        <x:v>SC-266</x:v>
      </x:c>
      <x:c r="B272" s="11" t="str">
        <x:v>FR-UX-006</x:v>
      </x:c>
      <x:c r="C272" s="11" t="str">
        <x:v>Language and locale</x:v>
      </x:c>
      <x:c r="D272" s="11" t="str">
        <x:v>P1</x:v>
      </x:c>
      <x:c r="E272" s="11" t="str">
        <x:v>R1</x:v>
      </x:c>
      <x:c r="F272" s="11" t="str">
        <x:v>C15</x:v>
      </x:c>
      <x:c r="G272" s="11" t="str">
        <x:v>TC-UX-006-01 / -02</x:v>
      </x:c>
      <x:c r="H272" s="11" t="str">
        <x:v>Import 1,25 under a decimal-comma locale, view in decimal-point locale and export; the underlying value stays 1.25.</x:v>
      </x:c>
    </x:row>
    <x:row r="273" ht="42" customHeight="1">
      <x:c r="A273" s="11" t="str">
        <x:v>SC-267</x:v>
      </x:c>
      <x:c r="B273" s="11" t="str">
        <x:v>FR-UX-007</x:v>
      </x:c>
      <x:c r="C273" s="11" t="str">
        <x:v>Expanded localisation</x:v>
      </x:c>
      <x:c r="D273" s="11" t="str">
        <x:v>P1</x:v>
      </x:c>
      <x:c r="E273" s="11" t="str">
        <x:v>R2</x:v>
      </x:c>
      <x:c r="F273" s="11" t="str">
        <x:v>C15</x:v>
      </x:c>
      <x:c r="G273" s="11" t="str">
        <x:v>TC-UX-007-01 / -02</x:v>
      </x:c>
      <x:c r="H273" s="11" t="str">
        <x:v>Complete the same core workflow in each released language and confirm no untranslated blocking message or reversed layout obscures an action.</x:v>
      </x:c>
    </x:row>
    <x:row r="274" ht="42" customHeight="1">
      <x:c r="A274" s="11" t="str">
        <x:v>SC-268</x:v>
      </x:c>
      <x:c r="B274" s="11" t="str">
        <x:v>FR-UX-008</x:v>
      </x:c>
      <x:c r="C274" s="11" t="str">
        <x:v>Discoverability and help</x:v>
      </x:c>
      <x:c r="D274" s="11" t="str">
        <x:v>P1</x:v>
      </x:c>
      <x:c r="E274" s="11" t="str">
        <x:v>R1</x:v>
      </x:c>
      <x:c r="F274" s="11" t="str">
        <x:v>C15</x:v>
      </x:c>
      <x:c r="G274" s="11" t="str">
        <x:v>TC-UX-008-01 / -02</x:v>
      </x:c>
      <x:c r="H274" s="11" t="str">
        <x:v>Find an assigned indicator, identify why approval is pending and reach the required evidence task without administrator intervention.</x:v>
      </x:c>
    </x:row>
    <x:row r="275" ht="42" customHeight="1">
      <x:c r="A275" s="11" t="str">
        <x:v>SC-269</x:v>
      </x:c>
      <x:c r="B275" s="11" t="str">
        <x:v>FR-UX-009</x:v>
      </x:c>
      <x:c r="C275" s="11" t="str">
        <x:v>Status and trust cues</x:v>
      </x:c>
      <x:c r="D275" s="11" t="str">
        <x:v>P0</x:v>
      </x:c>
      <x:c r="E275" s="11" t="str">
        <x:v>R1</x:v>
      </x:c>
      <x:c r="F275" s="11" t="str">
        <x:v>C15</x:v>
      </x:c>
      <x:c r="G275" s="11" t="str">
        <x:v>TC-UX-009-01 / -02</x:v>
      </x:c>
      <x:c r="H275" s="11" t="str">
        <x:v>Submit a large file and observe separate receipt, validation, review and calculation stages with no premature published result.</x:v>
      </x:c>
    </x:row>
    <x:row r="276" ht="42" customHeight="1">
      <x:c r="A276" s="11" t="str">
        <x:v>SC-270</x:v>
      </x:c>
      <x:c r="B276" s="11" t="str">
        <x:v>FR-UX-010</x:v>
      </x:c>
      <x:c r="C276" s="11" t="str">
        <x:v>Usability evidence</x:v>
      </x:c>
      <x:c r="D276" s="11" t="str">
        <x:v>P1</x:v>
      </x:c>
      <x:c r="E276" s="11" t="str">
        <x:v>R1</x:v>
      </x:c>
      <x:c r="F276" s="11" t="str">
        <x:v>C15</x:v>
      </x:c>
      <x:c r="G276" s="11" t="str">
        <x:v>TC-UX-010-01 / -02</x:v>
      </x:c>
      <x:c r="H276" s="11" t="str">
        <x:v>Run the six BRD core tasks with at least fifteen representative participants and document both the completion threshold and every critical error resolution.</x:v>
      </x:c>
    </x:row>
  </x:sheetData>
  <x:pageMargins left="0.7" right="0.7" top="0.75" bottom="0.75" header="0.3" footer="0.3"/>
  <x:tableParts count="1">
    <x:tablePart xmlns:r="http://schemas.openxmlformats.org/officeDocument/2006/relationships" r:id="R24d9ddb91eef4092"/>
  </x:tableParts>
</x:worksheet>
</file>

<file path=xl/worksheets/sheet10.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25" hidden="0" customWidth="1"/>
    <x:col min="2" max="2" width="25" hidden="0" customWidth="1"/>
    <x:col min="3" max="3" width="12" hidden="0" customWidth="1"/>
    <x:col min="4" max="4" width="12" hidden="0" customWidth="1"/>
    <x:col min="5" max="5" width="16" hidden="0" customWidth="1"/>
    <x:col min="6" max="6" width="34" hidden="0" customWidth="1"/>
    <x:col min="7" max="7" width="60" hidden="0" customWidth="1"/>
  </x:cols>
  <x:sheetData>
    <x:row r="1" ht="12" customHeight="1">
      <x:c r="A1" s="1"/>
      <x:c r="B1" s="1"/>
      <x:c r="C1" s="1"/>
      <x:c r="D1" s="1"/>
      <x:c r="E1" s="1"/>
      <x:c r="F1" s="1"/>
      <x:c r="G1" s="1"/>
    </x:row>
    <x:row r="2" ht="32" customHeight="1">
      <x:c r="A2" s="2" t="str">
        <x:v>Requirement traceability</x:v>
      </x:c>
      <x:c r="B2" s="1"/>
      <x:c r="C2" s="1"/>
      <x:c r="D2" s="1"/>
      <x:c r="E2" s="1"/>
      <x:c r="F2" s="1"/>
      <x:c r="G2" s="1"/>
    </x:row>
    <x:row r="3">
      <x:c r="A3" s="1"/>
      <x:c r="B3" s="1"/>
      <x:c r="C3" s="1"/>
      <x:c r="D3" s="1"/>
      <x:c r="E3" s="1"/>
      <x:c r="F3" s="1"/>
      <x:c r="G3" s="1"/>
    </x:row>
    <x:row r="4" ht="20" customHeight="1">
      <x:c r="A4" s="3" t="str">
        <x:v>307 records • Source FSD version 1.0 dated 24 September 2026</x:v>
      </x:c>
      <x:c r="B4" s="1"/>
      <x:c r="C4" s="1"/>
      <x:c r="D4" s="1"/>
      <x:c r="E4" s="1"/>
      <x:c r="F4" s="1"/>
      <x:c r="G4" s="1"/>
    </x:row>
    <x:row r="5">
      <x:c r="A5" s="4"/>
      <x:c r="B5" s="4"/>
      <x:c r="C5" s="4"/>
      <x:c r="D5" s="4"/>
      <x:c r="E5" s="4"/>
      <x:c r="F5" s="4"/>
      <x:c r="G5" s="4"/>
    </x:row>
    <x:row r="6" ht="34" customHeight="1">
      <x:c r="A6" s="9" t="str">
        <x:v>BRD parent</x:v>
      </x:c>
      <x:c r="B6" s="9" t="str">
        <x:v>FSD reference</x:v>
      </x:c>
      <x:c r="C6" s="9" t="str">
        <x:v>Priority</x:v>
      </x:c>
      <x:c r="D6" s="9" t="str">
        <x:v>Release</x:v>
      </x:c>
      <x:c r="E6" s="9" t="str">
        <x:v>Component</x:v>
      </x:c>
      <x:c r="F6" s="9" t="str">
        <x:v>Primary cases</x:v>
      </x:c>
      <x:c r="G6" s="9" t="str">
        <x:v>Requirement</x:v>
      </x:c>
    </x:row>
    <x:row r="7" ht="42" customHeight="1">
      <x:c r="A7" s="11" t="str">
        <x:v>BR-TEN-001</x:v>
      </x:c>
      <x:c r="B7" s="11" t="str">
        <x:v>FR-TEN-001</x:v>
      </x:c>
      <x:c r="C7" s="11" t="str">
        <x:v>P0</x:v>
      </x:c>
      <x:c r="D7" s="11" t="str">
        <x:v>R1</x:v>
      </x:c>
      <x:c r="E7" s="11" t="str">
        <x:v>C02</x:v>
      </x:c>
      <x:c r="F7" s="11" t="str">
        <x:v>TC-TEN-001-01 / -02</x:v>
      </x:c>
      <x:c r="G7" s="11" t="str">
        <x:v>Tenant lifecycle</x:v>
      </x:c>
    </x:row>
    <x:row r="8" ht="42" customHeight="1">
      <x:c r="A8" s="11" t="str">
        <x:v>BR-TEN-002</x:v>
      </x:c>
      <x:c r="B8" s="11" t="str">
        <x:v>FR-TEN-002</x:v>
      </x:c>
      <x:c r="C8" s="11" t="str">
        <x:v>P0</x:v>
      </x:c>
      <x:c r="D8" s="11" t="str">
        <x:v>R1</x:v>
      </x:c>
      <x:c r="E8" s="11" t="str">
        <x:v>C02</x:v>
      </x:c>
      <x:c r="F8" s="11" t="str">
        <x:v>TC-TEN-002-01 / -02</x:v>
      </x:c>
      <x:c r="G8" s="11" t="str">
        <x:v>Organisation structures</x:v>
      </x:c>
    </x:row>
    <x:row r="9" ht="42" customHeight="1">
      <x:c r="A9" s="11" t="str">
        <x:v>BR-TEN-003</x:v>
      </x:c>
      <x:c r="B9" s="11" t="str">
        <x:v>FR-TEN-003</x:v>
      </x:c>
      <x:c r="C9" s="11" t="str">
        <x:v>P0</x:v>
      </x:c>
      <x:c r="D9" s="11" t="str">
        <x:v>R1</x:v>
      </x:c>
      <x:c r="E9" s="11" t="str">
        <x:v>C02</x:v>
      </x:c>
      <x:c r="F9" s="11" t="str">
        <x:v>TC-TEN-003-01 / -02</x:v>
      </x:c>
      <x:c r="G9" s="11" t="str">
        <x:v>Multiple memberships</x:v>
      </x:c>
    </x:row>
    <x:row r="10" ht="42" customHeight="1">
      <x:c r="A10" s="11" t="str">
        <x:v>BR-TEN-004</x:v>
      </x:c>
      <x:c r="B10" s="11" t="str">
        <x:v>FR-TEN-004</x:v>
      </x:c>
      <x:c r="C10" s="11" t="str">
        <x:v>P1</x:v>
      </x:c>
      <x:c r="D10" s="11" t="str">
        <x:v>R1</x:v>
      </x:c>
      <x:c r="E10" s="11" t="str">
        <x:v>C02</x:v>
      </x:c>
      <x:c r="F10" s="11" t="str">
        <x:v>TC-TEN-004-01 / -02</x:v>
      </x:c>
      <x:c r="G10" s="11" t="str">
        <x:v>Configuration and terminology</x:v>
      </x:c>
    </x:row>
    <x:row r="11" ht="42" customHeight="1">
      <x:c r="A11" s="11" t="str">
        <x:v>BR-TEN-005</x:v>
      </x:c>
      <x:c r="B11" s="11" t="str">
        <x:v>FR-TEN-005</x:v>
      </x:c>
      <x:c r="C11" s="11" t="str">
        <x:v>P1</x:v>
      </x:c>
      <x:c r="D11" s="11" t="str">
        <x:v>R1</x:v>
      </x:c>
      <x:c r="E11" s="11" t="str">
        <x:v>C02</x:v>
      </x:c>
      <x:c r="F11" s="11" t="str">
        <x:v>TC-TEN-005-01 / -02</x:v>
      </x:c>
      <x:c r="G11" s="11" t="str">
        <x:v>Custom fields and templates</x:v>
      </x:c>
    </x:row>
    <x:row r="12" ht="42" customHeight="1">
      <x:c r="A12" s="11" t="str">
        <x:v>BR-TEN-006</x:v>
      </x:c>
      <x:c r="B12" s="11" t="str">
        <x:v>FR-TEN-006</x:v>
      </x:c>
      <x:c r="C12" s="11" t="str">
        <x:v>P0</x:v>
      </x:c>
      <x:c r="D12" s="11" t="str">
        <x:v>R1</x:v>
      </x:c>
      <x:c r="E12" s="11" t="str">
        <x:v>C02</x:v>
      </x:c>
      <x:c r="F12" s="11" t="str">
        <x:v>TC-TEN-006-01 / -02</x:v>
      </x:c>
      <x:c r="G12" s="11" t="str">
        <x:v>Partner and consortium boundaries</x:v>
      </x:c>
    </x:row>
    <x:row r="13" ht="42" customHeight="1">
      <x:c r="A13" s="11" t="str">
        <x:v>BR-TEN-007</x:v>
      </x:c>
      <x:c r="B13" s="11" t="str">
        <x:v>FR-TEN-007</x:v>
      </x:c>
      <x:c r="C13" s="11" t="str">
        <x:v>P0</x:v>
      </x:c>
      <x:c r="D13" s="11" t="str">
        <x:v>R1</x:v>
      </x:c>
      <x:c r="E13" s="11" t="str">
        <x:v>C02</x:v>
      </x:c>
      <x:c r="F13" s="11" t="str">
        <x:v>TC-TEN-007-01 / -02</x:v>
      </x:c>
      <x:c r="G13" s="11" t="str">
        <x:v>Policy inheritance and exceptions</x:v>
      </x:c>
    </x:row>
    <x:row r="14" ht="42" customHeight="1">
      <x:c r="A14" s="11" t="str">
        <x:v>BR-TEN-008</x:v>
      </x:c>
      <x:c r="B14" s="11" t="str">
        <x:v>FR-TEN-008</x:v>
      </x:c>
      <x:c r="C14" s="11" t="str">
        <x:v>P1</x:v>
      </x:c>
      <x:c r="D14" s="11" t="str">
        <x:v>R2</x:v>
      </x:c>
      <x:c r="E14" s="11" t="str">
        <x:v>C02</x:v>
      </x:c>
      <x:c r="F14" s="11" t="str">
        <x:v>TC-TEN-008-01 / -02</x:v>
      </x:c>
      <x:c r="G14" s="11" t="str">
        <x:v>Configuration promotion</x:v>
      </x:c>
    </x:row>
    <x:row r="15" ht="42" customHeight="1">
      <x:c r="A15" s="11" t="str">
        <x:v>BR-TEN-009</x:v>
      </x:c>
      <x:c r="B15" s="11" t="str">
        <x:v>FR-TEN-009</x:v>
      </x:c>
      <x:c r="C15" s="11" t="str">
        <x:v>P1</x:v>
      </x:c>
      <x:c r="D15" s="11" t="str">
        <x:v>R2</x:v>
      </x:c>
      <x:c r="E15" s="11" t="str">
        <x:v>C02</x:v>
      </x:c>
      <x:c r="F15" s="11" t="str">
        <x:v>TC-TEN-009-01 / -02</x:v>
      </x:c>
      <x:c r="G15" s="11" t="str">
        <x:v>Branding and external identity</x:v>
      </x:c>
    </x:row>
    <x:row r="16" ht="42" customHeight="1">
      <x:c r="A16" s="11" t="str">
        <x:v>BR-TEN-010</x:v>
      </x:c>
      <x:c r="B16" s="11" t="str">
        <x:v>FR-TEN-010</x:v>
      </x:c>
      <x:c r="C16" s="11" t="str">
        <x:v>P0</x:v>
      </x:c>
      <x:c r="D16" s="11" t="str">
        <x:v>R1</x:v>
      </x:c>
      <x:c r="E16" s="11" t="str">
        <x:v>C02</x:v>
      </x:c>
      <x:c r="F16" s="11" t="str">
        <x:v>TC-TEN-010-01 / -02</x:v>
      </x:c>
      <x:c r="G16" s="11" t="str">
        <x:v>Ownership continuity</x:v>
      </x:c>
    </x:row>
    <x:row r="17" ht="42" customHeight="1">
      <x:c r="A17" s="11" t="str">
        <x:v>BR-IAM-001</x:v>
      </x:c>
      <x:c r="B17" s="11" t="str">
        <x:v>FR-IAM-001</x:v>
      </x:c>
      <x:c r="C17" s="11" t="str">
        <x:v>P0</x:v>
      </x:c>
      <x:c r="D17" s="11" t="str">
        <x:v>R1</x:v>
      </x:c>
      <x:c r="E17" s="11" t="str">
        <x:v>C01</x:v>
      </x:c>
      <x:c r="F17" s="11" t="str">
        <x:v>TC-IAM-001-01 / -02</x:v>
      </x:c>
      <x:c r="G17" s="11" t="str">
        <x:v>Invitations and onboarding</x:v>
      </x:c>
    </x:row>
    <x:row r="18" ht="42" customHeight="1">
      <x:c r="A18" s="11" t="str">
        <x:v>BR-IAM-002</x:v>
      </x:c>
      <x:c r="B18" s="11" t="str">
        <x:v>FR-IAM-002</x:v>
      </x:c>
      <x:c r="C18" s="11" t="str">
        <x:v>P0</x:v>
      </x:c>
      <x:c r="D18" s="11" t="str">
        <x:v>R1</x:v>
      </x:c>
      <x:c r="E18" s="11" t="str">
        <x:v>C01</x:v>
      </x:c>
      <x:c r="F18" s="11" t="str">
        <x:v>TC-IAM-002-01 / -02</x:v>
      </x:c>
      <x:c r="G18" s="11" t="str">
        <x:v>Enterprise federation</x:v>
      </x:c>
    </x:row>
    <x:row r="19" ht="42" customHeight="1">
      <x:c r="A19" s="11" t="str">
        <x:v>BR-IAM-003</x:v>
      </x:c>
      <x:c r="B19" s="11" t="str">
        <x:v>FR-IAM-003</x:v>
      </x:c>
      <x:c r="C19" s="11" t="str">
        <x:v>P0</x:v>
      </x:c>
      <x:c r="D19" s="11" t="str">
        <x:v>R1</x:v>
      </x:c>
      <x:c r="E19" s="11" t="str">
        <x:v>C01</x:v>
      </x:c>
      <x:c r="F19" s="11" t="str">
        <x:v>TC-IAM-003-01 / -02</x:v>
      </x:c>
      <x:c r="G19" s="11" t="str">
        <x:v>Multifactor and passkeys</x:v>
      </x:c>
    </x:row>
    <x:row r="20" ht="42" customHeight="1">
      <x:c r="A20" s="11" t="str">
        <x:v>BR-IAM-004</x:v>
      </x:c>
      <x:c r="B20" s="11" t="str">
        <x:v>FR-IAM-004</x:v>
      </x:c>
      <x:c r="C20" s="11" t="str">
        <x:v>P0</x:v>
      </x:c>
      <x:c r="D20" s="11" t="str">
        <x:v>R1</x:v>
      </x:c>
      <x:c r="E20" s="11" t="str">
        <x:v>C01</x:v>
      </x:c>
      <x:c r="F20" s="11" t="str">
        <x:v>TC-IAM-004-01 / -02</x:v>
      </x:c>
      <x:c r="G20" s="11" t="str">
        <x:v>Local account security</x:v>
      </x:c>
    </x:row>
    <x:row r="21" ht="42" customHeight="1">
      <x:c r="A21" s="11" t="str">
        <x:v>BR-IAM-005</x:v>
      </x:c>
      <x:c r="B21" s="11" t="str">
        <x:v>FR-IAM-005</x:v>
      </x:c>
      <x:c r="C21" s="11" t="str">
        <x:v>P1</x:v>
      </x:c>
      <x:c r="D21" s="11" t="str">
        <x:v>R2</x:v>
      </x:c>
      <x:c r="E21" s="11" t="str">
        <x:v>C01</x:v>
      </x:c>
      <x:c r="F21" s="11" t="str">
        <x:v>TC-IAM-005-01 / -02</x:v>
      </x:c>
      <x:c r="G21" s="11" t="str">
        <x:v>Provisioning and deprovisioning</x:v>
      </x:c>
    </x:row>
    <x:row r="22" ht="42" customHeight="1">
      <x:c r="A22" s="11" t="str">
        <x:v>BR-IAM-006</x:v>
      </x:c>
      <x:c r="B22" s="11" t="str">
        <x:v>FR-IAM-006</x:v>
      </x:c>
      <x:c r="C22" s="11" t="str">
        <x:v>P0</x:v>
      </x:c>
      <x:c r="D22" s="11" t="str">
        <x:v>R1</x:v>
      </x:c>
      <x:c r="E22" s="11" t="str">
        <x:v>C01</x:v>
      </x:c>
      <x:c r="F22" s="11" t="str">
        <x:v>TC-IAM-006-01 / -02</x:v>
      </x:c>
      <x:c r="G22" s="11" t="str">
        <x:v>Session control</x:v>
      </x:c>
    </x:row>
    <x:row r="23" ht="42" customHeight="1">
      <x:c r="A23" s="11" t="str">
        <x:v>BR-IAM-007</x:v>
      </x:c>
      <x:c r="B23" s="11" t="str">
        <x:v>FR-IAM-007</x:v>
      </x:c>
      <x:c r="C23" s="11" t="str">
        <x:v>P0</x:v>
      </x:c>
      <x:c r="D23" s="11" t="str">
        <x:v>R1</x:v>
      </x:c>
      <x:c r="E23" s="11" t="str">
        <x:v>C01</x:v>
      </x:c>
      <x:c r="F23" s="11" t="str">
        <x:v>TC-IAM-007-01 / -02</x:v>
      </x:c>
      <x:c r="G23" s="11" t="str">
        <x:v>Recovery and identity changes</x:v>
      </x:c>
    </x:row>
    <x:row r="24" ht="42" customHeight="1">
      <x:c r="A24" s="11" t="str">
        <x:v>BR-IAM-008</x:v>
      </x:c>
      <x:c r="B24" s="11" t="str">
        <x:v>FR-IAM-008</x:v>
      </x:c>
      <x:c r="C24" s="11" t="str">
        <x:v>P0</x:v>
      </x:c>
      <x:c r="D24" s="11" t="str">
        <x:v>R1</x:v>
      </x:c>
      <x:c r="E24" s="11" t="str">
        <x:v>C01</x:v>
      </x:c>
      <x:c r="F24" s="11" t="str">
        <x:v>TC-IAM-008-01 / -02</x:v>
      </x:c>
      <x:c r="G24" s="11" t="str">
        <x:v>Membership status and expiry</x:v>
      </x:c>
    </x:row>
    <x:row r="25" ht="42" customHeight="1">
      <x:c r="A25" s="11" t="str">
        <x:v>BR-IAM-009</x:v>
      </x:c>
      <x:c r="B25" s="11" t="str">
        <x:v>FR-IAM-009</x:v>
      </x:c>
      <x:c r="C25" s="11" t="str">
        <x:v>P0</x:v>
      </x:c>
      <x:c r="D25" s="11" t="str">
        <x:v>R1</x:v>
      </x:c>
      <x:c r="E25" s="11" t="str">
        <x:v>C01</x:v>
      </x:c>
      <x:c r="F25" s="11" t="str">
        <x:v>TC-IAM-009-01 / -02</x:v>
      </x:c>
      <x:c r="G25" s="11" t="str">
        <x:v>Delegated user administration</x:v>
      </x:c>
    </x:row>
    <x:row r="26" ht="42" customHeight="1">
      <x:c r="A26" s="11" t="str">
        <x:v>BR-IAM-010</x:v>
      </x:c>
      <x:c r="B26" s="11" t="str">
        <x:v>FR-IAM-010</x:v>
      </x:c>
      <x:c r="C26" s="11" t="str">
        <x:v>P1</x:v>
      </x:c>
      <x:c r="D26" s="11" t="str">
        <x:v>R1</x:v>
      </x:c>
      <x:c r="E26" s="11" t="str">
        <x:v>C01</x:v>
      </x:c>
      <x:c r="F26" s="11" t="str">
        <x:v>TC-IAM-010-01 / -02</x:v>
      </x:c>
      <x:c r="G26" s="11" t="str">
        <x:v>Group management</x:v>
      </x:c>
    </x:row>
    <x:row r="27" ht="42" customHeight="1">
      <x:c r="A27" s="11" t="str">
        <x:v>BR-IAM-011</x:v>
      </x:c>
      <x:c r="B27" s="11" t="str">
        <x:v>FR-IAM-011</x:v>
      </x:c>
      <x:c r="C27" s="11" t="str">
        <x:v>P1</x:v>
      </x:c>
      <x:c r="D27" s="11" t="str">
        <x:v>R2</x:v>
      </x:c>
      <x:c r="E27" s="11" t="str">
        <x:v>C01</x:v>
      </x:c>
      <x:c r="F27" s="11" t="str">
        <x:v>TC-IAM-011-01 / -02</x:v>
      </x:c>
      <x:c r="G27" s="11" t="str">
        <x:v>Access certification</x:v>
      </x:c>
    </x:row>
    <x:row r="28" ht="42" customHeight="1">
      <x:c r="A28" s="11" t="str">
        <x:v>BR-IAM-012</x:v>
      </x:c>
      <x:c r="B28" s="11" t="str">
        <x:v>FR-IAM-012</x:v>
      </x:c>
      <x:c r="C28" s="11" t="str">
        <x:v>P0</x:v>
      </x:c>
      <x:c r="D28" s="11" t="str">
        <x:v>R1</x:v>
      </x:c>
      <x:c r="E28" s="11" t="str">
        <x:v>C01</x:v>
      </x:c>
      <x:c r="F28" s="11" t="str">
        <x:v>TC-IAM-012-01 / -02</x:v>
      </x:c>
      <x:c r="G28" s="11" t="str">
        <x:v>Service identities</x:v>
      </x:c>
    </x:row>
    <x:row r="29" ht="42" customHeight="1">
      <x:c r="A29" s="11" t="str">
        <x:v>BR-IAM-013</x:v>
      </x:c>
      <x:c r="B29" s="11" t="str">
        <x:v>FR-IAM-013</x:v>
      </x:c>
      <x:c r="C29" s="11" t="str">
        <x:v>P1</x:v>
      </x:c>
      <x:c r="D29" s="11" t="str">
        <x:v>R1</x:v>
      </x:c>
      <x:c r="E29" s="11" t="str">
        <x:v>C01</x:v>
      </x:c>
      <x:c r="F29" s="11" t="str">
        <x:v>TC-IAM-013-01 / -02</x:v>
      </x:c>
      <x:c r="G29" s="11" t="str">
        <x:v>User profile and preferences</x:v>
      </x:c>
    </x:row>
    <x:row r="30" ht="42" customHeight="1">
      <x:c r="A30" s="11" t="str">
        <x:v>BR-IAM-014</x:v>
      </x:c>
      <x:c r="B30" s="11" t="str">
        <x:v>FR-IAM-014</x:v>
      </x:c>
      <x:c r="C30" s="11" t="str">
        <x:v>P0</x:v>
      </x:c>
      <x:c r="D30" s="11" t="str">
        <x:v>R1</x:v>
      </x:c>
      <x:c r="E30" s="11" t="str">
        <x:v>C01</x:v>
      </x:c>
      <x:c r="F30" s="11" t="str">
        <x:v>TC-IAM-014-01 / -02</x:v>
      </x:c>
      <x:c r="G30" s="11" t="str">
        <x:v>Departure and work reassignment</x:v>
      </x:c>
    </x:row>
    <x:row r="31" ht="42" customHeight="1">
      <x:c r="A31" s="11" t="str">
        <x:v>BR-ACC-001</x:v>
      </x:c>
      <x:c r="B31" s="11" t="str">
        <x:v>FR-ACC-001</x:v>
      </x:c>
      <x:c r="C31" s="11" t="str">
        <x:v>P0</x:v>
      </x:c>
      <x:c r="D31" s="11" t="str">
        <x:v>R1</x:v>
      </x:c>
      <x:c r="E31" s="11" t="str">
        <x:v>C02</x:v>
      </x:c>
      <x:c r="F31" s="11" t="str">
        <x:v>TC-ACC-001-01 / -02</x:v>
      </x:c>
      <x:c r="G31" s="11" t="str">
        <x:v>Deny by default</x:v>
      </x:c>
    </x:row>
    <x:row r="32" ht="42" customHeight="1">
      <x:c r="A32" s="11" t="str">
        <x:v>BR-ACC-002</x:v>
      </x:c>
      <x:c r="B32" s="11" t="str">
        <x:v>FR-ACC-002</x:v>
      </x:c>
      <x:c r="C32" s="11" t="str">
        <x:v>P0</x:v>
      </x:c>
      <x:c r="D32" s="11" t="str">
        <x:v>R1</x:v>
      </x:c>
      <x:c r="E32" s="11" t="str">
        <x:v>C02</x:v>
      </x:c>
      <x:c r="F32" s="11" t="str">
        <x:v>TC-ACC-002-01 / -02</x:v>
      </x:c>
      <x:c r="G32" s="11" t="str">
        <x:v>Fine grained scope</x:v>
      </x:c>
    </x:row>
    <x:row r="33" ht="42" customHeight="1">
      <x:c r="A33" s="11" t="str">
        <x:v>BR-ACC-003</x:v>
      </x:c>
      <x:c r="B33" s="11" t="str">
        <x:v>FR-ACC-003</x:v>
      </x:c>
      <x:c r="C33" s="11" t="str">
        <x:v>P0</x:v>
      </x:c>
      <x:c r="D33" s="11" t="str">
        <x:v>R1</x:v>
      </x:c>
      <x:c r="E33" s="11" t="str">
        <x:v>C02</x:v>
      </x:c>
      <x:c r="F33" s="11" t="str">
        <x:v>TC-ACC-003-01 / -02</x:v>
      </x:c>
      <x:c r="G33" s="11" t="str">
        <x:v>Effective permissions</x:v>
      </x:c>
    </x:row>
    <x:row r="34" ht="42" customHeight="1">
      <x:c r="A34" s="11" t="str">
        <x:v>BR-ACC-004</x:v>
      </x:c>
      <x:c r="B34" s="11" t="str">
        <x:v>FR-ACC-004</x:v>
      </x:c>
      <x:c r="C34" s="11" t="str">
        <x:v>P0</x:v>
      </x:c>
      <x:c r="D34" s="11" t="str">
        <x:v>R1</x:v>
      </x:c>
      <x:c r="E34" s="11" t="str">
        <x:v>C02</x:v>
      </x:c>
      <x:c r="F34" s="11" t="str">
        <x:v>TC-ACC-004-01 / -02</x:v>
      </x:c>
      <x:c r="G34" s="11" t="str">
        <x:v>Separation of duties</x:v>
      </x:c>
    </x:row>
    <x:row r="35" ht="42" customHeight="1">
      <x:c r="A35" s="11" t="str">
        <x:v>BR-ACC-005</x:v>
      </x:c>
      <x:c r="B35" s="11" t="str">
        <x:v>FR-ACC-005</x:v>
      </x:c>
      <x:c r="C35" s="11" t="str">
        <x:v>P0</x:v>
      </x:c>
      <x:c r="D35" s="11" t="str">
        <x:v>R1</x:v>
      </x:c>
      <x:c r="E35" s="11" t="str">
        <x:v>C02</x:v>
      </x:c>
      <x:c r="F35" s="11" t="str">
        <x:v>TC-ACC-005-01 / -02</x:v>
      </x:c>
      <x:c r="G35" s="11" t="str">
        <x:v>Permission safe derivation</x:v>
      </x:c>
    </x:row>
    <x:row r="36" ht="42" customHeight="1">
      <x:c r="A36" s="11" t="str">
        <x:v>BR-ACC-006</x:v>
      </x:c>
      <x:c r="B36" s="11" t="str">
        <x:v>FR-ACC-006</x:v>
      </x:c>
      <x:c r="C36" s="11" t="str">
        <x:v>P0</x:v>
      </x:c>
      <x:c r="D36" s="11" t="str">
        <x:v>R1</x:v>
      </x:c>
      <x:c r="E36" s="11" t="str">
        <x:v>C02</x:v>
      </x:c>
      <x:c r="F36" s="11" t="str">
        <x:v>TC-ACC-006-01 / -02</x:v>
      </x:c>
      <x:c r="G36" s="11" t="str">
        <x:v>External access lifecycle</x:v>
      </x:c>
    </x:row>
    <x:row r="37" ht="42" customHeight="1">
      <x:c r="A37" s="11" t="str">
        <x:v>BR-ACC-007</x:v>
      </x:c>
      <x:c r="B37" s="11" t="str">
        <x:v>FR-ACC-007</x:v>
      </x:c>
      <x:c r="C37" s="11" t="str">
        <x:v>P0</x:v>
      </x:c>
      <x:c r="D37" s="11" t="str">
        <x:v>R1</x:v>
      </x:c>
      <x:c r="E37" s="11" t="str">
        <x:v>C02</x:v>
      </x:c>
      <x:c r="F37" s="11" t="str">
        <x:v>TC-ACC-007-01 / -02</x:v>
      </x:c>
      <x:c r="G37" s="11" t="str">
        <x:v>Export and bulk access</x:v>
      </x:c>
    </x:row>
    <x:row r="38" ht="42" customHeight="1">
      <x:c r="A38" s="11" t="str">
        <x:v>BR-ACC-008</x:v>
      </x:c>
      <x:c r="B38" s="11" t="str">
        <x:v>FR-ACC-008</x:v>
      </x:c>
      <x:c r="C38" s="11" t="str">
        <x:v>P0</x:v>
      </x:c>
      <x:c r="D38" s="11" t="str">
        <x:v>R1</x:v>
      </x:c>
      <x:c r="E38" s="11" t="str">
        <x:v>C02</x:v>
      </x:c>
      <x:c r="F38" s="11" t="str">
        <x:v>TC-ACC-008-01 / -02</x:v>
      </x:c>
      <x:c r="G38" s="11" t="str">
        <x:v>Privileged support access</x:v>
      </x:c>
    </x:row>
    <x:row r="39" ht="42" customHeight="1">
      <x:c r="A39" s="11" t="str">
        <x:v>BR-ACC-009</x:v>
      </x:c>
      <x:c r="B39" s="11" t="str">
        <x:v>FR-ACC-009</x:v>
      </x:c>
      <x:c r="C39" s="11" t="str">
        <x:v>P0</x:v>
      </x:c>
      <x:c r="D39" s="11" t="str">
        <x:v>R1</x:v>
      </x:c>
      <x:c r="E39" s="11" t="str">
        <x:v>C02</x:v>
      </x:c>
      <x:c r="F39" s="11" t="str">
        <x:v>TC-ACC-009-01 / -02</x:v>
      </x:c>
      <x:c r="G39" s="11" t="str">
        <x:v>Privacy preserving aggregates</x:v>
      </x:c>
    </x:row>
    <x:row r="40" ht="42" customHeight="1">
      <x:c r="A40" s="11" t="str">
        <x:v>BR-ACC-010</x:v>
      </x:c>
      <x:c r="B40" s="11" t="str">
        <x:v>FR-ACC-010</x:v>
      </x:c>
      <x:c r="C40" s="11" t="str">
        <x:v>P0</x:v>
      </x:c>
      <x:c r="D40" s="11" t="str">
        <x:v>R1</x:v>
      </x:c>
      <x:c r="E40" s="11" t="str">
        <x:v>C02</x:v>
      </x:c>
      <x:c r="F40" s="11" t="str">
        <x:v>TC-ACC-010-01 / -02</x:v>
      </x:c>
      <x:c r="G40" s="11" t="str">
        <x:v>Partner limited collaboration</x:v>
      </x:c>
    </x:row>
    <x:row r="41" ht="42" customHeight="1">
      <x:c r="A41" s="11" t="str">
        <x:v>BR-ACC-011</x:v>
      </x:c>
      <x:c r="B41" s="11" t="str">
        <x:v>FR-ACC-011</x:v>
      </x:c>
      <x:c r="C41" s="11" t="str">
        <x:v>P0</x:v>
      </x:c>
      <x:c r="D41" s="11" t="str">
        <x:v>R1</x:v>
      </x:c>
      <x:c r="E41" s="11" t="str">
        <x:v>C02</x:v>
      </x:c>
      <x:c r="F41" s="11" t="str">
        <x:v>TC-ACC-011-01 / -02</x:v>
      </x:c>
      <x:c r="G41" s="11" t="str">
        <x:v>Access changes and existing artifacts</x:v>
      </x:c>
    </x:row>
    <x:row r="42" ht="42" customHeight="1">
      <x:c r="A42" s="11" t="str">
        <x:v>BR-ACC-012</x:v>
      </x:c>
      <x:c r="B42" s="11" t="str">
        <x:v>FR-ACC-012</x:v>
      </x:c>
      <x:c r="C42" s="11" t="str">
        <x:v>P1</x:v>
      </x:c>
      <x:c r="D42" s="11" t="str">
        <x:v>R2</x:v>
      </x:c>
      <x:c r="E42" s="11" t="str">
        <x:v>C02</x:v>
      </x:c>
      <x:c r="F42" s="11" t="str">
        <x:v>TC-ACC-012-01 / -02</x:v>
      </x:c>
      <x:c r="G42" s="11" t="str">
        <x:v>Administrative review and simulation</x:v>
      </x:c>
    </x:row>
    <x:row r="43" ht="42" customHeight="1">
      <x:c r="A43" s="11" t="str">
        <x:v>BR-PLN-001</x:v>
      </x:c>
      <x:c r="B43" s="11" t="str">
        <x:v>FR-PLN-001</x:v>
      </x:c>
      <x:c r="C43" s="11" t="str">
        <x:v>P0</x:v>
      </x:c>
      <x:c r="D43" s="11" t="str">
        <x:v>R1</x:v>
      </x:c>
      <x:c r="E43" s="11" t="str">
        <x:v>C03</x:v>
      </x:c>
      <x:c r="F43" s="11" t="str">
        <x:v>TC-PLN-001-01 / -02</x:v>
      </x:c>
      <x:c r="G43" s="11" t="str">
        <x:v>Results hierarchy</x:v>
      </x:c>
    </x:row>
    <x:row r="44" ht="42" customHeight="1">
      <x:c r="A44" s="11" t="str">
        <x:v>BR-PLN-002</x:v>
      </x:c>
      <x:c r="B44" s="11" t="str">
        <x:v>FR-PLN-002</x:v>
      </x:c>
      <x:c r="C44" s="11" t="str">
        <x:v>P1</x:v>
      </x:c>
      <x:c r="D44" s="11" t="str">
        <x:v>R2</x:v>
      </x:c>
      <x:c r="E44" s="11" t="str">
        <x:v>C03</x:v>
      </x:c>
      <x:c r="F44" s="11" t="str">
        <x:v>TC-PLN-002-01 / -02</x:v>
      </x:c>
      <x:c r="G44" s="11" t="str">
        <x:v>Theory of change relationships</x:v>
      </x:c>
    </x:row>
    <x:row r="45" ht="42" customHeight="1">
      <x:c r="A45" s="11" t="str">
        <x:v>BR-PLN-003</x:v>
      </x:c>
      <x:c r="B45" s="11" t="str">
        <x:v>FR-PLN-003</x:v>
      </x:c>
      <x:c r="C45" s="11" t="str">
        <x:v>P0</x:v>
      </x:c>
      <x:c r="D45" s="11" t="str">
        <x:v>R1</x:v>
      </x:c>
      <x:c r="E45" s="11" t="str">
        <x:v>C03</x:v>
      </x:c>
      <x:c r="F45" s="11" t="str">
        <x:v>TC-PLN-003-01 / -02</x:v>
      </x:c>
      <x:c r="G45" s="11" t="str">
        <x:v>Framework baselines</x:v>
      </x:c>
    </x:row>
    <x:row r="46" ht="42" customHeight="1">
      <x:c r="A46" s="11" t="str">
        <x:v>BR-PLN-004</x:v>
      </x:c>
      <x:c r="B46" s="11" t="str">
        <x:v>FR-PLN-004</x:v>
      </x:c>
      <x:c r="C46" s="11" t="str">
        <x:v>P1</x:v>
      </x:c>
      <x:c r="D46" s="11" t="str">
        <x:v>R1</x:v>
      </x:c>
      <x:c r="E46" s="11" t="str">
        <x:v>C03</x:v>
      </x:c>
      <x:c r="F46" s="11" t="str">
        <x:v>TC-PLN-004-01 / -02</x:v>
      </x:c>
      <x:c r="G46" s="11" t="str">
        <x:v>Reusable libraries</x:v>
      </x:c>
    </x:row>
    <x:row r="47" ht="42" customHeight="1">
      <x:c r="A47" s="11" t="str">
        <x:v>BR-PLN-005</x:v>
      </x:c>
      <x:c r="B47" s="11" t="str">
        <x:v>FR-PLN-005</x:v>
      </x:c>
      <x:c r="C47" s="11" t="str">
        <x:v>P1</x:v>
      </x:c>
      <x:c r="D47" s="11" t="str">
        <x:v>R2</x:v>
      </x:c>
      <x:c r="E47" s="11" t="str">
        <x:v>C03</x:v>
      </x:c>
      <x:c r="F47" s="11" t="str">
        <x:v>TC-PLN-005-01 / -02</x:v>
      </x:c>
      <x:c r="G47" s="11" t="str">
        <x:v>Standard mappings</x:v>
      </x:c>
    </x:row>
    <x:row r="48" ht="42" customHeight="1">
      <x:c r="A48" s="11" t="str">
        <x:v>BR-PLN-006</x:v>
      </x:c>
      <x:c r="B48" s="11" t="str">
        <x:v>FR-PLN-006</x:v>
      </x:c>
      <x:c r="C48" s="11" t="str">
        <x:v>P0</x:v>
      </x:c>
      <x:c r="D48" s="11" t="str">
        <x:v>R1</x:v>
      </x:c>
      <x:c r="E48" s="11" t="str">
        <x:v>C03</x:v>
      </x:c>
      <x:c r="F48" s="11" t="str">
        <x:v>TC-PLN-006-01 / -02</x:v>
      </x:c>
      <x:c r="G48" s="11" t="str">
        <x:v>Measurement plan</x:v>
      </x:c>
    </x:row>
    <x:row r="49" ht="42" customHeight="1">
      <x:c r="A49" s="11" t="str">
        <x:v>BR-PLN-007</x:v>
      </x:c>
      <x:c r="B49" s="11" t="str">
        <x:v>FR-PLN-007</x:v>
      </x:c>
      <x:c r="C49" s="11" t="str">
        <x:v>P1</x:v>
      </x:c>
      <x:c r="D49" s="11" t="str">
        <x:v>R1</x:v>
      </x:c>
      <x:c r="E49" s="11" t="str">
        <x:v>C03</x:v>
      </x:c>
      <x:c r="F49" s="11" t="str">
        <x:v>TC-PLN-007-01 / -02</x:v>
      </x:c>
      <x:c r="G49" s="11" t="str">
        <x:v>Assumptions and context</x:v>
      </x:c>
    </x:row>
    <x:row r="50" ht="42" customHeight="1">
      <x:c r="A50" s="11" t="str">
        <x:v>BR-PLN-008</x:v>
      </x:c>
      <x:c r="B50" s="11" t="str">
        <x:v>FR-PLN-008</x:v>
      </x:c>
      <x:c r="C50" s="11" t="str">
        <x:v>P2</x:v>
      </x:c>
      <x:c r="D50" s="11" t="str">
        <x:v>R3</x:v>
      </x:c>
      <x:c r="E50" s="11" t="str">
        <x:v>C03</x:v>
      </x:c>
      <x:c r="F50" s="11" t="str">
        <x:v>TC-PLN-008-01 / -02</x:v>
      </x:c>
      <x:c r="G50" s="11" t="str">
        <x:v>Planning scenarios</x:v>
      </x:c>
    </x:row>
    <x:row r="51" ht="42" customHeight="1">
      <x:c r="A51" s="11" t="str">
        <x:v>BR-PLN-009</x:v>
      </x:c>
      <x:c r="B51" s="11" t="str">
        <x:v>FR-PLN-009</x:v>
      </x:c>
      <x:c r="C51" s="11" t="str">
        <x:v>P1</x:v>
      </x:c>
      <x:c r="D51" s="11" t="str">
        <x:v>R1</x:v>
      </x:c>
      <x:c r="E51" s="11" t="str">
        <x:v>C03</x:v>
      </x:c>
      <x:c r="F51" s="11" t="str">
        <x:v>TC-PLN-009-01 / -02</x:v>
      </x:c>
      <x:c r="G51" s="11" t="str">
        <x:v>Document assisted setup</x:v>
      </x:c>
    </x:row>
    <x:row r="52" ht="42" customHeight="1">
      <x:c r="A52" s="11" t="str">
        <x:v>BR-PLN-010</x:v>
      </x:c>
      <x:c r="B52" s="11" t="str">
        <x:v>FR-PLN-010</x:v>
      </x:c>
      <x:c r="C52" s="11" t="str">
        <x:v>P0</x:v>
      </x:c>
      <x:c r="D52" s="11" t="str">
        <x:v>R1</x:v>
      </x:c>
      <x:c r="E52" s="11" t="str">
        <x:v>C03</x:v>
      </x:c>
      <x:c r="F52" s="11" t="str">
        <x:v>TC-PLN-010-01 / -02</x:v>
      </x:c>
      <x:c r="G52" s="11" t="str">
        <x:v>Framework completeness review</x:v>
      </x:c>
    </x:row>
    <x:row r="53" ht="42" customHeight="1">
      <x:c r="A53" s="11" t="str">
        <x:v>BR-PRG-001</x:v>
      </x:c>
      <x:c r="B53" s="11" t="str">
        <x:v>FR-PRG-001</x:v>
      </x:c>
      <x:c r="C53" s="11" t="str">
        <x:v>P0</x:v>
      </x:c>
      <x:c r="D53" s="11" t="str">
        <x:v>R1</x:v>
      </x:c>
      <x:c r="E53" s="11" t="str">
        <x:v>C03</x:v>
      </x:c>
      <x:c r="F53" s="11" t="str">
        <x:v>TC-PRG-001-01 / -02</x:v>
      </x:c>
      <x:c r="G53" s="11" t="str">
        <x:v>Programme and project registry</x:v>
      </x:c>
    </x:row>
    <x:row r="54" ht="42" customHeight="1">
      <x:c r="A54" s="11" t="str">
        <x:v>BR-PRG-002</x:v>
      </x:c>
      <x:c r="B54" s="11" t="str">
        <x:v>FR-PRG-002</x:v>
      </x:c>
      <x:c r="C54" s="11" t="str">
        <x:v>P1</x:v>
      </x:c>
      <x:c r="D54" s="11" t="str">
        <x:v>R1</x:v>
      </x:c>
      <x:c r="E54" s="11" t="str">
        <x:v>C03</x:v>
      </x:c>
      <x:c r="F54" s="11" t="str">
        <x:v>TC-PRG-002-01 / -02</x:v>
      </x:c>
      <x:c r="G54" s="11" t="str">
        <x:v>Activities and milestones</x:v>
      </x:c>
    </x:row>
    <x:row r="55" ht="42" customHeight="1">
      <x:c r="A55" s="11" t="str">
        <x:v>BR-PRG-003</x:v>
      </x:c>
      <x:c r="B55" s="11" t="str">
        <x:v>FR-PRG-003</x:v>
      </x:c>
      <x:c r="C55" s="11" t="str">
        <x:v>P1</x:v>
      </x:c>
      <x:c r="D55" s="11" t="str">
        <x:v>R1</x:v>
      </x:c>
      <x:c r="E55" s="11" t="str">
        <x:v>C03</x:v>
      </x:c>
      <x:c r="F55" s="11" t="str">
        <x:v>TC-PRG-003-01 / -02</x:v>
      </x:c>
      <x:c r="G55" s="11" t="str">
        <x:v>Workplans and calendars</x:v>
      </x:c>
    </x:row>
    <x:row r="56" ht="42" customHeight="1">
      <x:c r="A56" s="11" t="str">
        <x:v>BR-PRG-004</x:v>
      </x:c>
      <x:c r="B56" s="11" t="str">
        <x:v>FR-PRG-004</x:v>
      </x:c>
      <x:c r="C56" s="11" t="str">
        <x:v>P1</x:v>
      </x:c>
      <x:c r="D56" s="11" t="str">
        <x:v>R1</x:v>
      </x:c>
      <x:c r="E56" s="11" t="str">
        <x:v>C03</x:v>
      </x:c>
      <x:c r="F56" s="11" t="str">
        <x:v>TC-PRG-004-01 / -02</x:v>
      </x:c>
      <x:c r="G56" s="11" t="str">
        <x:v>Risks issues and dependencies</x:v>
      </x:c>
    </x:row>
    <x:row r="57" ht="42" customHeight="1">
      <x:c r="A57" s="11" t="str">
        <x:v>BR-PRG-005</x:v>
      </x:c>
      <x:c r="B57" s="11" t="str">
        <x:v>FR-PRG-005</x:v>
      </x:c>
      <x:c r="C57" s="11" t="str">
        <x:v>P1</x:v>
      </x:c>
      <x:c r="D57" s="11" t="str">
        <x:v>R1</x:v>
      </x:c>
      <x:c r="E57" s="11" t="str">
        <x:v>C03</x:v>
      </x:c>
      <x:c r="F57" s="11" t="str">
        <x:v>TC-PRG-005-01 / -02</x:v>
      </x:c>
      <x:c r="G57" s="11" t="str">
        <x:v>Geography and sites</x:v>
      </x:c>
    </x:row>
    <x:row r="58" ht="42" customHeight="1">
      <x:c r="A58" s="11" t="str">
        <x:v>BR-PRG-006</x:v>
      </x:c>
      <x:c r="B58" s="11" t="str">
        <x:v>FR-PRG-006</x:v>
      </x:c>
      <x:c r="C58" s="11" t="str">
        <x:v>P0</x:v>
      </x:c>
      <x:c r="D58" s="11" t="str">
        <x:v>R1</x:v>
      </x:c>
      <x:c r="E58" s="11" t="str">
        <x:v>C03</x:v>
      </x:c>
      <x:c r="F58" s="11" t="str">
        <x:v>TC-PRG-006-01 / -02</x:v>
      </x:c>
      <x:c r="G58" s="11" t="str">
        <x:v>Partner responsibilities</x:v>
      </x:c>
    </x:row>
    <x:row r="59" ht="42" customHeight="1">
      <x:c r="A59" s="11" t="str">
        <x:v>BR-PRG-007</x:v>
      </x:c>
      <x:c r="B59" s="11" t="str">
        <x:v>FR-PRG-007</x:v>
      </x:c>
      <x:c r="C59" s="11" t="str">
        <x:v>P1</x:v>
      </x:c>
      <x:c r="D59" s="11" t="str">
        <x:v>R1</x:v>
      </x:c>
      <x:c r="E59" s="11" t="str">
        <x:v>C03</x:v>
      </x:c>
      <x:c r="F59" s="11" t="str">
        <x:v>TC-PRG-007-01 / -02</x:v>
      </x:c>
      <x:c r="G59" s="11" t="str">
        <x:v>Programme change control</x:v>
      </x:c>
    </x:row>
    <x:row r="60" ht="42" customHeight="1">
      <x:c r="A60" s="11" t="str">
        <x:v>BR-PRG-008</x:v>
      </x:c>
      <x:c r="B60" s="11" t="str">
        <x:v>FR-PRG-008</x:v>
      </x:c>
      <x:c r="C60" s="11" t="str">
        <x:v>P0</x:v>
      </x:c>
      <x:c r="D60" s="11" t="str">
        <x:v>R1</x:v>
      </x:c>
      <x:c r="E60" s="11" t="str">
        <x:v>C03</x:v>
      </x:c>
      <x:c r="F60" s="11" t="str">
        <x:v>TC-PRG-008-01 / -02</x:v>
      </x:c>
      <x:c r="G60" s="11" t="str">
        <x:v>Closure and archival</x:v>
      </x:c>
    </x:row>
    <x:row r="61" ht="42" customHeight="1">
      <x:c r="A61" s="11" t="str">
        <x:v>BR-PRG-009</x:v>
      </x:c>
      <x:c r="B61" s="11" t="str">
        <x:v>FR-PRG-009</x:v>
      </x:c>
      <x:c r="C61" s="11" t="str">
        <x:v>P1</x:v>
      </x:c>
      <x:c r="D61" s="11" t="str">
        <x:v>R2</x:v>
      </x:c>
      <x:c r="E61" s="11" t="str">
        <x:v>C03</x:v>
      </x:c>
      <x:c r="F61" s="11" t="str">
        <x:v>TC-PRG-009-01 / -02</x:v>
      </x:c>
      <x:c r="G61" s="11" t="str">
        <x:v>Cross project dependencies</x:v>
      </x:c>
    </x:row>
    <x:row r="62" ht="42" customHeight="1">
      <x:c r="A62" s="11" t="str">
        <x:v>BR-PRG-010</x:v>
      </x:c>
      <x:c r="B62" s="11" t="str">
        <x:v>FR-PRG-010</x:v>
      </x:c>
      <x:c r="C62" s="11" t="str">
        <x:v>P1</x:v>
      </x:c>
      <x:c r="D62" s="11" t="str">
        <x:v>R2</x:v>
      </x:c>
      <x:c r="E62" s="11" t="str">
        <x:v>C03</x:v>
      </x:c>
      <x:c r="F62" s="11" t="str">
        <x:v>TC-PRG-010-01 / -02</x:v>
      </x:c>
      <x:c r="G62" s="11" t="str">
        <x:v>Bulk administration</x:v>
      </x:c>
    </x:row>
    <x:row r="63" ht="42" customHeight="1">
      <x:c r="A63" s="11" t="str">
        <x:v>BR-IND-001</x:v>
      </x:c>
      <x:c r="B63" s="11" t="str">
        <x:v>FR-IND-001</x:v>
      </x:c>
      <x:c r="C63" s="11" t="str">
        <x:v>P0</x:v>
      </x:c>
      <x:c r="D63" s="11" t="str">
        <x:v>R1</x:v>
      </x:c>
      <x:c r="E63" s="11" t="str">
        <x:v>C04</x:v>
      </x:c>
      <x:c r="F63" s="11" t="str">
        <x:v>TC-IND-001-01 / -02</x:v>
      </x:c>
      <x:c r="G63" s="11" t="str">
        <x:v>Complete indicator definition</x:v>
      </x:c>
    </x:row>
    <x:row r="64" ht="42" customHeight="1">
      <x:c r="A64" s="11" t="str">
        <x:v>BR-IND-002</x:v>
      </x:c>
      <x:c r="B64" s="11" t="str">
        <x:v>FR-IND-002</x:v>
      </x:c>
      <x:c r="C64" s="11" t="str">
        <x:v>P0</x:v>
      </x:c>
      <x:c r="D64" s="11" t="str">
        <x:v>R1</x:v>
      </x:c>
      <x:c r="E64" s="11" t="str">
        <x:v>C04</x:v>
      </x:c>
      <x:c r="F64" s="11" t="str">
        <x:v>TC-IND-002-01 / -02</x:v>
      </x:c>
      <x:c r="G64" s="11" t="str">
        <x:v>Supported measurement types</x:v>
      </x:c>
    </x:row>
    <x:row r="65" ht="42" customHeight="1">
      <x:c r="A65" s="11" t="str">
        <x:v>BR-IND-003</x:v>
      </x:c>
      <x:c r="B65" s="11" t="str">
        <x:v>FR-IND-003</x:v>
      </x:c>
      <x:c r="C65" s="11" t="str">
        <x:v>P0</x:v>
      </x:c>
      <x:c r="D65" s="11" t="str">
        <x:v>R1</x:v>
      </x:c>
      <x:c r="E65" s="11" t="str">
        <x:v>C04</x:v>
      </x:c>
      <x:c r="F65" s="11" t="str">
        <x:v>TC-IND-003-01 / -02</x:v>
      </x:c>
      <x:c r="G65" s="11" t="str">
        <x:v>Baselines and targets</x:v>
      </x:c>
    </x:row>
    <x:row r="66" ht="42" customHeight="1">
      <x:c r="A66" s="11" t="str">
        <x:v>BR-IND-004</x:v>
      </x:c>
      <x:c r="B66" s="11" t="str">
        <x:v>FR-IND-004</x:v>
      </x:c>
      <x:c r="C66" s="11" t="str">
        <x:v>P0</x:v>
      </x:c>
      <x:c r="D66" s="11" t="str">
        <x:v>R1</x:v>
      </x:c>
      <x:c r="E66" s="11" t="str">
        <x:v>C04</x:v>
      </x:c>
      <x:c r="F66" s="11" t="str">
        <x:v>TC-IND-004-01 / -02</x:v>
      </x:c>
      <x:c r="G66" s="11" t="str">
        <x:v>Target amendments</x:v>
      </x:c>
    </x:row>
    <x:row r="67" ht="42" customHeight="1">
      <x:c r="A67" s="11" t="str">
        <x:v>BR-IND-005</x:v>
      </x:c>
      <x:c r="B67" s="11" t="str">
        <x:v>FR-IND-005</x:v>
      </x:c>
      <x:c r="C67" s="11" t="str">
        <x:v>P0</x:v>
      </x:c>
      <x:c r="D67" s="11" t="str">
        <x:v>R1</x:v>
      </x:c>
      <x:c r="E67" s="11" t="str">
        <x:v>C04</x:v>
      </x:c>
      <x:c r="F67" s="11" t="str">
        <x:v>TC-IND-005-01 / -02</x:v>
      </x:c>
      <x:c r="G67" s="11" t="str">
        <x:v>Reporting periods</x:v>
      </x:c>
    </x:row>
    <x:row r="68" ht="42" customHeight="1">
      <x:c r="A68" s="11" t="str">
        <x:v>BR-IND-006</x:v>
      </x:c>
      <x:c r="B68" s="11" t="str">
        <x:v>FR-IND-006</x:v>
      </x:c>
      <x:c r="C68" s="11" t="str">
        <x:v>P0</x:v>
      </x:c>
      <x:c r="D68" s="11" t="str">
        <x:v>R1</x:v>
      </x:c>
      <x:c r="E68" s="11" t="str">
        <x:v>C04</x:v>
      </x:c>
      <x:c r="F68" s="11" t="str">
        <x:v>TC-IND-006-01 / -02</x:v>
      </x:c>
      <x:c r="G68" s="11" t="str">
        <x:v>Disaggregation dimensions</x:v>
      </x:c>
    </x:row>
    <x:row r="69" ht="42" customHeight="1">
      <x:c r="A69" s="11" t="str">
        <x:v>BR-IND-007</x:v>
      </x:c>
      <x:c r="B69" s="11" t="str">
        <x:v>FR-IND-007</x:v>
      </x:c>
      <x:c r="C69" s="11" t="str">
        <x:v>P0</x:v>
      </x:c>
      <x:c r="D69" s="11" t="str">
        <x:v>R1</x:v>
      </x:c>
      <x:c r="E69" s="11" t="str">
        <x:v>C04</x:v>
      </x:c>
      <x:c r="F69" s="11" t="str">
        <x:v>TC-IND-007-01 / -02</x:v>
      </x:c>
      <x:c r="G69" s="11" t="str">
        <x:v>Missing and exceptional values</x:v>
      </x:c>
    </x:row>
    <x:row r="70" ht="42" customHeight="1">
      <x:c r="A70" s="11" t="str">
        <x:v>BR-IND-008</x:v>
      </x:c>
      <x:c r="B70" s="11" t="str">
        <x:v>FR-IND-008</x:v>
      </x:c>
      <x:c r="C70" s="11" t="str">
        <x:v>P0</x:v>
      </x:c>
      <x:c r="D70" s="11" t="str">
        <x:v>R1</x:v>
      </x:c>
      <x:c r="E70" s="11" t="str">
        <x:v>C04</x:v>
      </x:c>
      <x:c r="F70" s="11" t="str">
        <x:v>TC-IND-008-01 / -02</x:v>
      </x:c>
      <x:c r="G70" s="11" t="str">
        <x:v>Definition versioning</x:v>
      </x:c>
    </x:row>
    <x:row r="71" ht="42" customHeight="1">
      <x:c r="A71" s="11" t="str">
        <x:v>BR-IND-009</x:v>
      </x:c>
      <x:c r="B71" s="11" t="str">
        <x:v>FR-IND-009</x:v>
      </x:c>
      <x:c r="C71" s="11" t="str">
        <x:v>P1</x:v>
      </x:c>
      <x:c r="D71" s="11" t="str">
        <x:v>R1</x:v>
      </x:c>
      <x:c r="E71" s="11" t="str">
        <x:v>C04</x:v>
      </x:c>
      <x:c r="F71" s="11" t="str">
        <x:v>TC-IND-009-01 / -02</x:v>
      </x:c>
      <x:c r="G71" s="11" t="str">
        <x:v>Indicator library reuse</x:v>
      </x:c>
    </x:row>
    <x:row r="72" ht="42" customHeight="1">
      <x:c r="A72" s="11" t="str">
        <x:v>BR-IND-010</x:v>
      </x:c>
      <x:c r="B72" s="11" t="str">
        <x:v>FR-IND-010</x:v>
      </x:c>
      <x:c r="C72" s="11" t="str">
        <x:v>P0</x:v>
      </x:c>
      <x:c r="D72" s="11" t="str">
        <x:v>R1</x:v>
      </x:c>
      <x:c r="E72" s="11" t="str">
        <x:v>C04</x:v>
      </x:c>
      <x:c r="F72" s="11" t="str">
        <x:v>TC-IND-010-01 / -02</x:v>
      </x:c>
      <x:c r="G72" s="11" t="str">
        <x:v>Manual and calculated results</x:v>
      </x:c>
    </x:row>
    <x:row r="73" ht="42" customHeight="1">
      <x:c r="A73" s="11" t="str">
        <x:v>BR-IND-011</x:v>
      </x:c>
      <x:c r="B73" s="11" t="str">
        <x:v>FR-IND-011</x:v>
      </x:c>
      <x:c r="C73" s="11" t="str">
        <x:v>P0</x:v>
      </x:c>
      <x:c r="D73" s="11" t="str">
        <x:v>R1</x:v>
      </x:c>
      <x:c r="E73" s="11" t="str">
        <x:v>C04</x:v>
      </x:c>
      <x:c r="F73" s="11" t="str">
        <x:v>TC-IND-011-01 / -02</x:v>
      </x:c>
      <x:c r="G73" s="11" t="str">
        <x:v>Evidence requirements</x:v>
      </x:c>
    </x:row>
    <x:row r="74" ht="42" customHeight="1">
      <x:c r="A74" s="11" t="str">
        <x:v>BR-IND-012</x:v>
      </x:c>
      <x:c r="B74" s="11" t="str">
        <x:v>FR-IND-012</x:v>
      </x:c>
      <x:c r="C74" s="11" t="str">
        <x:v>P0</x:v>
      </x:c>
      <x:c r="D74" s="11" t="str">
        <x:v>R1</x:v>
      </x:c>
      <x:c r="E74" s="11" t="str">
        <x:v>C04</x:v>
      </x:c>
      <x:c r="F74" s="11" t="str">
        <x:v>TC-IND-012-01 / -02</x:v>
      </x:c>
      <x:c r="G74" s="11" t="str">
        <x:v>Responsibility and collection schedule</x:v>
      </x:c>
    </x:row>
    <x:row r="75" ht="42" customHeight="1">
      <x:c r="A75" s="11" t="str">
        <x:v>BR-IND-013</x:v>
      </x:c>
      <x:c r="B75" s="11" t="str">
        <x:v>FR-IND-013</x:v>
      </x:c>
      <x:c r="C75" s="11" t="str">
        <x:v>P1</x:v>
      </x:c>
      <x:c r="D75" s="11" t="str">
        <x:v>R1</x:v>
      </x:c>
      <x:c r="E75" s="11" t="str">
        <x:v>C04</x:v>
      </x:c>
      <x:c r="F75" s="11" t="str">
        <x:v>TC-IND-013-01 / -02</x:v>
      </x:c>
      <x:c r="G75" s="11" t="str">
        <x:v>Status and thresholds</x:v>
      </x:c>
    </x:row>
    <x:row r="76" ht="42" customHeight="1">
      <x:c r="A76" s="11" t="str">
        <x:v>BR-IND-014</x:v>
      </x:c>
      <x:c r="B76" s="11" t="str">
        <x:v>FR-IND-014</x:v>
      </x:c>
      <x:c r="C76" s="11" t="str">
        <x:v>P0</x:v>
      </x:c>
      <x:c r="D76" s="11" t="str">
        <x:v>R1</x:v>
      </x:c>
      <x:c r="E76" s="11" t="str">
        <x:v>C04</x:v>
      </x:c>
      <x:c r="F76" s="11" t="str">
        <x:v>TC-IND-014-01 / -02</x:v>
      </x:c>
      <x:c r="G76" s="11" t="str">
        <x:v>Retirement and replacement</x:v>
      </x:c>
    </x:row>
    <x:row r="77" ht="42" customHeight="1">
      <x:c r="A77" s="11" t="str">
        <x:v>BR-IND-015</x:v>
      </x:c>
      <x:c r="B77" s="11" t="str">
        <x:v>FR-IND-015</x:v>
      </x:c>
      <x:c r="C77" s="11" t="str">
        <x:v>P1</x:v>
      </x:c>
      <x:c r="D77" s="11" t="str">
        <x:v>R1</x:v>
      </x:c>
      <x:c r="E77" s="11" t="str">
        <x:v>C04</x:v>
      </x:c>
      <x:c r="F77" s="11" t="str">
        <x:v>TC-IND-015-01 / -02</x:v>
      </x:c>
      <x:c r="G77" s="11" t="str">
        <x:v>Reference sheets and dictionary export</x:v>
      </x:c>
    </x:row>
    <x:row r="78" ht="42" customHeight="1">
      <x:c r="A78" s="11" t="str">
        <x:v>BR-CAL-001</x:v>
      </x:c>
      <x:c r="B78" s="11" t="str">
        <x:v>FR-CAL-001</x:v>
      </x:c>
      <x:c r="C78" s="11" t="str">
        <x:v>P0</x:v>
      </x:c>
      <x:c r="D78" s="11" t="str">
        <x:v>R1</x:v>
      </x:c>
      <x:c r="E78" s="11" t="str">
        <x:v>C04</x:v>
      </x:c>
      <x:c r="F78" s="11" t="str">
        <x:v>TC-CAL-001-01 / -02</x:v>
      </x:c>
      <x:c r="G78" s="11" t="str">
        <x:v>Deterministic calculation</x:v>
      </x:c>
    </x:row>
    <x:row r="79" ht="42" customHeight="1">
      <x:c r="A79" s="11" t="str">
        <x:v>BR-CAL-002</x:v>
      </x:c>
      <x:c r="B79" s="11" t="str">
        <x:v>FR-CAL-002</x:v>
      </x:c>
      <x:c r="C79" s="11" t="str">
        <x:v>P0</x:v>
      </x:c>
      <x:c r="D79" s="11" t="str">
        <x:v>R1</x:v>
      </x:c>
      <x:c r="E79" s="11" t="str">
        <x:v>C04</x:v>
      </x:c>
      <x:c r="F79" s="11" t="str">
        <x:v>TC-CAL-002-01 / -02</x:v>
      </x:c>
      <x:c r="G79" s="11" t="str">
        <x:v>Type and unit compatibility</x:v>
      </x:c>
    </x:row>
    <x:row r="80" ht="42" customHeight="1">
      <x:c r="A80" s="11" t="str">
        <x:v>BR-CAL-003</x:v>
      </x:c>
      <x:c r="B80" s="11" t="str">
        <x:v>FR-CAL-003</x:v>
      </x:c>
      <x:c r="C80" s="11" t="str">
        <x:v>P0</x:v>
      </x:c>
      <x:c r="D80" s="11" t="str">
        <x:v>R1</x:v>
      </x:c>
      <x:c r="E80" s="11" t="str">
        <x:v>C04</x:v>
      </x:c>
      <x:c r="F80" s="11" t="str">
        <x:v>TC-CAL-003-01 / -02</x:v>
      </x:c>
      <x:c r="G80" s="11" t="str">
        <x:v>Ratios rates and percentages</x:v>
      </x:c>
    </x:row>
    <x:row r="81" ht="42" customHeight="1">
      <x:c r="A81" s="11" t="str">
        <x:v>BR-CAL-004</x:v>
      </x:c>
      <x:c r="B81" s="11" t="str">
        <x:v>FR-CAL-004</x:v>
      </x:c>
      <x:c r="C81" s="11" t="str">
        <x:v>P0</x:v>
      </x:c>
      <x:c r="D81" s="11" t="str">
        <x:v>R1</x:v>
      </x:c>
      <x:c r="E81" s="11" t="str">
        <x:v>C04</x:v>
      </x:c>
      <x:c r="F81" s="11" t="str">
        <x:v>TC-CAL-004-01 / -02</x:v>
      </x:c>
      <x:c r="G81" s="11" t="str">
        <x:v>Population overlap</x:v>
      </x:c>
    </x:row>
    <x:row r="82" ht="42" customHeight="1">
      <x:c r="A82" s="11" t="str">
        <x:v>BR-CAL-005</x:v>
      </x:c>
      <x:c r="B82" s="11" t="str">
        <x:v>FR-CAL-005</x:v>
      </x:c>
      <x:c r="C82" s="11" t="str">
        <x:v>P0</x:v>
      </x:c>
      <x:c r="D82" s="11" t="str">
        <x:v>R1</x:v>
      </x:c>
      <x:c r="E82" s="11" t="str">
        <x:v>C04</x:v>
      </x:c>
      <x:c r="F82" s="11" t="str">
        <x:v>TC-CAL-005-01 / -02</x:v>
      </x:c>
      <x:c r="G82" s="11" t="str">
        <x:v>Time aggregation semantics</x:v>
      </x:c>
    </x:row>
    <x:row r="83" ht="42" customHeight="1">
      <x:c r="A83" s="11" t="str">
        <x:v>BR-CAL-006</x:v>
      </x:c>
      <x:c r="B83" s="11" t="str">
        <x:v>FR-CAL-006</x:v>
      </x:c>
      <x:c r="C83" s="11" t="str">
        <x:v>P0</x:v>
      </x:c>
      <x:c r="D83" s="11" t="str">
        <x:v>R1</x:v>
      </x:c>
      <x:c r="E83" s="11" t="str">
        <x:v>C04</x:v>
      </x:c>
      <x:c r="F83" s="11" t="str">
        <x:v>TC-CAL-006-01 / -02</x:v>
      </x:c>
      <x:c r="G83" s="11" t="str">
        <x:v>Hierarchical aggregation</x:v>
      </x:c>
    </x:row>
    <x:row r="84" ht="42" customHeight="1">
      <x:c r="A84" s="11" t="str">
        <x:v>BR-CAL-007</x:v>
      </x:c>
      <x:c r="B84" s="11" t="str">
        <x:v>FR-CAL-007</x:v>
      </x:c>
      <x:c r="C84" s="11" t="str">
        <x:v>P0</x:v>
      </x:c>
      <x:c r="D84" s="11" t="str">
        <x:v>R1</x:v>
      </x:c>
      <x:c r="E84" s="11" t="str">
        <x:v>C04</x:v>
      </x:c>
      <x:c r="F84" s="11" t="str">
        <x:v>TC-CAL-007-01 / -02</x:v>
      </x:c>
      <x:c r="G84" s="11" t="str">
        <x:v>Dimension alignment</x:v>
      </x:c>
    </x:row>
    <x:row r="85" ht="42" customHeight="1">
      <x:c r="A85" s="11" t="str">
        <x:v>BR-CAL-008</x:v>
      </x:c>
      <x:c r="B85" s="11" t="str">
        <x:v>FR-CAL-008</x:v>
      </x:c>
      <x:c r="C85" s="11" t="str">
        <x:v>P0</x:v>
      </x:c>
      <x:c r="D85" s="11" t="str">
        <x:v>R1</x:v>
      </x:c>
      <x:c r="E85" s="11" t="str">
        <x:v>C04</x:v>
      </x:c>
      <x:c r="F85" s="11" t="str">
        <x:v>TC-CAL-008-01 / -02</x:v>
      </x:c>
      <x:c r="G85" s="11" t="str">
        <x:v>Missingness and coverage</x:v>
      </x:c>
    </x:row>
    <x:row r="86" ht="42" customHeight="1">
      <x:c r="A86" s="11" t="str">
        <x:v>BR-CAL-009</x:v>
      </x:c>
      <x:c r="B86" s="11" t="str">
        <x:v>FR-CAL-009</x:v>
      </x:c>
      <x:c r="C86" s="11" t="str">
        <x:v>P0</x:v>
      </x:c>
      <x:c r="D86" s="11" t="str">
        <x:v>R1</x:v>
      </x:c>
      <x:c r="E86" s="11" t="str">
        <x:v>C04</x:v>
      </x:c>
      <x:c r="F86" s="11" t="str">
        <x:v>TC-CAL-009-01 / -02</x:v>
      </x:c>
      <x:c r="G86" s="11" t="str">
        <x:v>Precision and rounding</x:v>
      </x:c>
    </x:row>
    <x:row r="87" ht="42" customHeight="1">
      <x:c r="A87" s="11" t="str">
        <x:v>BR-CAL-010</x:v>
      </x:c>
      <x:c r="B87" s="11" t="str">
        <x:v>FR-CAL-010</x:v>
      </x:c>
      <x:c r="C87" s="11" t="str">
        <x:v>P0</x:v>
      </x:c>
      <x:c r="D87" s="11" t="str">
        <x:v>R1</x:v>
      </x:c>
      <x:c r="E87" s="11" t="str">
        <x:v>C04</x:v>
      </x:c>
      <x:c r="F87" s="11" t="str">
        <x:v>TC-CAL-010-01 / -02</x:v>
      </x:c>
      <x:c r="G87" s="11" t="str">
        <x:v>Zero denominators and invalid inputs</x:v>
      </x:c>
    </x:row>
    <x:row r="88" ht="42" customHeight="1">
      <x:c r="A88" s="11" t="str">
        <x:v>BR-CAL-011</x:v>
      </x:c>
      <x:c r="B88" s="11" t="str">
        <x:v>FR-CAL-011</x:v>
      </x:c>
      <x:c r="C88" s="11" t="str">
        <x:v>P0</x:v>
      </x:c>
      <x:c r="D88" s="11" t="str">
        <x:v>R1</x:v>
      </x:c>
      <x:c r="E88" s="11" t="str">
        <x:v>C04</x:v>
      </x:c>
      <x:c r="F88" s="11" t="str">
        <x:v>TC-CAL-011-01 / -02</x:v>
      </x:c>
      <x:c r="G88" s="11" t="str">
        <x:v>Corrections and recalculation</x:v>
      </x:c>
    </x:row>
    <x:row r="89" ht="42" customHeight="1">
      <x:c r="A89" s="11" t="str">
        <x:v>BR-CAL-012</x:v>
      </x:c>
      <x:c r="B89" s="11" t="str">
        <x:v>FR-CAL-012</x:v>
      </x:c>
      <x:c r="C89" s="11" t="str">
        <x:v>P0</x:v>
      </x:c>
      <x:c r="D89" s="11" t="str">
        <x:v>R1</x:v>
      </x:c>
      <x:c r="E89" s="11" t="str">
        <x:v>C04</x:v>
      </x:c>
      <x:c r="F89" s="11" t="str">
        <x:v>TC-CAL-012-01 / -02</x:v>
      </x:c>
      <x:c r="G89" s="11" t="str">
        <x:v>Formula authoring and validation</x:v>
      </x:c>
    </x:row>
    <x:row r="90" ht="42" customHeight="1">
      <x:c r="A90" s="11" t="str">
        <x:v>BR-CAL-013</x:v>
      </x:c>
      <x:c r="B90" s="11" t="str">
        <x:v>FR-CAL-013</x:v>
      </x:c>
      <x:c r="C90" s="11" t="str">
        <x:v>P1</x:v>
      </x:c>
      <x:c r="D90" s="11" t="str">
        <x:v>R2</x:v>
      </x:c>
      <x:c r="E90" s="11" t="str">
        <x:v>C04</x:v>
      </x:c>
      <x:c r="F90" s="11" t="str">
        <x:v>TC-CAL-013-01 / -02</x:v>
      </x:c>
      <x:c r="G90" s="11" t="str">
        <x:v>Weighted and composite indicators</x:v>
      </x:c>
    </x:row>
    <x:row r="91" ht="42" customHeight="1">
      <x:c r="A91" s="11" t="str">
        <x:v>BR-CAL-014</x:v>
      </x:c>
      <x:c r="B91" s="11" t="str">
        <x:v>FR-CAL-014</x:v>
      </x:c>
      <x:c r="C91" s="11" t="str">
        <x:v>P0</x:v>
      </x:c>
      <x:c r="D91" s="11" t="str">
        <x:v>R1</x:v>
      </x:c>
      <x:c r="E91" s="11" t="str">
        <x:v>C04</x:v>
      </x:c>
      <x:c r="F91" s="11" t="str">
        <x:v>TC-CAL-014-01 / -02</x:v>
      </x:c>
      <x:c r="G91" s="11" t="str">
        <x:v>Cross portfolio attribution</x:v>
      </x:c>
    </x:row>
    <x:row r="92" ht="42" customHeight="1">
      <x:c r="A92" s="11" t="str">
        <x:v>BR-CAL-015</x:v>
      </x:c>
      <x:c r="B92" s="11" t="str">
        <x:v>FR-CAL-015</x:v>
      </x:c>
      <x:c r="C92" s="11" t="str">
        <x:v>P0</x:v>
      </x:c>
      <x:c r="D92" s="11" t="str">
        <x:v>R1</x:v>
      </x:c>
      <x:c r="E92" s="11" t="str">
        <x:v>C04</x:v>
      </x:c>
      <x:c r="F92" s="11" t="str">
        <x:v>TC-CAL-015-01 / -02</x:v>
      </x:c>
      <x:c r="G92" s="11" t="str">
        <x:v>Reconciliation and explainability</x:v>
      </x:c>
    </x:row>
    <x:row r="93" ht="42" customHeight="1">
      <x:c r="A93" s="11" t="str">
        <x:v>BR-CAL-016</x:v>
      </x:c>
      <x:c r="B93" s="11" t="str">
        <x:v>FR-CAL-016</x:v>
      </x:c>
      <x:c r="C93" s="11" t="str">
        <x:v>P1</x:v>
      </x:c>
      <x:c r="D93" s="11" t="str">
        <x:v>R2</x:v>
      </x:c>
      <x:c r="E93" s="11" t="str">
        <x:v>C04</x:v>
      </x:c>
      <x:c r="F93" s="11" t="str">
        <x:v>TC-CAL-016-01 / -02</x:v>
      </x:c>
      <x:c r="G93" s="11" t="str">
        <x:v>Statistical interpretation</x:v>
      </x:c>
    </x:row>
    <x:row r="94" ht="42" customHeight="1">
      <x:c r="A94" s="11" t="str">
        <x:v>BR-FRM-001</x:v>
      </x:c>
      <x:c r="B94" s="11" t="str">
        <x:v>FR-FRM-001</x:v>
      </x:c>
      <x:c r="C94" s="11" t="str">
        <x:v>P0</x:v>
      </x:c>
      <x:c r="D94" s="11" t="str">
        <x:v>R1</x:v>
      </x:c>
      <x:c r="E94" s="11" t="str">
        <x:v>C05</x:v>
      </x:c>
      <x:c r="F94" s="11" t="str">
        <x:v>TC-FRM-001-01 / -02</x:v>
      </x:c>
      <x:c r="G94" s="11" t="str">
        <x:v>Form builder</x:v>
      </x:c>
    </x:row>
    <x:row r="95" ht="42" customHeight="1">
      <x:c r="A95" s="11" t="str">
        <x:v>BR-FRM-002</x:v>
      </x:c>
      <x:c r="B95" s="11" t="str">
        <x:v>FR-FRM-002</x:v>
      </x:c>
      <x:c r="C95" s="11" t="str">
        <x:v>P0</x:v>
      </x:c>
      <x:c r="D95" s="11" t="str">
        <x:v>R1</x:v>
      </x:c>
      <x:c r="E95" s="11" t="str">
        <x:v>C05</x:v>
      </x:c>
      <x:c r="F95" s="11" t="str">
        <x:v>TC-FRM-002-01 / -02</x:v>
      </x:c>
      <x:c r="G95" s="11" t="str">
        <x:v>Conditional logic and validation</x:v>
      </x:c>
    </x:row>
    <x:row r="96" ht="42" customHeight="1">
      <x:c r="A96" s="11" t="str">
        <x:v>BR-FRM-003</x:v>
      </x:c>
      <x:c r="B96" s="11" t="str">
        <x:v>FR-FRM-003</x:v>
      </x:c>
      <x:c r="C96" s="11" t="str">
        <x:v>P0</x:v>
      </x:c>
      <x:c r="D96" s="11" t="str">
        <x:v>R1</x:v>
      </x:c>
      <x:c r="E96" s="11" t="str">
        <x:v>C05</x:v>
      </x:c>
      <x:c r="F96" s="11" t="str">
        <x:v>TC-FRM-003-01 / -02</x:v>
      </x:c>
      <x:c r="G96" s="11" t="str">
        <x:v>Form lifecycle and compatibility</x:v>
      </x:c>
    </x:row>
    <x:row r="97" ht="42" customHeight="1">
      <x:c r="A97" s="11" t="str">
        <x:v>BR-FRM-004</x:v>
      </x:c>
      <x:c r="B97" s="11" t="str">
        <x:v>FR-FRM-004</x:v>
      </x:c>
      <x:c r="C97" s="11" t="str">
        <x:v>P1</x:v>
      </x:c>
      <x:c r="D97" s="11" t="str">
        <x:v>R1</x:v>
      </x:c>
      <x:c r="E97" s="11" t="str">
        <x:v>C05</x:v>
      </x:c>
      <x:c r="F97" s="11" t="str">
        <x:v>TC-FRM-004-01 / -02</x:v>
      </x:c>
      <x:c r="G97" s="11" t="str">
        <x:v>Multilingual instruments</x:v>
      </x:c>
    </x:row>
    <x:row r="98" ht="42" customHeight="1">
      <x:c r="A98" s="11" t="str">
        <x:v>BR-FRM-005</x:v>
      </x:c>
      <x:c r="B98" s="11" t="str">
        <x:v>FR-FRM-005</x:v>
      </x:c>
      <x:c r="C98" s="11" t="str">
        <x:v>P0</x:v>
      </x:c>
      <x:c r="D98" s="11" t="str">
        <x:v>R1</x:v>
      </x:c>
      <x:c r="E98" s="11" t="str">
        <x:v>C05</x:v>
      </x:c>
      <x:c r="F98" s="11" t="str">
        <x:v>TC-FRM-005-01 / -02</x:v>
      </x:c>
      <x:c r="G98" s="11" t="str">
        <x:v>Collection rounds and assignments</x:v>
      </x:c>
    </x:row>
    <x:row r="99" ht="42" customHeight="1">
      <x:c r="A99" s="11" t="str">
        <x:v>BR-FRM-006</x:v>
      </x:c>
      <x:c r="B99" s="11" t="str">
        <x:v>FR-FRM-006</x:v>
      </x:c>
      <x:c r="C99" s="11" t="str">
        <x:v>P0</x:v>
      </x:c>
      <x:c r="D99" s="11" t="str">
        <x:v>R1</x:v>
      </x:c>
      <x:c r="E99" s="11" t="str">
        <x:v>C05</x:v>
      </x:c>
      <x:c r="F99" s="11" t="str">
        <x:v>TC-FRM-006-01 / -02</x:v>
      </x:c>
      <x:c r="G99" s="11" t="str">
        <x:v>Save resume and correction</x:v>
      </x:c>
    </x:row>
    <x:row r="100" ht="42" customHeight="1">
      <x:c r="A100" s="11" t="str">
        <x:v>BR-FRM-007</x:v>
      </x:c>
      <x:c r="B100" s="11" t="str">
        <x:v>FR-FRM-007</x:v>
      </x:c>
      <x:c r="C100" s="11" t="str">
        <x:v>P1</x:v>
      </x:c>
      <x:c r="D100" s="11" t="str">
        <x:v>R1</x:v>
      </x:c>
      <x:c r="E100" s="11" t="str">
        <x:v>C05</x:v>
      </x:c>
      <x:c r="F100" s="11" t="str">
        <x:v>TC-FRM-007-01 / -02</x:v>
      </x:c>
      <x:c r="G100" s="11" t="str">
        <x:v>Media and location evidence</x:v>
      </x:c>
    </x:row>
    <x:row r="101" ht="42" customHeight="1">
      <x:c r="A101" s="11" t="str">
        <x:v>BR-FRM-008</x:v>
      </x:c>
      <x:c r="B101" s="11" t="str">
        <x:v>FR-FRM-008</x:v>
      </x:c>
      <x:c r="C101" s="11" t="str">
        <x:v>P1</x:v>
      </x:c>
      <x:c r="D101" s="11" t="str">
        <x:v>R2</x:v>
      </x:c>
      <x:c r="E101" s="11" t="str">
        <x:v>C05</x:v>
      </x:c>
      <x:c r="F101" s="11" t="str">
        <x:v>TC-FRM-008-01 / -02</x:v>
      </x:c>
      <x:c r="G101" s="11" t="str">
        <x:v>Respondent and public forms</x:v>
      </x:c>
    </x:row>
    <x:row r="102" ht="42" customHeight="1">
      <x:c r="A102" s="11" t="str">
        <x:v>BR-FRM-009</x:v>
      </x:c>
      <x:c r="B102" s="11" t="str">
        <x:v>FR-FRM-009</x:v>
      </x:c>
      <x:c r="C102" s="11" t="str">
        <x:v>P1</x:v>
      </x:c>
      <x:c r="D102" s="11" t="str">
        <x:v>R2</x:v>
      </x:c>
      <x:c r="E102" s="11" t="str">
        <x:v>C05</x:v>
      </x:c>
      <x:c r="F102" s="11" t="str">
        <x:v>TC-FRM-009-01 / -02</x:v>
      </x:c>
      <x:c r="G102" s="11" t="str">
        <x:v>Longitudinal and repeat visits</x:v>
      </x:c>
    </x:row>
    <x:row r="103" ht="42" customHeight="1">
      <x:c r="A103" s="11" t="str">
        <x:v>BR-FRM-010</x:v>
      </x:c>
      <x:c r="B103" s="11" t="str">
        <x:v>FR-FRM-010</x:v>
      </x:c>
      <x:c r="C103" s="11" t="str">
        <x:v>P1</x:v>
      </x:c>
      <x:c r="D103" s="11" t="str">
        <x:v>R1</x:v>
      </x:c>
      <x:c r="E103" s="11" t="str">
        <x:v>C05</x:v>
      </x:c>
      <x:c r="F103" s="11" t="str">
        <x:v>TC-FRM-010-01 / -02</x:v>
      </x:c>
      <x:c r="G103" s="11" t="str">
        <x:v>Instrument testing and reuse</x:v>
      </x:c>
    </x:row>
    <x:row r="104" ht="42" customHeight="1">
      <x:c r="A104" s="11" t="str">
        <x:v>BR-OFF-001</x:v>
      </x:c>
      <x:c r="B104" s="11" t="str">
        <x:v>FR-OFF-001</x:v>
      </x:c>
      <x:c r="C104" s="11" t="str">
        <x:v>P0</x:v>
      </x:c>
      <x:c r="D104" s="11" t="str">
        <x:v>R1</x:v>
      </x:c>
      <x:c r="E104" s="11" t="str">
        <x:v>C05</x:v>
      </x:c>
      <x:c r="F104" s="11" t="str">
        <x:v>TC-OFF-001-01 / -02</x:v>
      </x:c>
      <x:c r="G104" s="11" t="str">
        <x:v>Offline task packages</x:v>
      </x:c>
    </x:row>
    <x:row r="105" ht="42" customHeight="1">
      <x:c r="A105" s="11" t="str">
        <x:v>BR-OFF-002</x:v>
      </x:c>
      <x:c r="B105" s="11" t="str">
        <x:v>FR-OFF-002</x:v>
      </x:c>
      <x:c r="C105" s="11" t="str">
        <x:v>P0</x:v>
      </x:c>
      <x:c r="D105" s="11" t="str">
        <x:v>R1</x:v>
      </x:c>
      <x:c r="E105" s="11" t="str">
        <x:v>C05</x:v>
      </x:c>
      <x:c r="F105" s="11" t="str">
        <x:v>TC-OFF-002-01 / -02</x:v>
      </x:c>
      <x:c r="G105" s="11" t="str">
        <x:v>Durable local capture</x:v>
      </x:c>
    </x:row>
    <x:row r="106" ht="42" customHeight="1">
      <x:c r="A106" s="11" t="str">
        <x:v>BR-OFF-003</x:v>
      </x:c>
      <x:c r="B106" s="11" t="str">
        <x:v>FR-OFF-003</x:v>
      </x:c>
      <x:c r="C106" s="11" t="str">
        <x:v>P0</x:v>
      </x:c>
      <x:c r="D106" s="11" t="str">
        <x:v>R1</x:v>
      </x:c>
      <x:c r="E106" s="11" t="str">
        <x:v>C05</x:v>
      </x:c>
      <x:c r="F106" s="11" t="str">
        <x:v>TC-OFF-003-01 / -02</x:v>
      </x:c>
      <x:c r="G106" s="11" t="str">
        <x:v>Idempotent synchronisation</x:v>
      </x:c>
    </x:row>
    <x:row r="107" ht="42" customHeight="1">
      <x:c r="A107" s="11" t="str">
        <x:v>BR-OFF-004</x:v>
      </x:c>
      <x:c r="B107" s="11" t="str">
        <x:v>FR-OFF-004</x:v>
      </x:c>
      <x:c r="C107" s="11" t="str">
        <x:v>P0</x:v>
      </x:c>
      <x:c r="D107" s="11" t="str">
        <x:v>R1</x:v>
      </x:c>
      <x:c r="E107" s="11" t="str">
        <x:v>C05</x:v>
      </x:c>
      <x:c r="F107" s="11" t="str">
        <x:v>TC-OFF-004-01 / -02</x:v>
      </x:c>
      <x:c r="G107" s="11" t="str">
        <x:v>Conflict handling</x:v>
      </x:c>
    </x:row>
    <x:row r="108" ht="42" customHeight="1">
      <x:c r="A108" s="11" t="str">
        <x:v>BR-OFF-005</x:v>
      </x:c>
      <x:c r="B108" s="11" t="str">
        <x:v>FR-OFF-005</x:v>
      </x:c>
      <x:c r="C108" s="11" t="str">
        <x:v>P0</x:v>
      </x:c>
      <x:c r="D108" s="11" t="str">
        <x:v>R1</x:v>
      </x:c>
      <x:c r="E108" s="11" t="str">
        <x:v>C05</x:v>
      </x:c>
      <x:c r="F108" s="11" t="str">
        <x:v>TC-OFF-005-01 / -02</x:v>
      </x:c>
      <x:c r="G108" s="11" t="str">
        <x:v>Device protection and expiry</x:v>
      </x:c>
    </x:row>
    <x:row r="109" ht="42" customHeight="1">
      <x:c r="A109" s="11" t="str">
        <x:v>BR-OFF-006</x:v>
      </x:c>
      <x:c r="B109" s="11" t="str">
        <x:v>FR-OFF-006</x:v>
      </x:c>
      <x:c r="C109" s="11" t="str">
        <x:v>P0</x:v>
      </x:c>
      <x:c r="D109" s="11" t="str">
        <x:v>R1</x:v>
      </x:c>
      <x:c r="E109" s="11" t="str">
        <x:v>C05</x:v>
      </x:c>
      <x:c r="F109" s="11" t="str">
        <x:v>TC-OFF-006-01 / -02</x:v>
      </x:c>
      <x:c r="G109" s="11" t="str">
        <x:v>Shared device operation</x:v>
      </x:c>
    </x:row>
    <x:row r="110" ht="42" customHeight="1">
      <x:c r="A110" s="11" t="str">
        <x:v>BR-OFF-007</x:v>
      </x:c>
      <x:c r="B110" s="11" t="str">
        <x:v>FR-OFF-007</x:v>
      </x:c>
      <x:c r="C110" s="11" t="str">
        <x:v>P1</x:v>
      </x:c>
      <x:c r="D110" s="11" t="str">
        <x:v>R1</x:v>
      </x:c>
      <x:c r="E110" s="11" t="str">
        <x:v>C05</x:v>
      </x:c>
      <x:c r="F110" s="11" t="str">
        <x:v>TC-OFF-007-01 / -02</x:v>
      </x:c>
      <x:c r="G110" s="11" t="str">
        <x:v>Sync and quality supervisor view</x:v>
      </x:c>
    </x:row>
    <x:row r="111" ht="42" customHeight="1">
      <x:c r="A111" s="11" t="str">
        <x:v>BR-OFF-008</x:v>
      </x:c>
      <x:c r="B111" s="11" t="str">
        <x:v>FR-OFF-008</x:v>
      </x:c>
      <x:c r="C111" s="11" t="str">
        <x:v>P0</x:v>
      </x:c>
      <x:c r="D111" s="11" t="str">
        <x:v>R1</x:v>
      </x:c>
      <x:c r="E111" s="11" t="str">
        <x:v>C05</x:v>
      </x:c>
      <x:c r="F111" s="11" t="str">
        <x:v>TC-OFF-008-01 / -02</x:v>
      </x:c>
      <x:c r="G111" s="11" t="str">
        <x:v>Constrained connectivity</x:v>
      </x:c>
    </x:row>
    <x:row r="112" ht="42" customHeight="1">
      <x:c r="A112" s="11" t="str">
        <x:v>BR-DAT-001</x:v>
      </x:c>
      <x:c r="B112" s="11" t="str">
        <x:v>FR-DAT-001</x:v>
      </x:c>
      <x:c r="C112" s="11" t="str">
        <x:v>P0</x:v>
      </x:c>
      <x:c r="D112" s="11" t="str">
        <x:v>R1</x:v>
      </x:c>
      <x:c r="E112" s="11" t="str">
        <x:v>C06</x:v>
      </x:c>
      <x:c r="F112" s="11" t="str">
        <x:v>TC-DAT-001-01 / -02</x:v>
      </x:c>
      <x:c r="G112" s="11" t="str">
        <x:v>File ingestion</x:v>
      </x:c>
    </x:row>
    <x:row r="113" ht="42" customHeight="1">
      <x:c r="A113" s="11" t="str">
        <x:v>BR-DAT-002</x:v>
      </x:c>
      <x:c r="B113" s="11" t="str">
        <x:v>FR-DAT-002</x:v>
      </x:c>
      <x:c r="C113" s="11" t="str">
        <x:v>P0</x:v>
      </x:c>
      <x:c r="D113" s="11" t="str">
        <x:v>R1</x:v>
      </x:c>
      <x:c r="E113" s="11" t="str">
        <x:v>C06</x:v>
      </x:c>
      <x:c r="F113" s="11" t="str">
        <x:v>TC-DAT-002-01 / -02</x:v>
      </x:c>
      <x:c r="G113" s="11" t="str">
        <x:v>Mapping and preview</x:v>
      </x:c>
    </x:row>
    <x:row r="114" ht="42" customHeight="1">
      <x:c r="A114" s="11" t="str">
        <x:v>BR-DAT-003</x:v>
      </x:c>
      <x:c r="B114" s="11" t="str">
        <x:v>FR-DAT-003</x:v>
      </x:c>
      <x:c r="C114" s="11" t="str">
        <x:v>P0</x:v>
      </x:c>
      <x:c r="D114" s="11" t="str">
        <x:v>R1</x:v>
      </x:c>
      <x:c r="E114" s="11" t="str">
        <x:v>C06</x:v>
      </x:c>
      <x:c r="F114" s="11" t="str">
        <x:v>TC-DAT-003-01 / -02</x:v>
      </x:c>
      <x:c r="G114" s="11" t="str">
        <x:v>Import mode and identity</x:v>
      </x:c>
    </x:row>
    <x:row r="115" ht="42" customHeight="1">
      <x:c r="A115" s="11" t="str">
        <x:v>BR-DAT-004</x:v>
      </x:c>
      <x:c r="B115" s="11" t="str">
        <x:v>FR-DAT-004</x:v>
      </x:c>
      <x:c r="C115" s="11" t="str">
        <x:v>P0</x:v>
      </x:c>
      <x:c r="D115" s="11" t="str">
        <x:v>R1</x:v>
      </x:c>
      <x:c r="E115" s="11" t="str">
        <x:v>C06</x:v>
      </x:c>
      <x:c r="F115" s="11" t="str">
        <x:v>TC-DAT-004-01 / -02</x:v>
      </x:c>
      <x:c r="G115" s="11" t="str">
        <x:v>Validation and quarantine</x:v>
      </x:c>
    </x:row>
    <x:row r="116" ht="42" customHeight="1">
      <x:c r="A116" s="11" t="str">
        <x:v>BR-DAT-005</x:v>
      </x:c>
      <x:c r="B116" s="11" t="str">
        <x:v>FR-DAT-005</x:v>
      </x:c>
      <x:c r="C116" s="11" t="str">
        <x:v>P0</x:v>
      </x:c>
      <x:c r="D116" s="11" t="str">
        <x:v>R1</x:v>
      </x:c>
      <x:c r="E116" s="11" t="str">
        <x:v>C06</x:v>
      </x:c>
      <x:c r="F116" s="11" t="str">
        <x:v>TC-DAT-005-01 / -02</x:v>
      </x:c>
      <x:c r="G116" s="11" t="str">
        <x:v>Immutable raw source</x:v>
      </x:c>
    </x:row>
    <x:row r="117" ht="42" customHeight="1">
      <x:c r="A117" s="11" t="str">
        <x:v>BR-DAT-006</x:v>
      </x:c>
      <x:c r="B117" s="11" t="str">
        <x:v>FR-DAT-006</x:v>
      </x:c>
      <x:c r="C117" s="11" t="str">
        <x:v>P1</x:v>
      </x:c>
      <x:c r="D117" s="11" t="str">
        <x:v>R1</x:v>
      </x:c>
      <x:c r="E117" s="11" t="str">
        <x:v>C06</x:v>
      </x:c>
      <x:c r="F117" s="11" t="str">
        <x:v>TC-DAT-006-01 / -02</x:v>
      </x:c>
      <x:c r="G117" s="11" t="str">
        <x:v>Governed transformations</x:v>
      </x:c>
    </x:row>
    <x:row r="118" ht="42" customHeight="1">
      <x:c r="A118" s="11" t="str">
        <x:v>BR-DAT-007</x:v>
      </x:c>
      <x:c r="B118" s="11" t="str">
        <x:v>FR-DAT-007</x:v>
      </x:c>
      <x:c r="C118" s="11" t="str">
        <x:v>P0</x:v>
      </x:c>
      <x:c r="D118" s="11" t="str">
        <x:v>R1</x:v>
      </x:c>
      <x:c r="E118" s="11" t="str">
        <x:v>C06</x:v>
      </x:c>
      <x:c r="F118" s="11" t="str">
        <x:v>TC-DAT-007-01 / -02</x:v>
      </x:c>
      <x:c r="G118" s="11" t="str">
        <x:v>Schema drift</x:v>
      </x:c>
    </x:row>
    <x:row r="119" ht="42" customHeight="1">
      <x:c r="A119" s="11" t="str">
        <x:v>BR-DAT-008</x:v>
      </x:c>
      <x:c r="B119" s="11" t="str">
        <x:v>FR-DAT-008</x:v>
      </x:c>
      <x:c r="C119" s="11" t="str">
        <x:v>P1</x:v>
      </x:c>
      <x:c r="D119" s="11" t="str">
        <x:v>R1</x:v>
      </x:c>
      <x:c r="E119" s="11" t="str">
        <x:v>C06</x:v>
      </x:c>
      <x:c r="F119" s="11" t="str">
        <x:v>TC-DAT-008-01 / -02</x:v>
      </x:c>
      <x:c r="G119" s="11" t="str">
        <x:v>Data catalogue and lineage</x:v>
      </x:c>
    </x:row>
    <x:row r="120" ht="42" customHeight="1">
      <x:c r="A120" s="11" t="str">
        <x:v>BR-DAT-009</x:v>
      </x:c>
      <x:c r="B120" s="11" t="str">
        <x:v>FR-DAT-009</x:v>
      </x:c>
      <x:c r="C120" s="11" t="str">
        <x:v>P0</x:v>
      </x:c>
      <x:c r="D120" s="11" t="str">
        <x:v>R1</x:v>
      </x:c>
      <x:c r="E120" s="11" t="str">
        <x:v>C06</x:v>
      </x:c>
      <x:c r="F120" s="11" t="str">
        <x:v>TC-DAT-009-01 / -02</x:v>
      </x:c>
      <x:c r="G120" s="11" t="str">
        <x:v>Data editing and amendments</x:v>
      </x:c>
    </x:row>
    <x:row r="121" ht="42" customHeight="1">
      <x:c r="A121" s="11" t="str">
        <x:v>BR-DAT-010</x:v>
      </x:c>
      <x:c r="B121" s="11" t="str">
        <x:v>FR-DAT-010</x:v>
      </x:c>
      <x:c r="C121" s="11" t="str">
        <x:v>P1</x:v>
      </x:c>
      <x:c r="D121" s="11" t="str">
        <x:v>R1</x:v>
      </x:c>
      <x:c r="E121" s="11" t="str">
        <x:v>C06</x:v>
      </x:c>
      <x:c r="F121" s="11" t="str">
        <x:v>TC-DAT-010-01 / -02</x:v>
      </x:c>
      <x:c r="G121" s="11" t="str">
        <x:v>Refresh scheduling and freshness</x:v>
      </x:c>
    </x:row>
    <x:row r="122" ht="42" customHeight="1">
      <x:c r="A122" s="11" t="str">
        <x:v>BR-DAT-011</x:v>
      </x:c>
      <x:c r="B122" s="11" t="str">
        <x:v>FR-DAT-011</x:v>
      </x:c>
      <x:c r="C122" s="11" t="str">
        <x:v>P0</x:v>
      </x:c>
      <x:c r="D122" s="11" t="str">
        <x:v>R1</x:v>
      </x:c>
      <x:c r="E122" s="11" t="str">
        <x:v>C06</x:v>
      </x:c>
      <x:c r="F122" s="11" t="str">
        <x:v>TC-DAT-011-01 / -02</x:v>
      </x:c>
      <x:c r="G122" s="11" t="str">
        <x:v>Data exports and portability</x:v>
      </x:c>
    </x:row>
    <x:row r="123" ht="42" customHeight="1">
      <x:c r="A123" s="11" t="str">
        <x:v>BR-DAT-012</x:v>
      </x:c>
      <x:c r="B123" s="11" t="str">
        <x:v>FR-DAT-012</x:v>
      </x:c>
      <x:c r="C123" s="11" t="str">
        <x:v>P0</x:v>
      </x:c>
      <x:c r="D123" s="11" t="str">
        <x:v>R1</x:v>
      </x:c>
      <x:c r="E123" s="11" t="str">
        <x:v>C06</x:v>
      </x:c>
      <x:c r="F123" s="11" t="str">
        <x:v>TC-DAT-012-01 / -02</x:v>
      </x:c>
      <x:c r="G123" s="11" t="str">
        <x:v>Data retention and dependency review</x:v>
      </x:c>
    </x:row>
    <x:row r="124" ht="42" customHeight="1">
      <x:c r="A124" s="11" t="str">
        <x:v>BR-DQ-001</x:v>
      </x:c>
      <x:c r="B124" s="11" t="str">
        <x:v>FR-DQ-001</x:v>
      </x:c>
      <x:c r="C124" s="11" t="str">
        <x:v>P0</x:v>
      </x:c>
      <x:c r="D124" s="11" t="str">
        <x:v>R1</x:v>
      </x:c>
      <x:c r="E124" s="11" t="str">
        <x:v>C06</x:v>
      </x:c>
      <x:c r="F124" s="11" t="str">
        <x:v>TC-DQ-001-01 / -02</x:v>
      </x:c>
      <x:c r="G124" s="11" t="str">
        <x:v>Quality rule catalogue</x:v>
      </x:c>
    </x:row>
    <x:row r="125" ht="42" customHeight="1">
      <x:c r="A125" s="11" t="str">
        <x:v>BR-DQ-002</x:v>
      </x:c>
      <x:c r="B125" s="11" t="str">
        <x:v>FR-DQ-002</x:v>
      </x:c>
      <x:c r="C125" s="11" t="str">
        <x:v>P0</x:v>
      </x:c>
      <x:c r="D125" s="11" t="str">
        <x:v>R1</x:v>
      </x:c>
      <x:c r="E125" s="11" t="str">
        <x:v>C06</x:v>
      </x:c>
      <x:c r="F125" s="11" t="str">
        <x:v>TC-DQ-002-01 / -02</x:v>
      </x:c>
      <x:c r="G125" s="11" t="str">
        <x:v>Blocking and warning behaviour</x:v>
      </x:c>
    </x:row>
    <x:row r="126" ht="42" customHeight="1">
      <x:c r="A126" s="11" t="str">
        <x:v>BR-DQ-003</x:v>
      </x:c>
      <x:c r="B126" s="11" t="str">
        <x:v>FR-DQ-003</x:v>
      </x:c>
      <x:c r="C126" s="11" t="str">
        <x:v>P0</x:v>
      </x:c>
      <x:c r="D126" s="11" t="str">
        <x:v>R1</x:v>
      </x:c>
      <x:c r="E126" s="11" t="str">
        <x:v>C06</x:v>
      </x:c>
      <x:c r="F126" s="11" t="str">
        <x:v>TC-DQ-003-01 / -02</x:v>
      </x:c>
      <x:c r="G126" s="11" t="str">
        <x:v>Duplicate detection</x:v>
      </x:c>
    </x:row>
    <x:row r="127" ht="42" customHeight="1">
      <x:c r="A127" s="11" t="str">
        <x:v>BR-DQ-004</x:v>
      </x:c>
      <x:c r="B127" s="11" t="str">
        <x:v>FR-DQ-004</x:v>
      </x:c>
      <x:c r="C127" s="11" t="str">
        <x:v>P0</x:v>
      </x:c>
      <x:c r="D127" s="11" t="str">
        <x:v>R1</x:v>
      </x:c>
      <x:c r="E127" s="11" t="str">
        <x:v>C06</x:v>
      </x:c>
      <x:c r="F127" s="11" t="str">
        <x:v>TC-DQ-004-01 / -02</x:v>
      </x:c>
      <x:c r="G127" s="11" t="str">
        <x:v>Reconciliation checks</x:v>
      </x:c>
    </x:row>
    <x:row r="128" ht="42" customHeight="1">
      <x:c r="A128" s="11" t="str">
        <x:v>BR-DQ-005</x:v>
      </x:c>
      <x:c r="B128" s="11" t="str">
        <x:v>FR-DQ-005</x:v>
      </x:c>
      <x:c r="C128" s="11" t="str">
        <x:v>P0</x:v>
      </x:c>
      <x:c r="D128" s="11" t="str">
        <x:v>R1</x:v>
      </x:c>
      <x:c r="E128" s="11" t="str">
        <x:v>C06</x:v>
      </x:c>
      <x:c r="F128" s="11" t="str">
        <x:v>TC-DQ-005-01 / -02</x:v>
      </x:c>
      <x:c r="G128" s="11" t="str">
        <x:v>Quality issue workflow</x:v>
      </x:c>
    </x:row>
    <x:row r="129" ht="42" customHeight="1">
      <x:c r="A129" s="11" t="str">
        <x:v>BR-DQ-006</x:v>
      </x:c>
      <x:c r="B129" s="11" t="str">
        <x:v>FR-DQ-006</x:v>
      </x:c>
      <x:c r="C129" s="11" t="str">
        <x:v>P0</x:v>
      </x:c>
      <x:c r="D129" s="11" t="str">
        <x:v>R1</x:v>
      </x:c>
      <x:c r="E129" s="11" t="str">
        <x:v>C06</x:v>
      </x:c>
      <x:c r="F129" s="11" t="str">
        <x:v>TC-DQ-006-01 / -02</x:v>
      </x:c>
      <x:c r="G129" s="11" t="str">
        <x:v>Completeness and timeliness</x:v>
      </x:c>
    </x:row>
    <x:row r="130" ht="42" customHeight="1">
      <x:c r="A130" s="11" t="str">
        <x:v>BR-DQ-007</x:v>
      </x:c>
      <x:c r="B130" s="11" t="str">
        <x:v>FR-DQ-007</x:v>
      </x:c>
      <x:c r="C130" s="11" t="str">
        <x:v>P1</x:v>
      </x:c>
      <x:c r="D130" s="11" t="str">
        <x:v>R2</x:v>
      </x:c>
      <x:c r="E130" s="11" t="str">
        <x:v>C06</x:v>
      </x:c>
      <x:c r="F130" s="11" t="str">
        <x:v>TC-DQ-007-01 / -02</x:v>
      </x:c>
      <x:c r="G130" s="11" t="str">
        <x:v>Anomaly assistance</x:v>
      </x:c>
    </x:row>
    <x:row r="131" ht="42" customHeight="1">
      <x:c r="A131" s="11" t="str">
        <x:v>BR-DQ-008</x:v>
      </x:c>
      <x:c r="B131" s="11" t="str">
        <x:v>FR-DQ-008</x:v>
      </x:c>
      <x:c r="C131" s="11" t="str">
        <x:v>P0</x:v>
      </x:c>
      <x:c r="D131" s="11" t="str">
        <x:v>R1</x:v>
      </x:c>
      <x:c r="E131" s="11" t="str">
        <x:v>C06</x:v>
      </x:c>
      <x:c r="F131" s="11" t="str">
        <x:v>TC-DQ-008-01 / -02</x:v>
      </x:c>
      <x:c r="G131" s="11" t="str">
        <x:v>Quality disclosure</x:v>
      </x:c>
    </x:row>
    <x:row r="132" ht="42" customHeight="1">
      <x:c r="A132" s="11" t="str">
        <x:v>BR-PAR-001</x:v>
      </x:c>
      <x:c r="B132" s="11" t="str">
        <x:v>FR-PAR-001</x:v>
      </x:c>
      <x:c r="C132" s="11" t="str">
        <x:v>P1</x:v>
      </x:c>
      <x:c r="D132" s="11" t="str">
        <x:v>R1</x:v>
      </x:c>
      <x:c r="E132" s="11" t="str">
        <x:v>C05</x:v>
      </x:c>
      <x:c r="F132" s="11" t="str">
        <x:v>TC-PAR-001-01 / -02</x:v>
      </x:c>
      <x:c r="G132" s="11" t="str">
        <x:v>Optional registries</x:v>
      </x:c>
    </x:row>
    <x:row r="133" ht="42" customHeight="1">
      <x:c r="A133" s="11" t="str">
        <x:v>BR-PAR-002</x:v>
      </x:c>
      <x:c r="B133" s="11" t="str">
        <x:v>FR-PAR-002</x:v>
      </x:c>
      <x:c r="C133" s="11" t="str">
        <x:v>P0</x:v>
      </x:c>
      <x:c r="D133" s="11" t="str">
        <x:v>R1</x:v>
      </x:c>
      <x:c r="E133" s="11" t="str">
        <x:v>C05</x:v>
      </x:c>
      <x:c r="F133" s="11" t="str">
        <x:v>TC-PAR-002-01 / -02</x:v>
      </x:c>
      <x:c r="G133" s="11" t="str">
        <x:v>Purpose limited identity</x:v>
      </x:c>
    </x:row>
    <x:row r="134" ht="42" customHeight="1">
      <x:c r="A134" s="11" t="str">
        <x:v>BR-PAR-003</x:v>
      </x:c>
      <x:c r="B134" s="11" t="str">
        <x:v>FR-PAR-003</x:v>
      </x:c>
      <x:c r="C134" s="11" t="str">
        <x:v>P0</x:v>
      </x:c>
      <x:c r="D134" s="11" t="str">
        <x:v>R1</x:v>
      </x:c>
      <x:c r="E134" s="11" t="str">
        <x:v>C05</x:v>
      </x:c>
      <x:c r="F134" s="11" t="str">
        <x:v>TC-PAR-003-01 / -02</x:v>
      </x:c>
      <x:c r="G134" s="11" t="str">
        <x:v>Notice consent and lawful handling</x:v>
      </x:c>
    </x:row>
    <x:row r="135" ht="42" customHeight="1">
      <x:c r="A135" s="11" t="str">
        <x:v>BR-PAR-004</x:v>
      </x:c>
      <x:c r="B135" s="11" t="str">
        <x:v>FR-PAR-004</x:v>
      </x:c>
      <x:c r="C135" s="11" t="str">
        <x:v>P1</x:v>
      </x:c>
      <x:c r="D135" s="11" t="str">
        <x:v>R1</x:v>
      </x:c>
      <x:c r="E135" s="11" t="str">
        <x:v>C05</x:v>
      </x:c>
      <x:c r="F135" s="11" t="str">
        <x:v>TC-PAR-004-01 / -02</x:v>
      </x:c>
      <x:c r="G135" s="11" t="str">
        <x:v>Service and participation events</x:v>
      </x:c>
    </x:row>
    <x:row r="136" ht="42" customHeight="1">
      <x:c r="A136" s="11" t="str">
        <x:v>BR-PAR-005</x:v>
      </x:c>
      <x:c r="B136" s="11" t="str">
        <x:v>FR-PAR-005</x:v>
      </x:c>
      <x:c r="C136" s="11" t="str">
        <x:v>P1</x:v>
      </x:c>
      <x:c r="D136" s="11" t="str">
        <x:v>R2</x:v>
      </x:c>
      <x:c r="E136" s="11" t="str">
        <x:v>C05</x:v>
      </x:c>
      <x:c r="F136" s="11" t="str">
        <x:v>TC-PAR-005-01 / -02</x:v>
      </x:c>
      <x:c r="G136" s="11" t="str">
        <x:v>Household and group membership</x:v>
      </x:c>
    </x:row>
    <x:row r="137" ht="42" customHeight="1">
      <x:c r="A137" s="11" t="str">
        <x:v>BR-PAR-006</x:v>
      </x:c>
      <x:c r="B137" s="11" t="str">
        <x:v>FR-PAR-006</x:v>
      </x:c>
      <x:c r="C137" s="11" t="str">
        <x:v>P1</x:v>
      </x:c>
      <x:c r="D137" s="11" t="str">
        <x:v>R2</x:v>
      </x:c>
      <x:c r="E137" s="11" t="str">
        <x:v>C05</x:v>
      </x:c>
      <x:c r="F137" s="11" t="str">
        <x:v>TC-PAR-006-01 / -02</x:v>
      </x:c>
      <x:c r="G137" s="11" t="str">
        <x:v>Cohorts and follow up</x:v>
      </x:c>
    </x:row>
    <x:row r="138" ht="42" customHeight="1">
      <x:c r="A138" s="11" t="str">
        <x:v>BR-PAR-007</x:v>
      </x:c>
      <x:c r="B138" s="11" t="str">
        <x:v>FR-PAR-007</x:v>
      </x:c>
      <x:c r="C138" s="11" t="str">
        <x:v>P0</x:v>
      </x:c>
      <x:c r="D138" s="11" t="str">
        <x:v>R1</x:v>
      </x:c>
      <x:c r="E138" s="11" t="str">
        <x:v>C05</x:v>
      </x:c>
      <x:c r="F138" s="11" t="str">
        <x:v>TC-PAR-007-01 / -02</x:v>
      </x:c>
      <x:c r="G138" s="11" t="str">
        <x:v>Safeguarding and vulnerable people</x:v>
      </x:c>
    </x:row>
    <x:row r="139" ht="42" customHeight="1">
      <x:c r="A139" s="11" t="str">
        <x:v>BR-PAR-008</x:v>
      </x:c>
      <x:c r="B139" s="11" t="str">
        <x:v>FR-PAR-008</x:v>
      </x:c>
      <x:c r="C139" s="11" t="str">
        <x:v>P0</x:v>
      </x:c>
      <x:c r="D139" s="11" t="str">
        <x:v>R1</x:v>
      </x:c>
      <x:c r="E139" s="11" t="str">
        <x:v>C05</x:v>
      </x:c>
      <x:c r="F139" s="11" t="str">
        <x:v>TC-PAR-008-01 / -02</x:v>
      </x:c>
      <x:c r="G139" s="11" t="str">
        <x:v>Participant requests and corrections</x:v>
      </x:c>
    </x:row>
    <x:row r="140" ht="42" customHeight="1">
      <x:c r="A140" s="11" t="str">
        <x:v>BR-EVD-001</x:v>
      </x:c>
      <x:c r="B140" s="11" t="str">
        <x:v>FR-EVD-001</x:v>
      </x:c>
      <x:c r="C140" s="11" t="str">
        <x:v>P0</x:v>
      </x:c>
      <x:c r="D140" s="11" t="str">
        <x:v>R1</x:v>
      </x:c>
      <x:c r="E140" s="11" t="str">
        <x:v>C07</x:v>
      </x:c>
      <x:c r="F140" s="11" t="str">
        <x:v>TC-EVD-001-01 / -02</x:v>
      </x:c>
      <x:c r="G140" s="11" t="str">
        <x:v>Evidence repository</x:v>
      </x:c>
    </x:row>
    <x:row r="141" ht="42" customHeight="1">
      <x:c r="A141" s="11" t="str">
        <x:v>BR-EVD-002</x:v>
      </x:c>
      <x:c r="B141" s="11" t="str">
        <x:v>FR-EVD-002</x:v>
      </x:c>
      <x:c r="C141" s="11" t="str">
        <x:v>P0</x:v>
      </x:c>
      <x:c r="D141" s="11" t="str">
        <x:v>R1</x:v>
      </x:c>
      <x:c r="E141" s="11" t="str">
        <x:v>C07</x:v>
      </x:c>
      <x:c r="F141" s="11" t="str">
        <x:v>TC-EVD-002-01 / -02</x:v>
      </x:c>
      <x:c r="G141" s="11" t="str">
        <x:v>Evidence verification and provenance</x:v>
      </x:c>
    </x:row>
    <x:row r="142" ht="42" customHeight="1">
      <x:c r="A142" s="11" t="str">
        <x:v>BR-EVD-003</x:v>
      </x:c>
      <x:c r="B142" s="11" t="str">
        <x:v>FR-EVD-003</x:v>
      </x:c>
      <x:c r="C142" s="11" t="str">
        <x:v>P1</x:v>
      </x:c>
      <x:c r="D142" s="11" t="str">
        <x:v>R1</x:v>
      </x:c>
      <x:c r="E142" s="11" t="str">
        <x:v>C07</x:v>
      </x:c>
      <x:c r="F142" s="11" t="str">
        <x:v>TC-EVD-003-01 / -02</x:v>
      </x:c>
      <x:c r="G142" s="11" t="str">
        <x:v>Search and knowledge retrieval</x:v>
      </x:c>
    </x:row>
    <x:row r="143" ht="42" customHeight="1">
      <x:c r="A143" s="11" t="str">
        <x:v>BR-EVD-004</x:v>
      </x:c>
      <x:c r="B143" s="11" t="str">
        <x:v>FR-EVD-004</x:v>
      </x:c>
      <x:c r="C143" s="11" t="str">
        <x:v>P1</x:v>
      </x:c>
      <x:c r="D143" s="11" t="str">
        <x:v>R1</x:v>
      </x:c>
      <x:c r="E143" s="11" t="str">
        <x:v>C07</x:v>
      </x:c>
      <x:c r="F143" s="11" t="str">
        <x:v>TC-EVD-004-01 / -02</x:v>
      </x:c>
      <x:c r="G143" s="11" t="str">
        <x:v>Document versioning and annotations</x:v>
      </x:c>
    </x:row>
    <x:row r="144" ht="42" customHeight="1">
      <x:c r="A144" s="11" t="str">
        <x:v>BR-EVD-005</x:v>
      </x:c>
      <x:c r="B144" s="11" t="str">
        <x:v>FR-EVD-005</x:v>
      </x:c>
      <x:c r="C144" s="11" t="str">
        <x:v>P1</x:v>
      </x:c>
      <x:c r="D144" s="11" t="str">
        <x:v>R2</x:v>
      </x:c>
      <x:c r="E144" s="11" t="str">
        <x:v>C07</x:v>
      </x:c>
      <x:c r="F144" s="11" t="str">
        <x:v>TC-EVD-005-01 / -02</x:v>
      </x:c>
      <x:c r="G144" s="11" t="str">
        <x:v>Qualitative coding</x:v>
      </x:c>
    </x:row>
    <x:row r="145" ht="42" customHeight="1">
      <x:c r="A145" s="11" t="str">
        <x:v>BR-EVD-006</x:v>
      </x:c>
      <x:c r="B145" s="11" t="str">
        <x:v>FR-EVD-006</x:v>
      </x:c>
      <x:c r="C145" s="11" t="str">
        <x:v>P1</x:v>
      </x:c>
      <x:c r="D145" s="11" t="str">
        <x:v>R2</x:v>
      </x:c>
      <x:c r="E145" s="11" t="str">
        <x:v>C07</x:v>
      </x:c>
      <x:c r="F145" s="11" t="str">
        <x:v>TC-EVD-006-01 / -02</x:v>
      </x:c>
      <x:c r="G145" s="11" t="str">
        <x:v>Transcription and translation</x:v>
      </x:c>
    </x:row>
    <x:row r="146" ht="42" customHeight="1">
      <x:c r="A146" s="11" t="str">
        <x:v>BR-EVD-007</x:v>
      </x:c>
      <x:c r="B146" s="11" t="str">
        <x:v>FR-EVD-007</x:v>
      </x:c>
      <x:c r="C146" s="11" t="str">
        <x:v>P0</x:v>
      </x:c>
      <x:c r="D146" s="11" t="str">
        <x:v>R1</x:v>
      </x:c>
      <x:c r="E146" s="11" t="str">
        <x:v>C07</x:v>
      </x:c>
      <x:c r="F146" s="11" t="str">
        <x:v>TC-EVD-007-01 / -02</x:v>
      </x:c>
      <x:c r="G146" s="11" t="str">
        <x:v>Quotations and disclosure</x:v>
      </x:c>
    </x:row>
    <x:row r="147" ht="42" customHeight="1">
      <x:c r="A147" s="11" t="str">
        <x:v>BR-EVD-008</x:v>
      </x:c>
      <x:c r="B147" s="11" t="str">
        <x:v>FR-EVD-008</x:v>
      </x:c>
      <x:c r="C147" s="11" t="str">
        <x:v>P1</x:v>
      </x:c>
      <x:c r="D147" s="11" t="str">
        <x:v>R2</x:v>
      </x:c>
      <x:c r="E147" s="11" t="str">
        <x:v>C07</x:v>
      </x:c>
      <x:c r="F147" s="11" t="str">
        <x:v>TC-EVD-008-01 / -02</x:v>
      </x:c>
      <x:c r="G147" s="11" t="str">
        <x:v>Findings and triangulation</x:v>
      </x:c>
    </x:row>
    <x:row r="148" ht="42" customHeight="1">
      <x:c r="A148" s="11" t="str">
        <x:v>BR-EVA-001</x:v>
      </x:c>
      <x:c r="B148" s="11" t="str">
        <x:v>FR-EVA-001</x:v>
      </x:c>
      <x:c r="C148" s="11" t="str">
        <x:v>P1</x:v>
      </x:c>
      <x:c r="D148" s="11" t="str">
        <x:v>R2</x:v>
      </x:c>
      <x:c r="E148" s="11" t="str">
        <x:v>C07</x:v>
      </x:c>
      <x:c r="F148" s="11" t="str">
        <x:v>TC-EVA-001-01 / -02</x:v>
      </x:c>
      <x:c r="G148" s="11" t="str">
        <x:v>Evaluation registry</x:v>
      </x:c>
    </x:row>
    <x:row r="149" ht="42" customHeight="1">
      <x:c r="A149" s="11" t="str">
        <x:v>BR-EVA-002</x:v>
      </x:c>
      <x:c r="B149" s="11" t="str">
        <x:v>FR-EVA-002</x:v>
      </x:c>
      <x:c r="C149" s="11" t="str">
        <x:v>P1</x:v>
      </x:c>
      <x:c r="D149" s="11" t="str">
        <x:v>R2</x:v>
      </x:c>
      <x:c r="E149" s="11" t="str">
        <x:v>C07</x:v>
      </x:c>
      <x:c r="F149" s="11" t="str">
        <x:v>TC-EVA-002-01 / -02</x:v>
      </x:c>
      <x:c r="G149" s="11" t="str">
        <x:v>Sampling and methodological metadata</x:v>
      </x:c>
    </x:row>
    <x:row r="150" ht="42" customHeight="1">
      <x:c r="A150" s="11" t="str">
        <x:v>BR-EVA-003</x:v>
      </x:c>
      <x:c r="B150" s="11" t="str">
        <x:v>FR-EVA-003</x:v>
      </x:c>
      <x:c r="C150" s="11" t="str">
        <x:v>P1</x:v>
      </x:c>
      <x:c r="D150" s="11" t="str">
        <x:v>R2</x:v>
      </x:c>
      <x:c r="E150" s="11" t="str">
        <x:v>C07</x:v>
      </x:c>
      <x:c r="F150" s="11" t="str">
        <x:v>TC-EVA-003-01 / -02</x:v>
      </x:c>
      <x:c r="G150" s="11" t="str">
        <x:v>Analysis packages</x:v>
      </x:c>
    </x:row>
    <x:row r="151" ht="42" customHeight="1">
      <x:c r="A151" s="11" t="str">
        <x:v>BR-EVA-004</x:v>
      </x:c>
      <x:c r="B151" s="11" t="str">
        <x:v>FR-EVA-004</x:v>
      </x:c>
      <x:c r="C151" s="11" t="str">
        <x:v>P0</x:v>
      </x:c>
      <x:c r="D151" s="11" t="str">
        <x:v>R1</x:v>
      </x:c>
      <x:c r="E151" s="11" t="str">
        <x:v>C07</x:v>
      </x:c>
      <x:c r="F151" s="11" t="str">
        <x:v>TC-EVA-004-01 / -02</x:v>
      </x:c>
      <x:c r="G151" s="11" t="str">
        <x:v>Causal claims and uncertainty</x:v>
      </x:c>
    </x:row>
    <x:row r="152" ht="42" customHeight="1">
      <x:c r="A152" s="11" t="str">
        <x:v>BR-EVA-005</x:v>
      </x:c>
      <x:c r="B152" s="11" t="str">
        <x:v>FR-EVA-005</x:v>
      </x:c>
      <x:c r="C152" s="11" t="str">
        <x:v>P2</x:v>
      </x:c>
      <x:c r="D152" s="11" t="str">
        <x:v>R3</x:v>
      </x:c>
      <x:c r="E152" s="11" t="str">
        <x:v>C07</x:v>
      </x:c>
      <x:c r="F152" s="11" t="str">
        <x:v>TC-EVA-005-01 / -02</x:v>
      </x:c>
      <x:c r="G152" s="11" t="str">
        <x:v>Outcome harvesting and contribution</x:v>
      </x:c>
    </x:row>
    <x:row r="153" ht="42" customHeight="1">
      <x:c r="A153" s="11" t="str">
        <x:v>BR-EVA-006</x:v>
      </x:c>
      <x:c r="B153" s="11" t="str">
        <x:v>FR-EVA-006</x:v>
      </x:c>
      <x:c r="C153" s="11" t="str">
        <x:v>P1</x:v>
      </x:c>
      <x:c r="D153" s="11" t="str">
        <x:v>R2</x:v>
      </x:c>
      <x:c r="E153" s="11" t="str">
        <x:v>C07</x:v>
      </x:c>
      <x:c r="F153" s="11" t="str">
        <x:v>TC-EVA-006-01 / -02</x:v>
      </x:c>
      <x:c r="G153" s="11" t="str">
        <x:v>Learning agenda</x:v>
      </x:c>
    </x:row>
    <x:row r="154" ht="42" customHeight="1">
      <x:c r="A154" s="11" t="str">
        <x:v>BR-EVA-007</x:v>
      </x:c>
      <x:c r="B154" s="11" t="str">
        <x:v>FR-EVA-007</x:v>
      </x:c>
      <x:c r="C154" s="11" t="str">
        <x:v>P1</x:v>
      </x:c>
      <x:c r="D154" s="11" t="str">
        <x:v>R2</x:v>
      </x:c>
      <x:c r="E154" s="11" t="str">
        <x:v>C07</x:v>
      </x:c>
      <x:c r="F154" s="11" t="str">
        <x:v>TC-EVA-007-01 / -02</x:v>
      </x:c>
      <x:c r="G154" s="11" t="str">
        <x:v>Management responses and actions</x:v>
      </x:c>
    </x:row>
    <x:row r="155" ht="42" customHeight="1">
      <x:c r="A155" s="11" t="str">
        <x:v>BR-EVA-008</x:v>
      </x:c>
      <x:c r="B155" s="11" t="str">
        <x:v>FR-EVA-008</x:v>
      </x:c>
      <x:c r="C155" s="11" t="str">
        <x:v>P2</x:v>
      </x:c>
      <x:c r="D155" s="11" t="str">
        <x:v>R3</x:v>
      </x:c>
      <x:c r="E155" s="11" t="str">
        <x:v>C07</x:v>
      </x:c>
      <x:c r="F155" s="11" t="str">
        <x:v>TC-EVA-008-01 / -02</x:v>
      </x:c>
      <x:c r="G155" s="11" t="str">
        <x:v>Institutional learning library</x:v>
      </x:c>
    </x:row>
    <x:row r="156" ht="42" customHeight="1">
      <x:c r="A156" s="11" t="str">
        <x:v>BR-WFL-001</x:v>
      </x:c>
      <x:c r="B156" s="11" t="str">
        <x:v>FR-WFL-001</x:v>
      </x:c>
      <x:c r="C156" s="11" t="str">
        <x:v>P0</x:v>
      </x:c>
      <x:c r="D156" s="11" t="str">
        <x:v>R1</x:v>
      </x:c>
      <x:c r="E156" s="11" t="str">
        <x:v>C08</x:v>
      </x:c>
      <x:c r="F156" s="11" t="str">
        <x:v>TC-WFL-001-01 / -02</x:v>
      </x:c>
      <x:c r="G156" s="11" t="str">
        <x:v>Configurable approvals</x:v>
      </x:c>
    </x:row>
    <x:row r="157" ht="42" customHeight="1">
      <x:c r="A157" s="11" t="str">
        <x:v>BR-WFL-002</x:v>
      </x:c>
      <x:c r="B157" s="11" t="str">
        <x:v>FR-WFL-002</x:v>
      </x:c>
      <x:c r="C157" s="11" t="str">
        <x:v>P0</x:v>
      </x:c>
      <x:c r="D157" s="11" t="str">
        <x:v>R1</x:v>
      </x:c>
      <x:c r="E157" s="11" t="str">
        <x:v>C08</x:v>
      </x:c>
      <x:c r="F157" s="11" t="str">
        <x:v>TC-WFL-002-01 / -02</x:v>
      </x:c>
      <x:c r="G157" s="11" t="str">
        <x:v>Reviewer independence and authority</x:v>
      </x:c>
    </x:row>
    <x:row r="158" ht="42" customHeight="1">
      <x:c r="A158" s="11" t="str">
        <x:v>BR-WFL-003</x:v>
      </x:c>
      <x:c r="B158" s="11" t="str">
        <x:v>FR-WFL-003</x:v>
      </x:c>
      <x:c r="C158" s="11" t="str">
        <x:v>P0</x:v>
      </x:c>
      <x:c r="D158" s="11" t="str">
        <x:v>R1</x:v>
      </x:c>
      <x:c r="E158" s="11" t="str">
        <x:v>C08</x:v>
      </x:c>
      <x:c r="F158" s="11" t="str">
        <x:v>TC-WFL-003-01 / -02</x:v>
      </x:c>
      <x:c r="G158" s="11" t="str">
        <x:v>Return reject and resubmit</x:v>
      </x:c>
    </x:row>
    <x:row r="159" ht="42" customHeight="1">
      <x:c r="A159" s="11" t="str">
        <x:v>BR-WFL-004</x:v>
      </x:c>
      <x:c r="B159" s="11" t="str">
        <x:v>FR-WFL-004</x:v>
      </x:c>
      <x:c r="C159" s="11" t="str">
        <x:v>P1</x:v>
      </x:c>
      <x:c r="D159" s="11" t="str">
        <x:v>R1</x:v>
      </x:c>
      <x:c r="E159" s="11" t="str">
        <x:v>C08</x:v>
      </x:c>
      <x:c r="F159" s="11" t="str">
        <x:v>TC-WFL-004-01 / -02</x:v>
      </x:c>
      <x:c r="G159" s="11" t="str">
        <x:v>Delegation escalation and absence</x:v>
      </x:c>
    </x:row>
    <x:row r="160" ht="42" customHeight="1">
      <x:c r="A160" s="11" t="str">
        <x:v>BR-WFL-005</x:v>
      </x:c>
      <x:c r="B160" s="11" t="str">
        <x:v>FR-WFL-005</x:v>
      </x:c>
      <x:c r="C160" s="11" t="str">
        <x:v>P1</x:v>
      </x:c>
      <x:c r="D160" s="11" t="str">
        <x:v>R1</x:v>
      </x:c>
      <x:c r="E160" s="11" t="str">
        <x:v>C08</x:v>
      </x:c>
      <x:c r="F160" s="11" t="str">
        <x:v>TC-WFL-005-01 / -02</x:v>
      </x:c>
      <x:c r="G160" s="11" t="str">
        <x:v>Comments mentions and discussions</x:v>
      </x:c>
    </x:row>
    <x:row r="161" ht="42" customHeight="1">
      <x:c r="A161" s="11" t="str">
        <x:v>BR-WFL-006</x:v>
      </x:c>
      <x:c r="B161" s="11" t="str">
        <x:v>FR-WFL-006</x:v>
      </x:c>
      <x:c r="C161" s="11" t="str">
        <x:v>P1</x:v>
      </x:c>
      <x:c r="D161" s="11" t="str">
        <x:v>R1</x:v>
      </x:c>
      <x:c r="E161" s="11" t="str">
        <x:v>C08</x:v>
      </x:c>
      <x:c r="F161" s="11" t="str">
        <x:v>TC-WFL-006-01 / -02</x:v>
      </x:c>
      <x:c r="G161" s="11" t="str">
        <x:v>Task and notification centre</x:v>
      </x:c>
    </x:row>
    <x:row r="162" ht="42" customHeight="1">
      <x:c r="A162" s="11" t="str">
        <x:v>BR-WFL-007</x:v>
      </x:c>
      <x:c r="B162" s="11" t="str">
        <x:v>FR-WFL-007</x:v>
      </x:c>
      <x:c r="C162" s="11" t="str">
        <x:v>P0</x:v>
      </x:c>
      <x:c r="D162" s="11" t="str">
        <x:v>R1</x:v>
      </x:c>
      <x:c r="E162" s="11" t="str">
        <x:v>C08</x:v>
      </x:c>
      <x:c r="F162" s="11" t="str">
        <x:v>TC-WFL-007-01 / -02</x:v>
      </x:c>
      <x:c r="G162" s="11" t="str">
        <x:v>Period close and lock</x:v>
      </x:c>
    </x:row>
    <x:row r="163" ht="42" customHeight="1">
      <x:c r="A163" s="11" t="str">
        <x:v>BR-WFL-008</x:v>
      </x:c>
      <x:c r="B163" s="11" t="str">
        <x:v>FR-WFL-008</x:v>
      </x:c>
      <x:c r="C163" s="11" t="str">
        <x:v>P0</x:v>
      </x:c>
      <x:c r="D163" s="11" t="str">
        <x:v>R1</x:v>
      </x:c>
      <x:c r="E163" s="11" t="str">
        <x:v>C08</x:v>
      </x:c>
      <x:c r="F163" s="11" t="str">
        <x:v>TC-WFL-008-01 / -02</x:v>
      </x:c>
      <x:c r="G163" s="11" t="str">
        <x:v>Reopen and restate</x:v>
      </x:c>
    </x:row>
    <x:row r="164" ht="42" customHeight="1">
      <x:c r="A164" s="11" t="str">
        <x:v>BR-WFL-009</x:v>
      </x:c>
      <x:c r="B164" s="11" t="str">
        <x:v>FR-WFL-009</x:v>
      </x:c>
      <x:c r="C164" s="11" t="str">
        <x:v>P1</x:v>
      </x:c>
      <x:c r="D164" s="11" t="str">
        <x:v>R2</x:v>
      </x:c>
      <x:c r="E164" s="11" t="str">
        <x:v>C08</x:v>
      </x:c>
      <x:c r="F164" s="11" t="str">
        <x:v>TC-WFL-009-01 / -02</x:v>
      </x:c>
      <x:c r="G164" s="11" t="str">
        <x:v>Automation rules</x:v>
      </x:c>
    </x:row>
    <x:row r="165" ht="42" customHeight="1">
      <x:c r="A165" s="11" t="str">
        <x:v>BR-WFL-010</x:v>
      </x:c>
      <x:c r="B165" s="11" t="str">
        <x:v>FR-WFL-010</x:v>
      </x:c>
      <x:c r="C165" s="11" t="str">
        <x:v>P0</x:v>
      </x:c>
      <x:c r="D165" s="11" t="str">
        <x:v>R1</x:v>
      </x:c>
      <x:c r="E165" s="11" t="str">
        <x:v>C08</x:v>
      </x:c>
      <x:c r="F165" s="11" t="str">
        <x:v>TC-WFL-010-01 / -02</x:v>
      </x:c>
      <x:c r="G165" s="11" t="str">
        <x:v>Decisions and signoff</x:v>
      </x:c>
    </x:row>
    <x:row r="166" ht="42" customHeight="1">
      <x:c r="A166" s="11" t="str">
        <x:v>BR-ANA-001</x:v>
      </x:c>
      <x:c r="B166" s="11" t="str">
        <x:v>FR-ANA-001</x:v>
      </x:c>
      <x:c r="C166" s="11" t="str">
        <x:v>P1</x:v>
      </x:c>
      <x:c r="D166" s="11" t="str">
        <x:v>R1</x:v>
      </x:c>
      <x:c r="E166" s="11" t="str">
        <x:v>C09</x:v>
      </x:c>
      <x:c r="F166" s="11" t="str">
        <x:v>TC-ANA-001-01 / -02</x:v>
      </x:c>
      <x:c r="G166" s="11" t="str">
        <x:v>Dashboard authoring</x:v>
      </x:c>
    </x:row>
    <x:row r="167" ht="42" customHeight="1">
      <x:c r="A167" s="11" t="str">
        <x:v>BR-ANA-002</x:v>
      </x:c>
      <x:c r="B167" s="11" t="str">
        <x:v>FR-ANA-002</x:v>
      </x:c>
      <x:c r="C167" s="11" t="str">
        <x:v>P0</x:v>
      </x:c>
      <x:c r="D167" s="11" t="str">
        <x:v>R1</x:v>
      </x:c>
      <x:c r="E167" s="11" t="str">
        <x:v>C09</x:v>
      </x:c>
      <x:c r="F167" s="11" t="str">
        <x:v>TC-ANA-002-01 / -02</x:v>
      </x:c>
      <x:c r="G167" s="11" t="str">
        <x:v>Filters and drill down</x:v>
      </x:c>
    </x:row>
    <x:row r="168" ht="42" customHeight="1">
      <x:c r="A168" s="11" t="str">
        <x:v>BR-ANA-003</x:v>
      </x:c>
      <x:c r="B168" s="11" t="str">
        <x:v>FR-ANA-003</x:v>
      </x:c>
      <x:c r="C168" s="11" t="str">
        <x:v>P0</x:v>
      </x:c>
      <x:c r="D168" s="11" t="str">
        <x:v>R1</x:v>
      </x:c>
      <x:c r="E168" s="11" t="str">
        <x:v>C09</x:v>
      </x:c>
      <x:c r="F168" s="11" t="str">
        <x:v>TC-ANA-003-01 / -02</x:v>
      </x:c>
      <x:c r="G168" s="11" t="str">
        <x:v>Actual target and baseline views</x:v>
      </x:c>
    </x:row>
    <x:row r="169" ht="42" customHeight="1">
      <x:c r="A169" s="11" t="str">
        <x:v>BR-ANA-004</x:v>
      </x:c>
      <x:c r="B169" s="11" t="str">
        <x:v>FR-ANA-004</x:v>
      </x:c>
      <x:c r="C169" s="11" t="str">
        <x:v>P0</x:v>
      </x:c>
      <x:c r="D169" s="11" t="str">
        <x:v>R1</x:v>
      </x:c>
      <x:c r="E169" s="11" t="str">
        <x:v>C09</x:v>
      </x:c>
      <x:c r="F169" s="11" t="str">
        <x:v>TC-ANA-004-01 / -02</x:v>
      </x:c>
      <x:c r="G169" s="11" t="str">
        <x:v>Freshness and approval context</x:v>
      </x:c>
    </x:row>
    <x:row r="170" ht="42" customHeight="1">
      <x:c r="A170" s="11" t="str">
        <x:v>BR-ANA-005</x:v>
      </x:c>
      <x:c r="B170" s="11" t="str">
        <x:v>FR-ANA-005</x:v>
      </x:c>
      <x:c r="C170" s="11" t="str">
        <x:v>P1</x:v>
      </x:c>
      <x:c r="D170" s="11" t="str">
        <x:v>R2</x:v>
      </x:c>
      <x:c r="E170" s="11" t="str">
        <x:v>C09</x:v>
      </x:c>
      <x:c r="F170" s="11" t="str">
        <x:v>TC-ANA-005-01 / -02</x:v>
      </x:c>
      <x:c r="G170" s="11" t="str">
        <x:v>Table analysis and pivots</x:v>
      </x:c>
    </x:row>
    <x:row r="171" ht="42" customHeight="1">
      <x:c r="A171" s="11" t="str">
        <x:v>BR-ANA-006</x:v>
      </x:c>
      <x:c r="B171" s="11" t="str">
        <x:v>FR-ANA-006</x:v>
      </x:c>
      <x:c r="C171" s="11" t="str">
        <x:v>P1</x:v>
      </x:c>
      <x:c r="D171" s="11" t="str">
        <x:v>R2</x:v>
      </x:c>
      <x:c r="E171" s="11" t="str">
        <x:v>C09</x:v>
      </x:c>
      <x:c r="F171" s="11" t="str">
        <x:v>TC-ANA-006-01 / -02</x:v>
      </x:c>
      <x:c r="G171" s="11" t="str">
        <x:v>Geographic analysis</x:v>
      </x:c>
    </x:row>
    <x:row r="172" ht="42" customHeight="1">
      <x:c r="A172" s="11" t="str">
        <x:v>BR-ANA-007</x:v>
      </x:c>
      <x:c r="B172" s="11" t="str">
        <x:v>FR-ANA-007</x:v>
      </x:c>
      <x:c r="C172" s="11" t="str">
        <x:v>P1</x:v>
      </x:c>
      <x:c r="D172" s="11" t="str">
        <x:v>R1</x:v>
      </x:c>
      <x:c r="E172" s="11" t="str">
        <x:v>C09</x:v>
      </x:c>
      <x:c r="F172" s="11" t="str">
        <x:v>TC-ANA-007-01 / -02</x:v>
      </x:c>
      <x:c r="G172" s="11" t="str">
        <x:v>Portfolio comparison</x:v>
      </x:c>
    </x:row>
    <x:row r="173" ht="42" customHeight="1">
      <x:c r="A173" s="11" t="str">
        <x:v>BR-ANA-008</x:v>
      </x:c>
      <x:c r="B173" s="11" t="str">
        <x:v>FR-ANA-008</x:v>
      </x:c>
      <x:c r="C173" s="11" t="str">
        <x:v>P0</x:v>
      </x:c>
      <x:c r="D173" s="11" t="str">
        <x:v>R1</x:v>
      </x:c>
      <x:c r="E173" s="11" t="str">
        <x:v>C09</x:v>
      </x:c>
      <x:c r="F173" s="11" t="str">
        <x:v>TC-ANA-008-01 / -02</x:v>
      </x:c>
      <x:c r="G173" s="11" t="str">
        <x:v>Dashboard governance</x:v>
      </x:c>
    </x:row>
    <x:row r="174" ht="42" customHeight="1">
      <x:c r="A174" s="11" t="str">
        <x:v>BR-ANA-009</x:v>
      </x:c>
      <x:c r="B174" s="11" t="str">
        <x:v>FR-ANA-009</x:v>
      </x:c>
      <x:c r="C174" s="11" t="str">
        <x:v>P1</x:v>
      </x:c>
      <x:c r="D174" s="11" t="str">
        <x:v>R2</x:v>
      </x:c>
      <x:c r="E174" s="11" t="str">
        <x:v>C09</x:v>
      </x:c>
      <x:c r="F174" s="11" t="str">
        <x:v>TC-ANA-009-01 / -02</x:v>
      </x:c>
      <x:c r="G174" s="11" t="str">
        <x:v>Alerts and thresholds</x:v>
      </x:c>
    </x:row>
    <x:row r="175" ht="42" customHeight="1">
      <x:c r="A175" s="11" t="str">
        <x:v>BR-ANA-010</x:v>
      </x:c>
      <x:c r="B175" s="11" t="str">
        <x:v>FR-ANA-010</x:v>
      </x:c>
      <x:c r="C175" s="11" t="str">
        <x:v>P1</x:v>
      </x:c>
      <x:c r="D175" s="11" t="str">
        <x:v>R2</x:v>
      </x:c>
      <x:c r="E175" s="11" t="str">
        <x:v>C09</x:v>
      </x:c>
      <x:c r="F175" s="11" t="str">
        <x:v>TC-ANA-010-01 / -02</x:v>
      </x:c>
      <x:c r="G175" s="11" t="str">
        <x:v>External analytics access</x:v>
      </x:c>
    </x:row>
    <x:row r="176" ht="42" customHeight="1">
      <x:c r="A176" s="11" t="str">
        <x:v>BR-RPT-001</x:v>
      </x:c>
      <x:c r="B176" s="11" t="str">
        <x:v>FR-RPT-001</x:v>
      </x:c>
      <x:c r="C176" s="11" t="str">
        <x:v>P1</x:v>
      </x:c>
      <x:c r="D176" s="11" t="str">
        <x:v>R1</x:v>
      </x:c>
      <x:c r="E176" s="11" t="str">
        <x:v>C09</x:v>
      </x:c>
      <x:c r="F176" s="11" t="str">
        <x:v>TC-RPT-001-01 / -02</x:v>
      </x:c>
      <x:c r="G176" s="11" t="str">
        <x:v>Report template library</x:v>
      </x:c>
    </x:row>
    <x:row r="177" ht="42" customHeight="1">
      <x:c r="A177" s="11" t="str">
        <x:v>BR-RPT-002</x:v>
      </x:c>
      <x:c r="B177" s="11" t="str">
        <x:v>FR-RPT-002</x:v>
      </x:c>
      <x:c r="C177" s="11" t="str">
        <x:v>P0</x:v>
      </x:c>
      <x:c r="D177" s="11" t="str">
        <x:v>R1</x:v>
      </x:c>
      <x:c r="E177" s="11" t="str">
        <x:v>C09</x:v>
      </x:c>
      <x:c r="F177" s="11" t="str">
        <x:v>TC-RPT-002-01 / -02</x:v>
      </x:c>
      <x:c r="G177" s="11" t="str">
        <x:v>Reporting obligations</x:v>
      </x:c>
    </x:row>
    <x:row r="178" ht="42" customHeight="1">
      <x:c r="A178" s="11" t="str">
        <x:v>BR-RPT-003</x:v>
      </x:c>
      <x:c r="B178" s="11" t="str">
        <x:v>FR-RPT-003</x:v>
      </x:c>
      <x:c r="C178" s="11" t="str">
        <x:v>P0</x:v>
      </x:c>
      <x:c r="D178" s="11" t="str">
        <x:v>R1</x:v>
      </x:c>
      <x:c r="E178" s="11" t="str">
        <x:v>C09</x:v>
      </x:c>
      <x:c r="F178" s="11" t="str">
        <x:v>TC-RPT-003-01 / -02</x:v>
      </x:c>
      <x:c r="G178" s="11" t="str">
        <x:v>Frozen reporting packages</x:v>
      </x:c>
    </x:row>
    <x:row r="179" ht="42" customHeight="1">
      <x:c r="A179" s="11" t="str">
        <x:v>BR-RPT-004</x:v>
      </x:c>
      <x:c r="B179" s="11" t="str">
        <x:v>FR-RPT-004</x:v>
      </x:c>
      <x:c r="C179" s="11" t="str">
        <x:v>P1</x:v>
      </x:c>
      <x:c r="D179" s="11" t="str">
        <x:v>R1</x:v>
      </x:c>
      <x:c r="E179" s="11" t="str">
        <x:v>C09</x:v>
      </x:c>
      <x:c r="F179" s="11" t="str">
        <x:v>TC-RPT-004-01 / -02</x:v>
      </x:c>
      <x:c r="G179" s="11" t="str">
        <x:v>Narrative authoring and review</x:v>
      </x:c>
    </x:row>
    <x:row r="180" ht="42" customHeight="1">
      <x:c r="A180" s="11" t="str">
        <x:v>BR-RPT-005</x:v>
      </x:c>
      <x:c r="B180" s="11" t="str">
        <x:v>FR-RPT-005</x:v>
      </x:c>
      <x:c r="C180" s="11" t="str">
        <x:v>P1</x:v>
      </x:c>
      <x:c r="D180" s="11" t="str">
        <x:v>R1</x:v>
      </x:c>
      <x:c r="E180" s="11" t="str">
        <x:v>C09</x:v>
      </x:c>
      <x:c r="F180" s="11" t="str">
        <x:v>TC-RPT-005-01 / -02</x:v>
      </x:c>
      <x:c r="G180" s="11" t="str">
        <x:v>Accessible export formats</x:v>
      </x:c>
    </x:row>
    <x:row r="181" ht="42" customHeight="1">
      <x:c r="A181" s="11" t="str">
        <x:v>BR-RPT-006</x:v>
      </x:c>
      <x:c r="B181" s="11" t="str">
        <x:v>FR-RPT-006</x:v>
      </x:c>
      <x:c r="C181" s="11" t="str">
        <x:v>P1</x:v>
      </x:c>
      <x:c r="D181" s="11" t="str">
        <x:v>R2</x:v>
      </x:c>
      <x:c r="E181" s="11" t="str">
        <x:v>C09</x:v>
      </x:c>
      <x:c r="F181" s="11" t="str">
        <x:v>TC-RPT-006-01 / -02</x:v>
      </x:c>
      <x:c r="G181" s="11" t="str">
        <x:v>Presentation and donor format output</x:v>
      </x:c>
    </x:row>
    <x:row r="182" ht="42" customHeight="1">
      <x:c r="A182" s="11" t="str">
        <x:v>BR-RPT-007</x:v>
      </x:c>
      <x:c r="B182" s="11" t="str">
        <x:v>FR-RPT-007</x:v>
      </x:c>
      <x:c r="C182" s="11" t="str">
        <x:v>P0</x:v>
      </x:c>
      <x:c r="D182" s="11" t="str">
        <x:v>R1</x:v>
      </x:c>
      <x:c r="E182" s="11" t="str">
        <x:v>C09</x:v>
      </x:c>
      <x:c r="F182" s="11" t="str">
        <x:v>TC-RPT-007-01 / -02</x:v>
      </x:c>
      <x:c r="G182" s="11" t="str">
        <x:v>Publication control</x:v>
      </x:c>
    </x:row>
    <x:row r="183" ht="42" customHeight="1">
      <x:c r="A183" s="11" t="str">
        <x:v>BR-RPT-008</x:v>
      </x:c>
      <x:c r="B183" s="11" t="str">
        <x:v>FR-RPT-008</x:v>
      </x:c>
      <x:c r="C183" s="11" t="str">
        <x:v>P0</x:v>
      </x:c>
      <x:c r="D183" s="11" t="str">
        <x:v>R1</x:v>
      </x:c>
      <x:c r="E183" s="11" t="str">
        <x:v>C09</x:v>
      </x:c>
      <x:c r="F183" s="11" t="str">
        <x:v>TC-RPT-008-01 / -02</x:v>
      </x:c>
      <x:c r="G183" s="11" t="str">
        <x:v>Distribution and scheduled delivery</x:v>
      </x:c>
    </x:row>
    <x:row r="184" ht="42" customHeight="1">
      <x:c r="A184" s="11" t="str">
        <x:v>BR-RPT-009</x:v>
      </x:c>
      <x:c r="B184" s="11" t="str">
        <x:v>FR-RPT-009</x:v>
      </x:c>
      <x:c r="C184" s="11" t="str">
        <x:v>P0</x:v>
      </x:c>
      <x:c r="D184" s="11" t="str">
        <x:v>R1</x:v>
      </x:c>
      <x:c r="E184" s="11" t="str">
        <x:v>C09</x:v>
      </x:c>
      <x:c r="F184" s="11" t="str">
        <x:v>TC-RPT-009-01 / -02</x:v>
      </x:c>
      <x:c r="G184" s="11" t="str">
        <x:v>Amend withdraw and supersede</x:v>
      </x:c>
    </x:row>
    <x:row r="185" ht="42" customHeight="1">
      <x:c r="A185" s="11" t="str">
        <x:v>BR-RPT-010</x:v>
      </x:c>
      <x:c r="B185" s="11" t="str">
        <x:v>FR-RPT-010</x:v>
      </x:c>
      <x:c r="C185" s="11" t="str">
        <x:v>P0</x:v>
      </x:c>
      <x:c r="D185" s="11" t="str">
        <x:v>R1</x:v>
      </x:c>
      <x:c r="E185" s="11" t="str">
        <x:v>C09</x:v>
      </x:c>
      <x:c r="F185" s="11" t="str">
        <x:v>TC-RPT-010-01 / -02</x:v>
      </x:c>
      <x:c r="G185" s="11" t="str">
        <x:v>Reporting reconciliation</x:v>
      </x:c>
    </x:row>
    <x:row r="186" ht="42" customHeight="1">
      <x:c r="A186" s="11" t="str">
        <x:v>BR-RPT-011</x:v>
      </x:c>
      <x:c r="B186" s="11" t="str">
        <x:v>FR-RPT-011</x:v>
      </x:c>
      <x:c r="C186" s="11" t="str">
        <x:v>P1</x:v>
      </x:c>
      <x:c r="D186" s="11" t="str">
        <x:v>R2</x:v>
      </x:c>
      <x:c r="E186" s="11" t="str">
        <x:v>C09</x:v>
      </x:c>
      <x:c r="F186" s="11" t="str">
        <x:v>TC-RPT-011-01 / -02</x:v>
      </x:c>
      <x:c r="G186" s="11" t="str">
        <x:v>Transparency publication</x:v>
      </x:c>
    </x:row>
    <x:row r="187" ht="42" customHeight="1">
      <x:c r="A187" s="11" t="str">
        <x:v>BR-RPT-012</x:v>
      </x:c>
      <x:c r="B187" s="11" t="str">
        <x:v>FR-RPT-012</x:v>
      </x:c>
      <x:c r="C187" s="11" t="str">
        <x:v>P1</x:v>
      </x:c>
      <x:c r="D187" s="11" t="str">
        <x:v>R1</x:v>
      </x:c>
      <x:c r="E187" s="11" t="str">
        <x:v>C09</x:v>
      </x:c>
      <x:c r="F187" s="11" t="str">
        <x:v>TC-RPT-012-01 / -02</x:v>
      </x:c>
      <x:c r="G187" s="11" t="str">
        <x:v>Report evidence package</x:v>
      </x:c>
    </x:row>
    <x:row r="188" ht="42" customHeight="1">
      <x:c r="A188" s="11" t="str">
        <x:v>BR-FIN-001</x:v>
      </x:c>
      <x:c r="B188" s="11" t="str">
        <x:v>FR-FIN-001</x:v>
      </x:c>
      <x:c r="C188" s="11" t="str">
        <x:v>P1</x:v>
      </x:c>
      <x:c r="D188" s="11" t="str">
        <x:v>R1</x:v>
      </x:c>
      <x:c r="E188" s="11" t="str">
        <x:v>C10</x:v>
      </x:c>
      <x:c r="F188" s="11" t="str">
        <x:v>TC-FIN-001-01 / -02</x:v>
      </x:c>
      <x:c r="G188" s="11" t="str">
        <x:v>Funding and grant context</x:v>
      </x:c>
    </x:row>
    <x:row r="189" ht="42" customHeight="1">
      <x:c r="A189" s="11" t="str">
        <x:v>BR-FIN-002</x:v>
      </x:c>
      <x:c r="B189" s="11" t="str">
        <x:v>FR-FIN-002</x:v>
      </x:c>
      <x:c r="C189" s="11" t="str">
        <x:v>P1</x:v>
      </x:c>
      <x:c r="D189" s="11" t="str">
        <x:v>R2</x:v>
      </x:c>
      <x:c r="E189" s="11" t="str">
        <x:v>C10</x:v>
      </x:c>
      <x:c r="F189" s="11" t="str">
        <x:v>TC-FIN-002-01 / -02</x:v>
      </x:c>
      <x:c r="G189" s="11" t="str">
        <x:v>Budget planning</x:v>
      </x:c>
    </x:row>
    <x:row r="190" ht="42" customHeight="1">
      <x:c r="A190" s="11" t="str">
        <x:v>BR-FIN-003</x:v>
      </x:c>
      <x:c r="B190" s="11" t="str">
        <x:v>FR-FIN-003</x:v>
      </x:c>
      <x:c r="C190" s="11" t="str">
        <x:v>P1</x:v>
      </x:c>
      <x:c r="D190" s="11" t="str">
        <x:v>R2</x:v>
      </x:c>
      <x:c r="E190" s="11" t="str">
        <x:v>C10</x:v>
      </x:c>
      <x:c r="F190" s="11" t="str">
        <x:v>TC-FIN-003-01 / -02</x:v>
      </x:c>
      <x:c r="G190" s="11" t="str">
        <x:v>Expenditure ingestion</x:v>
      </x:c>
    </x:row>
    <x:row r="191" ht="42" customHeight="1">
      <x:c r="A191" s="11" t="str">
        <x:v>BR-FIN-004</x:v>
      </x:c>
      <x:c r="B191" s="11" t="str">
        <x:v>FR-FIN-004</x:v>
      </x:c>
      <x:c r="C191" s="11" t="str">
        <x:v>P0</x:v>
      </x:c>
      <x:c r="D191" s="11" t="str">
        <x:v>R1</x:v>
      </x:c>
      <x:c r="E191" s="11" t="str">
        <x:v>C10</x:v>
      </x:c>
      <x:c r="F191" s="11" t="str">
        <x:v>TC-FIN-004-01 / -02</x:v>
      </x:c>
      <x:c r="G191" s="11" t="str">
        <x:v>Currency treatment</x:v>
      </x:c>
    </x:row>
    <x:row r="192" ht="42" customHeight="1">
      <x:c r="A192" s="11" t="str">
        <x:v>BR-FIN-005</x:v>
      </x:c>
      <x:c r="B192" s="11" t="str">
        <x:v>FR-FIN-005</x:v>
      </x:c>
      <x:c r="C192" s="11" t="str">
        <x:v>P1</x:v>
      </x:c>
      <x:c r="D192" s="11" t="str">
        <x:v>R2</x:v>
      </x:c>
      <x:c r="E192" s="11" t="str">
        <x:v>C10</x:v>
      </x:c>
      <x:c r="F192" s="11" t="str">
        <x:v>TC-FIN-005-01 / -02</x:v>
      </x:c>
      <x:c r="G192" s="11" t="str">
        <x:v>Variance and forecast</x:v>
      </x:c>
    </x:row>
    <x:row r="193" ht="42" customHeight="1">
      <x:c r="A193" s="11" t="str">
        <x:v>BR-FIN-006</x:v>
      </x:c>
      <x:c r="B193" s="11" t="str">
        <x:v>FR-FIN-006</x:v>
      </x:c>
      <x:c r="C193" s="11" t="str">
        <x:v>P1</x:v>
      </x:c>
      <x:c r="D193" s="11" t="str">
        <x:v>R2</x:v>
      </x:c>
      <x:c r="E193" s="11" t="str">
        <x:v>C10</x:v>
      </x:c>
      <x:c r="F193" s="11" t="str">
        <x:v>TC-FIN-006-01 / -02</x:v>
      </x:c>
      <x:c r="G193" s="11" t="str">
        <x:v>Shared costs and allocations</x:v>
      </x:c>
    </x:row>
    <x:row r="194" ht="42" customHeight="1">
      <x:c r="A194" s="11" t="str">
        <x:v>BR-FIN-007</x:v>
      </x:c>
      <x:c r="B194" s="11" t="str">
        <x:v>FR-FIN-007</x:v>
      </x:c>
      <x:c r="C194" s="11" t="str">
        <x:v>P2</x:v>
      </x:c>
      <x:c r="D194" s="11" t="str">
        <x:v>R3</x:v>
      </x:c>
      <x:c r="E194" s="11" t="str">
        <x:v>C10</x:v>
      </x:c>
      <x:c r="F194" s="11" t="str">
        <x:v>TC-FIN-007-01 / -02</x:v>
      </x:c>
      <x:c r="G194" s="11" t="str">
        <x:v>Cost effectiveness</x:v>
      </x:c>
    </x:row>
    <x:row r="195" ht="42" customHeight="1">
      <x:c r="A195" s="11" t="str">
        <x:v>BR-FIN-008</x:v>
      </x:c>
      <x:c r="B195" s="11" t="str">
        <x:v>FR-FIN-008</x:v>
      </x:c>
      <x:c r="C195" s="11" t="str">
        <x:v>P0</x:v>
      </x:c>
      <x:c r="D195" s="11" t="str">
        <x:v>R1</x:v>
      </x:c>
      <x:c r="E195" s="11" t="str">
        <x:v>C10</x:v>
      </x:c>
      <x:c r="F195" s="11" t="str">
        <x:v>TC-FIN-008-01 / -02</x:v>
      </x:c>
      <x:c r="G195" s="11" t="str">
        <x:v>Finance permissions and audit</x:v>
      </x:c>
    </x:row>
    <x:row r="196" ht="42" customHeight="1">
      <x:c r="A196" s="11" t="str">
        <x:v>BR-INT-001</x:v>
      </x:c>
      <x:c r="B196" s="11" t="str">
        <x:v>FR-INT-001</x:v>
      </x:c>
      <x:c r="C196" s="11" t="str">
        <x:v>P0</x:v>
      </x:c>
      <x:c r="D196" s="11" t="str">
        <x:v>R1</x:v>
      </x:c>
      <x:c r="E196" s="11" t="str">
        <x:v>C11</x:v>
      </x:c>
      <x:c r="F196" s="11" t="str">
        <x:v>TC-INT-001-01 / -02</x:v>
      </x:c>
      <x:c r="G196" s="11" t="str">
        <x:v>Connector qualification</x:v>
      </x:c>
    </x:row>
    <x:row r="197" ht="42" customHeight="1">
      <x:c r="A197" s="11" t="str">
        <x:v>BR-INT-002</x:v>
      </x:c>
      <x:c r="B197" s="11" t="str">
        <x:v>FR-INT-002</x:v>
      </x:c>
      <x:c r="C197" s="11" t="str">
        <x:v>P0</x:v>
      </x:c>
      <x:c r="D197" s="11" t="str">
        <x:v>R1</x:v>
      </x:c>
      <x:c r="E197" s="11" t="str">
        <x:v>C11</x:v>
      </x:c>
      <x:c r="F197" s="11" t="str">
        <x:v>TC-INT-002-01 / -02</x:v>
      </x:c>
      <x:c r="G197" s="11" t="str">
        <x:v>Connection lifecycle</x:v>
      </x:c>
    </x:row>
    <x:row r="198" ht="42" customHeight="1">
      <x:c r="A198" s="11" t="str">
        <x:v>BR-INT-003</x:v>
      </x:c>
      <x:c r="B198" s="11" t="str">
        <x:v>FR-INT-003</x:v>
      </x:c>
      <x:c r="C198" s="11" t="str">
        <x:v>P0</x:v>
      </x:c>
      <x:c r="D198" s="11" t="str">
        <x:v>R1</x:v>
      </x:c>
      <x:c r="E198" s="11" t="str">
        <x:v>C11</x:v>
      </x:c>
      <x:c r="F198" s="11" t="str">
        <x:v>TC-INT-003-01 / -02</x:v>
      </x:c>
      <x:c r="G198" s="11" t="str">
        <x:v>Reliable job execution</x:v>
      </x:c>
    </x:row>
    <x:row r="199" ht="42" customHeight="1">
      <x:c r="A199" s="11" t="str">
        <x:v>BR-INT-004</x:v>
      </x:c>
      <x:c r="B199" s="11" t="str">
        <x:v>FR-INT-004</x:v>
      </x:c>
      <x:c r="C199" s="11" t="str">
        <x:v>P1</x:v>
      </x:c>
      <x:c r="D199" s="11" t="str">
        <x:v>R1</x:v>
      </x:c>
      <x:c r="E199" s="11" t="str">
        <x:v>C11</x:v>
      </x:c>
      <x:c r="F199" s="11" t="str">
        <x:v>TC-INT-004-01 / -02</x:v>
      </x:c>
      <x:c r="G199" s="11" t="str">
        <x:v>API completeness and consistency</x:v>
      </x:c>
    </x:row>
    <x:row r="200" ht="42" customHeight="1">
      <x:c r="A200" s="11" t="str">
        <x:v>BR-INT-005</x:v>
      </x:c>
      <x:c r="B200" s="11" t="str">
        <x:v>FR-INT-005</x:v>
      </x:c>
      <x:c r="C200" s="11" t="str">
        <x:v>P1</x:v>
      </x:c>
      <x:c r="D200" s="11" t="str">
        <x:v>R1</x:v>
      </x:c>
      <x:c r="E200" s="11" t="str">
        <x:v>C11</x:v>
      </x:c>
      <x:c r="F200" s="11" t="str">
        <x:v>TC-INT-005-01 / -02</x:v>
      </x:c>
      <x:c r="G200" s="11" t="str">
        <x:v>API version and compatibility</x:v>
      </x:c>
    </x:row>
    <x:row r="201" ht="42" customHeight="1">
      <x:c r="A201" s="11" t="str">
        <x:v>BR-INT-006</x:v>
      </x:c>
      <x:c r="B201" s="11" t="str">
        <x:v>FR-INT-006</x:v>
      </x:c>
      <x:c r="C201" s="11" t="str">
        <x:v>P1</x:v>
      </x:c>
      <x:c r="D201" s="11" t="str">
        <x:v>R2</x:v>
      </x:c>
      <x:c r="E201" s="11" t="str">
        <x:v>C11</x:v>
      </x:c>
      <x:c r="F201" s="11" t="str">
        <x:v>TC-INT-006-01 / -02</x:v>
      </x:c>
      <x:c r="G201" s="11" t="str">
        <x:v>Webhook delivery</x:v>
      </x:c>
    </x:row>
    <x:row r="202" ht="42" customHeight="1">
      <x:c r="A202" s="11" t="str">
        <x:v>BR-INT-007</x:v>
      </x:c>
      <x:c r="B202" s="11" t="str">
        <x:v>FR-INT-007</x:v>
      </x:c>
      <x:c r="C202" s="11" t="str">
        <x:v>P0</x:v>
      </x:c>
      <x:c r="D202" s="11" t="str">
        <x:v>R1</x:v>
      </x:c>
      <x:c r="E202" s="11" t="str">
        <x:v>C11</x:v>
      </x:c>
      <x:c r="F202" s="11" t="str">
        <x:v>TC-INT-007-01 / -02</x:v>
      </x:c>
      <x:c r="G202" s="11" t="str">
        <x:v>Limits and tenant fairness</x:v>
      </x:c>
    </x:row>
    <x:row r="203" ht="42" customHeight="1">
      <x:c r="A203" s="11" t="str">
        <x:v>BR-INT-008</x:v>
      </x:c>
      <x:c r="B203" s="11" t="str">
        <x:v>FR-INT-008</x:v>
      </x:c>
      <x:c r="C203" s="11" t="str">
        <x:v>P1</x:v>
      </x:c>
      <x:c r="D203" s="11" t="str">
        <x:v>R2</x:v>
      </x:c>
      <x:c r="E203" s="11" t="str">
        <x:v>C11</x:v>
      </x:c>
      <x:c r="F203" s="11" t="str">
        <x:v>TC-INT-008-01 / -02</x:v>
      </x:c>
      <x:c r="G203" s="11" t="str">
        <x:v>Import export standards</x:v>
      </x:c>
    </x:row>
    <x:row r="204" ht="42" customHeight="1">
      <x:c r="A204" s="11" t="str">
        <x:v>BR-INT-009</x:v>
      </x:c>
      <x:c r="B204" s="11" t="str">
        <x:v>FR-INT-009</x:v>
      </x:c>
      <x:c r="C204" s="11" t="str">
        <x:v>P1</x:v>
      </x:c>
      <x:c r="D204" s="11" t="str">
        <x:v>R1</x:v>
      </x:c>
      <x:c r="E204" s="11" t="str">
        <x:v>C11</x:v>
      </x:c>
      <x:c r="F204" s="11" t="str">
        <x:v>TC-INT-009-01 / -02</x:v>
      </x:c>
      <x:c r="G204" s="11" t="str">
        <x:v>Integration diagnostics</x:v>
      </x:c>
    </x:row>
    <x:row r="205" ht="42" customHeight="1">
      <x:c r="A205" s="11" t="str">
        <x:v>BR-INT-010</x:v>
      </x:c>
      <x:c r="B205" s="11" t="str">
        <x:v>FR-INT-010</x:v>
      </x:c>
      <x:c r="C205" s="11" t="str">
        <x:v>P1</x:v>
      </x:c>
      <x:c r="D205" s="11" t="str">
        <x:v>R2</x:v>
      </x:c>
      <x:c r="E205" s="11" t="str">
        <x:v>C11</x:v>
      </x:c>
      <x:c r="F205" s="11" t="str">
        <x:v>TC-INT-010-01 / -02</x:v>
      </x:c>
      <x:c r="G205" s="11" t="str">
        <x:v>Development and testing access</x:v>
      </x:c>
    </x:row>
    <x:row r="206" ht="42" customHeight="1">
      <x:c r="A206" s="11" t="str">
        <x:v>BR-AI-001</x:v>
      </x:c>
      <x:c r="B206" s="11" t="str">
        <x:v>FR-AI-001</x:v>
      </x:c>
      <x:c r="C206" s="11" t="str">
        <x:v>P0</x:v>
      </x:c>
      <x:c r="D206" s="11" t="str">
        <x:v>R1</x:v>
      </x:c>
      <x:c r="E206" s="11" t="str">
        <x:v>C12</x:v>
      </x:c>
      <x:c r="F206" s="11" t="str">
        <x:v>TC-AI-001-01 / -02</x:v>
      </x:c>
      <x:c r="G206" s="11" t="str">
        <x:v>Explicit enablement and policy</x:v>
      </x:c>
    </x:row>
    <x:row r="207" ht="42" customHeight="1">
      <x:c r="A207" s="11" t="str">
        <x:v>BR-AI-002</x:v>
      </x:c>
      <x:c r="B207" s="11" t="str">
        <x:v>FR-AI-002</x:v>
      </x:c>
      <x:c r="C207" s="11" t="str">
        <x:v>P1</x:v>
      </x:c>
      <x:c r="D207" s="11" t="str">
        <x:v>R1</x:v>
      </x:c>
      <x:c r="E207" s="11" t="str">
        <x:v>C12</x:v>
      </x:c>
      <x:c r="F207" s="11" t="str">
        <x:v>TC-AI-002-01 / -02</x:v>
      </x:c>
      <x:c r="G207" s="11" t="str">
        <x:v>Proposal and logframe extraction</x:v>
      </x:c>
    </x:row>
    <x:row r="208" ht="42" customHeight="1">
      <x:c r="A208" s="11" t="str">
        <x:v>BR-AI-003</x:v>
      </x:c>
      <x:c r="B208" s="11" t="str">
        <x:v>FR-AI-003</x:v>
      </x:c>
      <x:c r="C208" s="11" t="str">
        <x:v>P1</x:v>
      </x:c>
      <x:c r="D208" s="11" t="str">
        <x:v>R1</x:v>
      </x:c>
      <x:c r="E208" s="11" t="str">
        <x:v>C12</x:v>
      </x:c>
      <x:c r="F208" s="11" t="str">
        <x:v>TC-AI-003-01 / -02</x:v>
      </x:c>
      <x:c r="G208" s="11" t="str">
        <x:v>Indicator design assistance</x:v>
      </x:c>
    </x:row>
    <x:row r="209" ht="42" customHeight="1">
      <x:c r="A209" s="11" t="str">
        <x:v>BR-AI-004</x:v>
      </x:c>
      <x:c r="B209" s="11" t="str">
        <x:v>FR-AI-004</x:v>
      </x:c>
      <x:c r="C209" s="11" t="str">
        <x:v>P1</x:v>
      </x:c>
      <x:c r="D209" s="11" t="str">
        <x:v>R1</x:v>
      </x:c>
      <x:c r="E209" s="11" t="str">
        <x:v>C12</x:v>
      </x:c>
      <x:c r="F209" s="11" t="str">
        <x:v>TC-AI-004-01 / -02</x:v>
      </x:c>
      <x:c r="G209" s="11" t="str">
        <x:v>Import and cleaning assistance</x:v>
      </x:c>
    </x:row>
    <x:row r="210" ht="42" customHeight="1">
      <x:c r="A210" s="11" t="str">
        <x:v>BR-AI-005</x:v>
      </x:c>
      <x:c r="B210" s="11" t="str">
        <x:v>FR-AI-005</x:v>
      </x:c>
      <x:c r="C210" s="11" t="str">
        <x:v>P1</x:v>
      </x:c>
      <x:c r="D210" s="11" t="str">
        <x:v>R1</x:v>
      </x:c>
      <x:c r="E210" s="11" t="str">
        <x:v>C12</x:v>
      </x:c>
      <x:c r="F210" s="11" t="str">
        <x:v>TC-AI-005-01 / -02</x:v>
      </x:c>
      <x:c r="G210" s="11" t="str">
        <x:v>Evidence based questions</x:v>
      </x:c>
    </x:row>
    <x:row r="211" ht="42" customHeight="1">
      <x:c r="A211" s="11" t="str">
        <x:v>BR-AI-006</x:v>
      </x:c>
      <x:c r="B211" s="11" t="str">
        <x:v>FR-AI-006</x:v>
      </x:c>
      <x:c r="C211" s="11" t="str">
        <x:v>P0</x:v>
      </x:c>
      <x:c r="D211" s="11" t="str">
        <x:v>R1</x:v>
      </x:c>
      <x:c r="E211" s="11" t="str">
        <x:v>C12</x:v>
      </x:c>
      <x:c r="F211" s="11" t="str">
        <x:v>TC-AI-006-01 / -02</x:v>
      </x:c>
      <x:c r="G211" s="11" t="str">
        <x:v>Governed numerical analysis</x:v>
      </x:c>
    </x:row>
    <x:row r="212" ht="42" customHeight="1">
      <x:c r="A212" s="11" t="str">
        <x:v>BR-AI-007</x:v>
      </x:c>
      <x:c r="B212" s="11" t="str">
        <x:v>FR-AI-007</x:v>
      </x:c>
      <x:c r="C212" s="11" t="str">
        <x:v>P1</x:v>
      </x:c>
      <x:c r="D212" s="11" t="str">
        <x:v>R1</x:v>
      </x:c>
      <x:c r="E212" s="11" t="str">
        <x:v>C12</x:v>
      </x:c>
      <x:c r="F212" s="11" t="str">
        <x:v>TC-AI-007-01 / -02</x:v>
      </x:c>
      <x:c r="G212" s="11" t="str">
        <x:v>Report drafting</x:v>
      </x:c>
    </x:row>
    <x:row r="213" ht="42" customHeight="1">
      <x:c r="A213" s="11" t="str">
        <x:v>BR-AI-008</x:v>
      </x:c>
      <x:c r="B213" s="11" t="str">
        <x:v>FR-AI-008</x:v>
      </x:c>
      <x:c r="C213" s="11" t="str">
        <x:v>P1</x:v>
      </x:c>
      <x:c r="D213" s="11" t="str">
        <x:v>R2</x:v>
      </x:c>
      <x:c r="E213" s="11" t="str">
        <x:v>C12</x:v>
      </x:c>
      <x:c r="F213" s="11" t="str">
        <x:v>TC-AI-008-01 / -02</x:v>
      </x:c>
      <x:c r="G213" s="11" t="str">
        <x:v>Qualitative assistance</x:v>
      </x:c>
    </x:row>
    <x:row r="214" ht="42" customHeight="1">
      <x:c r="A214" s="11" t="str">
        <x:v>BR-AI-009</x:v>
      </x:c>
      <x:c r="B214" s="11" t="str">
        <x:v>FR-AI-009</x:v>
      </x:c>
      <x:c r="C214" s="11" t="str">
        <x:v>P1</x:v>
      </x:c>
      <x:c r="D214" s="11" t="str">
        <x:v>R2</x:v>
      </x:c>
      <x:c r="E214" s="11" t="str">
        <x:v>C12</x:v>
      </x:c>
      <x:c r="F214" s="11" t="str">
        <x:v>TC-AI-009-01 / -02</x:v>
      </x:c>
      <x:c r="G214" s="11" t="str">
        <x:v>Proactive findings</x:v>
      </x:c>
    </x:row>
    <x:row r="215" ht="42" customHeight="1">
      <x:c r="A215" s="11" t="str">
        <x:v>BR-AI-010</x:v>
      </x:c>
      <x:c r="B215" s="11" t="str">
        <x:v>FR-AI-010</x:v>
      </x:c>
      <x:c r="C215" s="11" t="str">
        <x:v>P0</x:v>
      </x:c>
      <x:c r="D215" s="11" t="str">
        <x:v>R1</x:v>
      </x:c>
      <x:c r="E215" s="11" t="str">
        <x:v>C12</x:v>
      </x:c>
      <x:c r="F215" s="11" t="str">
        <x:v>TC-AI-010-01 / -02</x:v>
      </x:c>
      <x:c r="G215" s="11" t="str">
        <x:v>Action proposal and approval</x:v>
      </x:c>
    </x:row>
    <x:row r="216" ht="42" customHeight="1">
      <x:c r="A216" s="11" t="str">
        <x:v>BR-AI-011</x:v>
      </x:c>
      <x:c r="B216" s="11" t="str">
        <x:v>FR-AI-011</x:v>
      </x:c>
      <x:c r="C216" s="11" t="str">
        <x:v>P0</x:v>
      </x:c>
      <x:c r="D216" s="11" t="str">
        <x:v>R1</x:v>
      </x:c>
      <x:c r="E216" s="11" t="str">
        <x:v>C12</x:v>
      </x:c>
      <x:c r="F216" s="11" t="str">
        <x:v>TC-AI-011-01 / -02</x:v>
      </x:c>
      <x:c r="G216" s="11" t="str">
        <x:v>Input and tool isolation</x:v>
      </x:c>
    </x:row>
    <x:row r="217" ht="42" customHeight="1">
      <x:c r="A217" s="11" t="str">
        <x:v>BR-AI-012</x:v>
      </x:c>
      <x:c r="B217" s="11" t="str">
        <x:v>FR-AI-012</x:v>
      </x:c>
      <x:c r="C217" s="11" t="str">
        <x:v>P0</x:v>
      </x:c>
      <x:c r="D217" s="11" t="str">
        <x:v>R1</x:v>
      </x:c>
      <x:c r="E217" s="11" t="str">
        <x:v>C12</x:v>
      </x:c>
      <x:c r="F217" s="11" t="str">
        <x:v>TC-AI-012-01 / -02</x:v>
      </x:c>
      <x:c r="G217" s="11" t="str">
        <x:v>Model data handling</x:v>
      </x:c>
    </x:row>
    <x:row r="218" ht="42" customHeight="1">
      <x:c r="A218" s="11" t="str">
        <x:v>BR-AI-013</x:v>
      </x:c>
      <x:c r="B218" s="11" t="str">
        <x:v>FR-AI-013</x:v>
      </x:c>
      <x:c r="C218" s="11" t="str">
        <x:v>P0</x:v>
      </x:c>
      <x:c r="D218" s="11" t="str">
        <x:v>R1</x:v>
      </x:c>
      <x:c r="E218" s="11" t="str">
        <x:v>C12</x:v>
      </x:c>
      <x:c r="F218" s="11" t="str">
        <x:v>TC-AI-013-01 / -02</x:v>
      </x:c>
      <x:c r="G218" s="11" t="str">
        <x:v>Source access and conversation history</x:v>
      </x:c>
    </x:row>
    <x:row r="219" ht="42" customHeight="1">
      <x:c r="A219" s="11" t="str">
        <x:v>BR-AI-014</x:v>
      </x:c>
      <x:c r="B219" s="11" t="str">
        <x:v>FR-AI-014</x:v>
      </x:c>
      <x:c r="C219" s="11" t="str">
        <x:v>P0</x:v>
      </x:c>
      <x:c r="D219" s="11" t="str">
        <x:v>R1</x:v>
      </x:c>
      <x:c r="E219" s="11" t="str">
        <x:v>C12</x:v>
      </x:c>
      <x:c r="F219" s="11" t="str">
        <x:v>TC-AI-014-01 / -02</x:v>
      </x:c>
      <x:c r="G219" s="11" t="str">
        <x:v>Traceability and reproducibility</x:v>
      </x:c>
    </x:row>
    <x:row r="220" ht="42" customHeight="1">
      <x:c r="A220" s="11" t="str">
        <x:v>BR-AI-015</x:v>
      </x:c>
      <x:c r="B220" s="11" t="str">
        <x:v>FR-AI-015</x:v>
      </x:c>
      <x:c r="C220" s="11" t="str">
        <x:v>P0</x:v>
      </x:c>
      <x:c r="D220" s="11" t="str">
        <x:v>R1</x:v>
      </x:c>
      <x:c r="E220" s="11" t="str">
        <x:v>C12</x:v>
      </x:c>
      <x:c r="F220" s="11" t="str">
        <x:v>TC-AI-015-01 / -02</x:v>
      </x:c>
      <x:c r="G220" s="11" t="str">
        <x:v>Evaluation and release gates</x:v>
      </x:c>
    </x:row>
    <x:row r="221" ht="42" customHeight="1">
      <x:c r="A221" s="11" t="str">
        <x:v>BR-AI-016</x:v>
      </x:c>
      <x:c r="B221" s="11" t="str">
        <x:v>FR-AI-016</x:v>
      </x:c>
      <x:c r="C221" s="11" t="str">
        <x:v>P0</x:v>
      </x:c>
      <x:c r="D221" s="11" t="str">
        <x:v>R1</x:v>
      </x:c>
      <x:c r="E221" s="11" t="str">
        <x:v>C12</x:v>
      </x:c>
      <x:c r="F221" s="11" t="str">
        <x:v>TC-AI-016-01 / -02</x:v>
      </x:c>
      <x:c r="G221" s="11" t="str">
        <x:v>Cost latency and fallback</x:v>
      </x:c>
    </x:row>
    <x:row r="222" ht="42" customHeight="1">
      <x:c r="A222" s="11" t="str">
        <x:v>BR-AI-017</x:v>
      </x:c>
      <x:c r="B222" s="11" t="str">
        <x:v>FR-AI-017</x:v>
      </x:c>
      <x:c r="C222" s="11" t="str">
        <x:v>P2</x:v>
      </x:c>
      <x:c r="D222" s="11" t="str">
        <x:v>R3</x:v>
      </x:c>
      <x:c r="E222" s="11" t="str">
        <x:v>C12</x:v>
      </x:c>
      <x:c r="F222" s="11" t="str">
        <x:v>TC-AI-017-01 / -02</x:v>
      </x:c>
      <x:c r="G222" s="11" t="str">
        <x:v>Forecasts and scenario assistance</x:v>
      </x:c>
    </x:row>
    <x:row r="223" ht="42" customHeight="1">
      <x:c r="A223" s="11" t="str">
        <x:v>BR-AI-018</x:v>
      </x:c>
      <x:c r="B223" s="11" t="str">
        <x:v>FR-AI-018</x:v>
      </x:c>
      <x:c r="C223" s="11" t="str">
        <x:v>P0</x:v>
      </x:c>
      <x:c r="D223" s="11" t="str">
        <x:v>R1</x:v>
      </x:c>
      <x:c r="E223" s="11" t="str">
        <x:v>C12</x:v>
      </x:c>
      <x:c r="F223" s="11" t="str">
        <x:v>TC-AI-018-01 / -02</x:v>
      </x:c>
      <x:c r="G223" s="11" t="str">
        <x:v>Safety feedback and shutdown</x:v>
      </x:c>
    </x:row>
    <x:row r="224" ht="42" customHeight="1">
      <x:c r="A224" s="11" t="str">
        <x:v>BR-SEC-001</x:v>
      </x:c>
      <x:c r="B224" s="11" t="str">
        <x:v>FR-SEC-001</x:v>
      </x:c>
      <x:c r="C224" s="11" t="str">
        <x:v>P0</x:v>
      </x:c>
      <x:c r="D224" s="11" t="str">
        <x:v>R1</x:v>
      </x:c>
      <x:c r="E224" s="11" t="str">
        <x:v>C02</x:v>
      </x:c>
      <x:c r="F224" s="11" t="str">
        <x:v>TC-SEC-001-01 / -02</x:v>
      </x:c>
      <x:c r="G224" s="11" t="str">
        <x:v>Security threat assessment</x:v>
      </x:c>
    </x:row>
    <x:row r="225" ht="42" customHeight="1">
      <x:c r="A225" s="11" t="str">
        <x:v>BR-SEC-002</x:v>
      </x:c>
      <x:c r="B225" s="11" t="str">
        <x:v>FR-SEC-002</x:v>
      </x:c>
      <x:c r="C225" s="11" t="str">
        <x:v>P0</x:v>
      </x:c>
      <x:c r="D225" s="11" t="str">
        <x:v>R1</x:v>
      </x:c>
      <x:c r="E225" s="11" t="str">
        <x:v>C02</x:v>
      </x:c>
      <x:c r="F225" s="11" t="str">
        <x:v>TC-SEC-002-01 / -02</x:v>
      </x:c>
      <x:c r="G225" s="11" t="str">
        <x:v>Encryption and key governance</x:v>
      </x:c>
    </x:row>
    <x:row r="226" ht="42" customHeight="1">
      <x:c r="A226" s="11" t="str">
        <x:v>BR-SEC-003</x:v>
      </x:c>
      <x:c r="B226" s="11" t="str">
        <x:v>FR-SEC-003</x:v>
      </x:c>
      <x:c r="C226" s="11" t="str">
        <x:v>P0</x:v>
      </x:c>
      <x:c r="D226" s="11" t="str">
        <x:v>R1</x:v>
      </x:c>
      <x:c r="E226" s="11" t="str">
        <x:v>C02</x:v>
      </x:c>
      <x:c r="F226" s="11" t="str">
        <x:v>TC-SEC-003-01 / -02</x:v>
      </x:c>
      <x:c r="G226" s="11" t="str">
        <x:v>Tenant isolation verification</x:v>
      </x:c>
    </x:row>
    <x:row r="227" ht="42" customHeight="1">
      <x:c r="A227" s="11" t="str">
        <x:v>BR-SEC-004</x:v>
      </x:c>
      <x:c r="B227" s="11" t="str">
        <x:v>FR-SEC-004</x:v>
      </x:c>
      <x:c r="C227" s="11" t="str">
        <x:v>P0</x:v>
      </x:c>
      <x:c r="D227" s="11" t="str">
        <x:v>R1</x:v>
      </x:c>
      <x:c r="E227" s="11" t="str">
        <x:v>C02</x:v>
      </x:c>
      <x:c r="F227" s="11" t="str">
        <x:v>TC-SEC-004-01 / -02</x:v>
      </x:c>
      <x:c r="G227" s="11" t="str">
        <x:v>Application and API protection</x:v>
      </x:c>
    </x:row>
    <x:row r="228" ht="42" customHeight="1">
      <x:c r="A228" s="11" t="str">
        <x:v>BR-SEC-005</x:v>
      </x:c>
      <x:c r="B228" s="11" t="str">
        <x:v>FR-SEC-005</x:v>
      </x:c>
      <x:c r="C228" s="11" t="str">
        <x:v>P0</x:v>
      </x:c>
      <x:c r="D228" s="11" t="str">
        <x:v>R1</x:v>
      </x:c>
      <x:c r="E228" s="11" t="str">
        <x:v>C02</x:v>
      </x:c>
      <x:c r="F228" s="11" t="str">
        <x:v>TC-SEC-005-01 / -02</x:v>
      </x:c>
      <x:c r="G228" s="11" t="str">
        <x:v>File and content safety</x:v>
      </x:c>
    </x:row>
    <x:row r="229" ht="42" customHeight="1">
      <x:c r="A229" s="11" t="str">
        <x:v>BR-SEC-006</x:v>
      </x:c>
      <x:c r="B229" s="11" t="str">
        <x:v>FR-SEC-006</x:v>
      </x:c>
      <x:c r="C229" s="11" t="str">
        <x:v>P0</x:v>
      </x:c>
      <x:c r="D229" s="11" t="str">
        <x:v>R1</x:v>
      </x:c>
      <x:c r="E229" s="11" t="str">
        <x:v>C02</x:v>
      </x:c>
      <x:c r="F229" s="11" t="str">
        <x:v>TC-SEC-006-01 / -02</x:v>
      </x:c>
      <x:c r="G229" s="11" t="str">
        <x:v>Secrets management</x:v>
      </x:c>
    </x:row>
    <x:row r="230" ht="42" customHeight="1">
      <x:c r="A230" s="11" t="str">
        <x:v>BR-SEC-007</x:v>
      </x:c>
      <x:c r="B230" s="11" t="str">
        <x:v>FR-SEC-007</x:v>
      </x:c>
      <x:c r="C230" s="11" t="str">
        <x:v>P0</x:v>
      </x:c>
      <x:c r="D230" s="11" t="str">
        <x:v>R1</x:v>
      </x:c>
      <x:c r="E230" s="11" t="str">
        <x:v>C02</x:v>
      </x:c>
      <x:c r="F230" s="11" t="str">
        <x:v>TC-SEC-007-01 / -02</x:v>
      </x:c>
      <x:c r="G230" s="11" t="str">
        <x:v>Tamper evident audit</x:v>
      </x:c>
    </x:row>
    <x:row r="231" ht="42" customHeight="1">
      <x:c r="A231" s="11" t="str">
        <x:v>BR-SEC-008</x:v>
      </x:c>
      <x:c r="B231" s="11" t="str">
        <x:v>FR-SEC-008</x:v>
      </x:c>
      <x:c r="C231" s="11" t="str">
        <x:v>P0</x:v>
      </x:c>
      <x:c r="D231" s="11" t="str">
        <x:v>R1</x:v>
      </x:c>
      <x:c r="E231" s="11" t="str">
        <x:v>C02</x:v>
      </x:c>
      <x:c r="F231" s="11" t="str">
        <x:v>TC-SEC-008-01 / -02</x:v>
      </x:c>
      <x:c r="G231" s="11" t="str">
        <x:v>Secure engineering lifecycle</x:v>
      </x:c>
    </x:row>
    <x:row r="232" ht="42" customHeight="1">
      <x:c r="A232" s="11" t="str">
        <x:v>BR-SEC-009</x:v>
      </x:c>
      <x:c r="B232" s="11" t="str">
        <x:v>FR-SEC-009</x:v>
      </x:c>
      <x:c r="C232" s="11" t="str">
        <x:v>P0</x:v>
      </x:c>
      <x:c r="D232" s="11" t="str">
        <x:v>R1</x:v>
      </x:c>
      <x:c r="E232" s="11" t="str">
        <x:v>C02</x:v>
      </x:c>
      <x:c r="F232" s="11" t="str">
        <x:v>TC-SEC-009-01 / -02</x:v>
      </x:c>
      <x:c r="G232" s="11" t="str">
        <x:v>Vulnerability management</x:v>
      </x:c>
    </x:row>
    <x:row r="233" ht="42" customHeight="1">
      <x:c r="A233" s="11" t="str">
        <x:v>BR-SEC-010</x:v>
      </x:c>
      <x:c r="B233" s="11" t="str">
        <x:v>FR-SEC-010</x:v>
      </x:c>
      <x:c r="C233" s="11" t="str">
        <x:v>P0</x:v>
      </x:c>
      <x:c r="D233" s="11" t="str">
        <x:v>R1</x:v>
      </x:c>
      <x:c r="E233" s="11" t="str">
        <x:v>C02</x:v>
      </x:c>
      <x:c r="F233" s="11" t="str">
        <x:v>TC-SEC-010-01 / -02</x:v>
      </x:c>
      <x:c r="G233" s="11" t="str">
        <x:v>Independent assurance</x:v>
      </x:c>
    </x:row>
    <x:row r="234" ht="42" customHeight="1">
      <x:c r="A234" s="11" t="str">
        <x:v>BR-SEC-011</x:v>
      </x:c>
      <x:c r="B234" s="11" t="str">
        <x:v>FR-SEC-011</x:v>
      </x:c>
      <x:c r="C234" s="11" t="str">
        <x:v>P0</x:v>
      </x:c>
      <x:c r="D234" s="11" t="str">
        <x:v>R1</x:v>
      </x:c>
      <x:c r="E234" s="11" t="str">
        <x:v>C02</x:v>
      </x:c>
      <x:c r="F234" s="11" t="str">
        <x:v>TC-SEC-011-01 / -02</x:v>
      </x:c>
      <x:c r="G234" s="11" t="str">
        <x:v>Detection and incident response</x:v>
      </x:c>
    </x:row>
    <x:row r="235" ht="42" customHeight="1">
      <x:c r="A235" s="11" t="str">
        <x:v>BR-SEC-012</x:v>
      </x:c>
      <x:c r="B235" s="11" t="str">
        <x:v>FR-SEC-012</x:v>
      </x:c>
      <x:c r="C235" s="11" t="str">
        <x:v>P0</x:v>
      </x:c>
      <x:c r="D235" s="11" t="str">
        <x:v>R1</x:v>
      </x:c>
      <x:c r="E235" s="11" t="str">
        <x:v>C02</x:v>
      </x:c>
      <x:c r="F235" s="11" t="str">
        <x:v>TC-SEC-012-01 / -02</x:v>
      </x:c>
      <x:c r="G235" s="11" t="str">
        <x:v>Environment separation</x:v>
      </x:c>
    </x:row>
    <x:row r="236" ht="42" customHeight="1">
      <x:c r="A236" s="11" t="str">
        <x:v>BR-SEC-013</x:v>
      </x:c>
      <x:c r="B236" s="11" t="str">
        <x:v>FR-SEC-013</x:v>
      </x:c>
      <x:c r="C236" s="11" t="str">
        <x:v>P0</x:v>
      </x:c>
      <x:c r="D236" s="11" t="str">
        <x:v>R1</x:v>
      </x:c>
      <x:c r="E236" s="11" t="str">
        <x:v>C02</x:v>
      </x:c>
      <x:c r="F236" s="11" t="str">
        <x:v>TC-SEC-013-01 / -02</x:v>
      </x:c>
      <x:c r="G236" s="11" t="str">
        <x:v>Privileged operations</x:v>
      </x:c>
    </x:row>
    <x:row r="237" ht="42" customHeight="1">
      <x:c r="A237" s="11" t="str">
        <x:v>BR-SEC-014</x:v>
      </x:c>
      <x:c r="B237" s="11" t="str">
        <x:v>FR-SEC-014</x:v>
      </x:c>
      <x:c r="C237" s="11" t="str">
        <x:v>P0</x:v>
      </x:c>
      <x:c r="D237" s="11" t="str">
        <x:v>R1</x:v>
      </x:c>
      <x:c r="E237" s="11" t="str">
        <x:v>C02</x:v>
      </x:c>
      <x:c r="F237" s="11" t="str">
        <x:v>TC-SEC-014-01 / -02</x:v>
      </x:c>
      <x:c r="G237" s="11" t="str">
        <x:v>Resilience to abusive traffic</x:v>
      </x:c>
    </x:row>
    <x:row r="238" ht="42" customHeight="1">
      <x:c r="A238" s="11" t="str">
        <x:v>BR-SEC-015</x:v>
      </x:c>
      <x:c r="B238" s="11" t="str">
        <x:v>FR-SEC-015</x:v>
      </x:c>
      <x:c r="C238" s="11" t="str">
        <x:v>P2</x:v>
      </x:c>
      <x:c r="D238" s="11" t="str">
        <x:v>R3</x:v>
      </x:c>
      <x:c r="E238" s="11" t="str">
        <x:v>C02</x:v>
      </x:c>
      <x:c r="F238" s="11" t="str">
        <x:v>TC-SEC-015-01 / -02</x:v>
      </x:c>
      <x:c r="G238" s="11" t="str">
        <x:v>Enterprise assurance options</x:v>
      </x:c>
    </x:row>
    <x:row r="239" ht="42" customHeight="1">
      <x:c r="A239" s="11" t="str">
        <x:v>BR-PRV-001</x:v>
      </x:c>
      <x:c r="B239" s="11" t="str">
        <x:v>FR-PRV-001</x:v>
      </x:c>
      <x:c r="C239" s="11" t="str">
        <x:v>P0</x:v>
      </x:c>
      <x:c r="D239" s="11" t="str">
        <x:v>R1</x:v>
      </x:c>
      <x:c r="E239" s="11" t="str">
        <x:v>C13</x:v>
      </x:c>
      <x:c r="F239" s="11" t="str">
        <x:v>TC-PRV-001-01 / -02</x:v>
      </x:c>
      <x:c r="G239" s="11" t="str">
        <x:v>Data inventory and classification</x:v>
      </x:c>
    </x:row>
    <x:row r="240" ht="42" customHeight="1">
      <x:c r="A240" s="11" t="str">
        <x:v>BR-PRV-002</x:v>
      </x:c>
      <x:c r="B240" s="11" t="str">
        <x:v>FR-PRV-002</x:v>
      </x:c>
      <x:c r="C240" s="11" t="str">
        <x:v>P0</x:v>
      </x:c>
      <x:c r="D240" s="11" t="str">
        <x:v>R1</x:v>
      </x:c>
      <x:c r="E240" s="11" t="str">
        <x:v>C13</x:v>
      </x:c>
      <x:c r="F240" s="11" t="str">
        <x:v>TC-PRV-002-01 / -02</x:v>
      </x:c>
      <x:c r="G240" s="11" t="str">
        <x:v>Minimisation and purpose controls</x:v>
      </x:c>
    </x:row>
    <x:row r="241" ht="42" customHeight="1">
      <x:c r="A241" s="11" t="str">
        <x:v>BR-PRV-003</x:v>
      </x:c>
      <x:c r="B241" s="11" t="str">
        <x:v>FR-PRV-003</x:v>
      </x:c>
      <x:c r="C241" s="11" t="str">
        <x:v>P0</x:v>
      </x:c>
      <x:c r="D241" s="11" t="str">
        <x:v>R1</x:v>
      </x:c>
      <x:c r="E241" s="11" t="str">
        <x:v>C13</x:v>
      </x:c>
      <x:c r="F241" s="11" t="str">
        <x:v>TC-PRV-003-01 / -02</x:v>
      </x:c>
      <x:c r="G241" s="11" t="str">
        <x:v>Hosting and transfer policy</x:v>
      </x:c>
    </x:row>
    <x:row r="242" ht="42" customHeight="1">
      <x:c r="A242" s="11" t="str">
        <x:v>BR-PRV-004</x:v>
      </x:c>
      <x:c r="B242" s="11" t="str">
        <x:v>FR-PRV-004</x:v>
      </x:c>
      <x:c r="C242" s="11" t="str">
        <x:v>P0</x:v>
      </x:c>
      <x:c r="D242" s="11" t="str">
        <x:v>R1</x:v>
      </x:c>
      <x:c r="E242" s="11" t="str">
        <x:v>C13</x:v>
      </x:c>
      <x:c r="F242" s="11" t="str">
        <x:v>TC-PRV-004-01 / -02</x:v>
      </x:c>
      <x:c r="G242" s="11" t="str">
        <x:v>Retention schedules</x:v>
      </x:c>
    </x:row>
    <x:row r="243" ht="42" customHeight="1">
      <x:c r="A243" s="11" t="str">
        <x:v>BR-PRV-005</x:v>
      </x:c>
      <x:c r="B243" s="11" t="str">
        <x:v>FR-PRV-005</x:v>
      </x:c>
      <x:c r="C243" s="11" t="str">
        <x:v>P0</x:v>
      </x:c>
      <x:c r="D243" s="11" t="str">
        <x:v>R1</x:v>
      </x:c>
      <x:c r="E243" s="11" t="str">
        <x:v>C13</x:v>
      </x:c>
      <x:c r="F243" s="11" t="str">
        <x:v>TC-PRV-005-01 / -02</x:v>
      </x:c>
      <x:c r="G243" s="11" t="str">
        <x:v>Deletion restriction and holds</x:v>
      </x:c>
    </x:row>
    <x:row r="244" ht="42" customHeight="1">
      <x:c r="A244" s="11" t="str">
        <x:v>BR-PRV-006</x:v>
      </x:c>
      <x:c r="B244" s="11" t="str">
        <x:v>FR-PRV-006</x:v>
      </x:c>
      <x:c r="C244" s="11" t="str">
        <x:v>P0</x:v>
      </x:c>
      <x:c r="D244" s="11" t="str">
        <x:v>R1</x:v>
      </x:c>
      <x:c r="E244" s="11" t="str">
        <x:v>C13</x:v>
      </x:c>
      <x:c r="F244" s="11" t="str">
        <x:v>TC-PRV-006-01 / -02</x:v>
      </x:c>
      <x:c r="G244" s="11" t="str">
        <x:v>Backup deletion handling</x:v>
      </x:c>
    </x:row>
    <x:row r="245" ht="42" customHeight="1">
      <x:c r="A245" s="11" t="str">
        <x:v>BR-PRV-007</x:v>
      </x:c>
      <x:c r="B245" s="11" t="str">
        <x:v>FR-PRV-007</x:v>
      </x:c>
      <x:c r="C245" s="11" t="str">
        <x:v>P0</x:v>
      </x:c>
      <x:c r="D245" s="11" t="str">
        <x:v>R1</x:v>
      </x:c>
      <x:c r="E245" s="11" t="str">
        <x:v>C13</x:v>
      </x:c>
      <x:c r="F245" s="11" t="str">
        <x:v>TC-PRV-007-01 / -02</x:v>
      </x:c>
      <x:c r="G245" s="11" t="str">
        <x:v>Data subject request handling</x:v>
      </x:c>
    </x:row>
    <x:row r="246" ht="42" customHeight="1">
      <x:c r="A246" s="11" t="str">
        <x:v>BR-PRV-008</x:v>
      </x:c>
      <x:c r="B246" s="11" t="str">
        <x:v>FR-PRV-008</x:v>
      </x:c>
      <x:c r="C246" s="11" t="str">
        <x:v>P1</x:v>
      </x:c>
      <x:c r="D246" s="11" t="str">
        <x:v>R1</x:v>
      </x:c>
      <x:c r="E246" s="11" t="str">
        <x:v>C13</x:v>
      </x:c>
      <x:c r="F246" s="11" t="str">
        <x:v>TC-PRV-008-01 / -02</x:v>
      </x:c>
      <x:c r="G246" s="11" t="str">
        <x:v>Sharing register and agreements</x:v>
      </x:c>
    </x:row>
    <x:row r="247" ht="42" customHeight="1">
      <x:c r="A247" s="11" t="str">
        <x:v>BR-PRV-009</x:v>
      </x:c>
      <x:c r="B247" s="11" t="str">
        <x:v>FR-PRV-009</x:v>
      </x:c>
      <x:c r="C247" s="11" t="str">
        <x:v>P0</x:v>
      </x:c>
      <x:c r="D247" s="11" t="str">
        <x:v>R1</x:v>
      </x:c>
      <x:c r="E247" s="11" t="str">
        <x:v>C13</x:v>
      </x:c>
      <x:c r="F247" s="11" t="str">
        <x:v>TC-PRV-009-01 / -02</x:v>
      </x:c>
      <x:c r="G247" s="11" t="str">
        <x:v>Privacy review and country policy</x:v>
      </x:c>
    </x:row>
    <x:row r="248" ht="42" customHeight="1">
      <x:c r="A248" s="11" t="str">
        <x:v>BR-PRV-010</x:v>
      </x:c>
      <x:c r="B248" s="11" t="str">
        <x:v>FR-PRV-010</x:v>
      </x:c>
      <x:c r="C248" s="11" t="str">
        <x:v>P0</x:v>
      </x:c>
      <x:c r="D248" s="11" t="str">
        <x:v>R1</x:v>
      </x:c>
      <x:c r="E248" s="11" t="str">
        <x:v>C13</x:v>
      </x:c>
      <x:c r="F248" s="11" t="str">
        <x:v>TC-PRV-010-01 / -02</x:v>
      </x:c>
      <x:c r="G248" s="11" t="str">
        <x:v>Telemetry and analytics privacy</x:v>
      </x:c>
    </x:row>
    <x:row r="249" ht="42" customHeight="1">
      <x:c r="A249" s="11" t="str">
        <x:v>BR-OPS-001</x:v>
      </x:c>
      <x:c r="B249" s="11" t="str">
        <x:v>FR-OPS-001</x:v>
      </x:c>
      <x:c r="C249" s="11" t="str">
        <x:v>P0</x:v>
      </x:c>
      <x:c r="D249" s="11" t="str">
        <x:v>R1</x:v>
      </x:c>
      <x:c r="E249" s="11" t="str">
        <x:v>C14</x:v>
      </x:c>
      <x:c r="F249" s="11" t="str">
        <x:v>TC-OPS-001-01 / -02</x:v>
      </x:c>
      <x:c r="G249" s="11" t="str">
        <x:v>Service administration console</x:v>
      </x:c>
    </x:row>
    <x:row r="250" ht="42" customHeight="1">
      <x:c r="A250" s="11" t="str">
        <x:v>BR-OPS-002</x:v>
      </x:c>
      <x:c r="B250" s="11" t="str">
        <x:v>FR-OPS-002</x:v>
      </x:c>
      <x:c r="C250" s="11" t="str">
        <x:v>P1</x:v>
      </x:c>
      <x:c r="D250" s="11" t="str">
        <x:v>R1</x:v>
      </x:c>
      <x:c r="E250" s="11" t="str">
        <x:v>C14</x:v>
      </x:c>
      <x:c r="F250" s="11" t="str">
        <x:v>TC-OPS-002-01 / -02</x:v>
      </x:c>
      <x:c r="G250" s="11" t="str">
        <x:v>Entitlements and limits</x:v>
      </x:c>
    </x:row>
    <x:row r="251" ht="42" customHeight="1">
      <x:c r="A251" s="11" t="str">
        <x:v>BR-OPS-003</x:v>
      </x:c>
      <x:c r="B251" s="11" t="str">
        <x:v>FR-OPS-003</x:v>
      </x:c>
      <x:c r="C251" s="11" t="str">
        <x:v>P1</x:v>
      </x:c>
      <x:c r="D251" s="11" t="str">
        <x:v>R2</x:v>
      </x:c>
      <x:c r="E251" s="11" t="str">
        <x:v>C14</x:v>
      </x:c>
      <x:c r="F251" s="11" t="str">
        <x:v>TC-OPS-003-01 / -02</x:v>
      </x:c>
      <x:c r="G251" s="11" t="str">
        <x:v>Subscription administration</x:v>
      </x:c>
    </x:row>
    <x:row r="252" ht="42" customHeight="1">
      <x:c r="A252" s="11" t="str">
        <x:v>BR-OPS-004</x:v>
      </x:c>
      <x:c r="B252" s="11" t="str">
        <x:v>FR-OPS-004</x:v>
      </x:c>
      <x:c r="C252" s="11" t="str">
        <x:v>P1</x:v>
      </x:c>
      <x:c r="D252" s="11" t="str">
        <x:v>R1</x:v>
      </x:c>
      <x:c r="E252" s="11" t="str">
        <x:v>C14</x:v>
      </x:c>
      <x:c r="F252" s="11" t="str">
        <x:v>TC-OPS-004-01 / -02</x:v>
      </x:c>
      <x:c r="G252" s="11" t="str">
        <x:v>Support case management</x:v>
      </x:c>
    </x:row>
    <x:row r="253" ht="42" customHeight="1">
      <x:c r="A253" s="11" t="str">
        <x:v>BR-OPS-005</x:v>
      </x:c>
      <x:c r="B253" s="11" t="str">
        <x:v>FR-OPS-005</x:v>
      </x:c>
      <x:c r="C253" s="11" t="str">
        <x:v>P0</x:v>
      </x:c>
      <x:c r="D253" s="11" t="str">
        <x:v>R1</x:v>
      </x:c>
      <x:c r="E253" s="11" t="str">
        <x:v>C14</x:v>
      </x:c>
      <x:c r="F253" s="11" t="str">
        <x:v>TC-OPS-005-01 / -02</x:v>
      </x:c>
      <x:c r="G253" s="11" t="str">
        <x:v>Monitoring and service visibility</x:v>
      </x:c>
    </x:row>
    <x:row r="254" ht="42" customHeight="1">
      <x:c r="A254" s="11" t="str">
        <x:v>BR-OPS-006</x:v>
      </x:c>
      <x:c r="B254" s="11" t="str">
        <x:v>FR-OPS-006</x:v>
      </x:c>
      <x:c r="C254" s="11" t="str">
        <x:v>P0</x:v>
      </x:c>
      <x:c r="D254" s="11" t="str">
        <x:v>R1</x:v>
      </x:c>
      <x:c r="E254" s="11" t="str">
        <x:v>C14</x:v>
      </x:c>
      <x:c r="F254" s="11" t="str">
        <x:v>TC-OPS-006-01 / -02</x:v>
      </x:c>
      <x:c r="G254" s="11" t="str">
        <x:v>Backup and recovery operations</x:v>
      </x:c>
    </x:row>
    <x:row r="255" ht="42" customHeight="1">
      <x:c r="A255" s="11" t="str">
        <x:v>BR-OPS-007</x:v>
      </x:c>
      <x:c r="B255" s="11" t="str">
        <x:v>FR-OPS-007</x:v>
      </x:c>
      <x:c r="C255" s="11" t="str">
        <x:v>P0</x:v>
      </x:c>
      <x:c r="D255" s="11" t="str">
        <x:v>R1</x:v>
      </x:c>
      <x:c r="E255" s="11" t="str">
        <x:v>C14</x:v>
      </x:c>
      <x:c r="F255" s="11" t="str">
        <x:v>TC-OPS-007-01 / -02</x:v>
      </x:c>
      <x:c r="G255" s="11" t="str">
        <x:v>Safe release and rollback</x:v>
      </x:c>
    </x:row>
    <x:row r="256" ht="42" customHeight="1">
      <x:c r="A256" s="11" t="str">
        <x:v>BR-OPS-008</x:v>
      </x:c>
      <x:c r="B256" s="11" t="str">
        <x:v>FR-OPS-008</x:v>
      </x:c>
      <x:c r="C256" s="11" t="str">
        <x:v>P1</x:v>
      </x:c>
      <x:c r="D256" s="11" t="str">
        <x:v>R1</x:v>
      </x:c>
      <x:c r="E256" s="11" t="str">
        <x:v>C14</x:v>
      </x:c>
      <x:c r="F256" s="11" t="str">
        <x:v>TC-OPS-008-01 / -02</x:v>
      </x:c>
      <x:c r="G256" s="11" t="str">
        <x:v>Capacity and cost management</x:v>
      </x:c>
    </x:row>
    <x:row r="257" ht="42" customHeight="1">
      <x:c r="A257" s="11" t="str">
        <x:v>BR-OPS-009</x:v>
      </x:c>
      <x:c r="B257" s="11" t="str">
        <x:v>FR-OPS-009</x:v>
      </x:c>
      <x:c r="C257" s="11" t="str">
        <x:v>P1</x:v>
      </x:c>
      <x:c r="D257" s="11" t="str">
        <x:v>R2</x:v>
      </x:c>
      <x:c r="E257" s="11" t="str">
        <x:v>C14</x:v>
      </x:c>
      <x:c r="F257" s="11" t="str">
        <x:v>TC-OPS-009-01 / -02</x:v>
      </x:c>
      <x:c r="G257" s="11" t="str">
        <x:v>Operational automation</x:v>
      </x:c>
    </x:row>
    <x:row r="258" ht="42" customHeight="1">
      <x:c r="A258" s="11" t="str">
        <x:v>BR-OPS-010</x:v>
      </x:c>
      <x:c r="B258" s="11" t="str">
        <x:v>FR-OPS-010</x:v>
      </x:c>
      <x:c r="C258" s="11" t="str">
        <x:v>P1</x:v>
      </x:c>
      <x:c r="D258" s="11" t="str">
        <x:v>R2</x:v>
      </x:c>
      <x:c r="E258" s="11" t="str">
        <x:v>C14</x:v>
      </x:c>
      <x:c r="F258" s="11" t="str">
        <x:v>TC-OPS-010-01 / -02</x:v>
      </x:c>
      <x:c r="G258" s="11" t="str">
        <x:v>Trust and assurance information</x:v>
      </x:c>
    </x:row>
    <x:row r="259" ht="42" customHeight="1">
      <x:c r="A259" s="11" t="str">
        <x:v>BR-MIG-001</x:v>
      </x:c>
      <x:c r="B259" s="11" t="str">
        <x:v>FR-MIG-001</x:v>
      </x:c>
      <x:c r="C259" s="11" t="str">
        <x:v>P0</x:v>
      </x:c>
      <x:c r="D259" s="11" t="str">
        <x:v>R1</x:v>
      </x:c>
      <x:c r="E259" s="11" t="str">
        <x:v>C06</x:v>
      </x:c>
      <x:c r="F259" s="11" t="str">
        <x:v>TC-MIG-001-01 / -02</x:v>
      </x:c>
      <x:c r="G259" s="11" t="str">
        <x:v>Source discovery and mapping</x:v>
      </x:c>
    </x:row>
    <x:row r="260" ht="42" customHeight="1">
      <x:c r="A260" s="11" t="str">
        <x:v>BR-MIG-002</x:v>
      </x:c>
      <x:c r="B260" s="11" t="str">
        <x:v>FR-MIG-002</x:v>
      </x:c>
      <x:c r="C260" s="11" t="str">
        <x:v>P0</x:v>
      </x:c>
      <x:c r="D260" s="11" t="str">
        <x:v>R1</x:v>
      </x:c>
      <x:c r="E260" s="11" t="str">
        <x:v>C06</x:v>
      </x:c>
      <x:c r="F260" s="11" t="str">
        <x:v>TC-MIG-002-01 / -02</x:v>
      </x:c>
      <x:c r="G260" s="11" t="str">
        <x:v>Trial migrations</x:v>
      </x:c>
    </x:row>
    <x:row r="261" ht="42" customHeight="1">
      <x:c r="A261" s="11" t="str">
        <x:v>BR-MIG-003</x:v>
      </x:c>
      <x:c r="B261" s="11" t="str">
        <x:v>FR-MIG-003</x:v>
      </x:c>
      <x:c r="C261" s="11" t="str">
        <x:v>P0</x:v>
      </x:c>
      <x:c r="D261" s="11" t="str">
        <x:v>R1</x:v>
      </x:c>
      <x:c r="E261" s="11" t="str">
        <x:v>C06</x:v>
      </x:c>
      <x:c r="F261" s="11" t="str">
        <x:v>TC-MIG-003-01 / -02</x:v>
      </x:c>
      <x:c r="G261" s="11" t="str">
        <x:v>Semantic reconciliation</x:v>
      </x:c>
    </x:row>
    <x:row r="262" ht="42" customHeight="1">
      <x:c r="A262" s="11" t="str">
        <x:v>BR-MIG-004</x:v>
      </x:c>
      <x:c r="B262" s="11" t="str">
        <x:v>FR-MIG-004</x:v>
      </x:c>
      <x:c r="C262" s="11" t="str">
        <x:v>P0</x:v>
      </x:c>
      <x:c r="D262" s="11" t="str">
        <x:v>R1</x:v>
      </x:c>
      <x:c r="E262" s="11" t="str">
        <x:v>C06</x:v>
      </x:c>
      <x:c r="F262" s="11" t="str">
        <x:v>TC-MIG-004-01 / -02</x:v>
      </x:c>
      <x:c r="G262" s="11" t="str">
        <x:v>Historical provenance</x:v>
      </x:c>
    </x:row>
    <x:row r="263" ht="42" customHeight="1">
      <x:c r="A263" s="11" t="str">
        <x:v>BR-MIG-005</x:v>
      </x:c>
      <x:c r="B263" s="11" t="str">
        <x:v>FR-MIG-005</x:v>
      </x:c>
      <x:c r="C263" s="11" t="str">
        <x:v>P0</x:v>
      </x:c>
      <x:c r="D263" s="11" t="str">
        <x:v>R1</x:v>
      </x:c>
      <x:c r="E263" s="11" t="str">
        <x:v>C06</x:v>
      </x:c>
      <x:c r="F263" s="11" t="str">
        <x:v>TC-MIG-005-01 / -02</x:v>
      </x:c>
      <x:c r="G263" s="11" t="str">
        <x:v>Cutover and rollback</x:v>
      </x:c>
    </x:row>
    <x:row r="264" ht="42" customHeight="1">
      <x:c r="A264" s="11" t="str">
        <x:v>BR-MIG-006</x:v>
      </x:c>
      <x:c r="B264" s="11" t="str">
        <x:v>FR-MIG-006</x:v>
      </x:c>
      <x:c r="C264" s="11" t="str">
        <x:v>P1</x:v>
      </x:c>
      <x:c r="D264" s="11" t="str">
        <x:v>R1</x:v>
      </x:c>
      <x:c r="E264" s="11" t="str">
        <x:v>C06</x:v>
      </x:c>
      <x:c r="F264" s="11" t="str">
        <x:v>TC-MIG-006-01 / -02</x:v>
      </x:c>
      <x:c r="G264" s="11" t="str">
        <x:v>User enablement</x:v>
      </x:c>
    </x:row>
    <x:row r="265" ht="42" customHeight="1">
      <x:c r="A265" s="11" t="str">
        <x:v>BR-MIG-007</x:v>
      </x:c>
      <x:c r="B265" s="11" t="str">
        <x:v>FR-MIG-007</x:v>
      </x:c>
      <x:c r="C265" s="11" t="str">
        <x:v>P0</x:v>
      </x:c>
      <x:c r="D265" s="11" t="str">
        <x:v>R1</x:v>
      </x:c>
      <x:c r="E265" s="11" t="str">
        <x:v>C06</x:v>
      </x:c>
      <x:c r="F265" s="11" t="str">
        <x:v>TC-MIG-007-01 / -02</x:v>
      </x:c>
      <x:c r="G265" s="11" t="str">
        <x:v>Full tenant export</x:v>
      </x:c>
    </x:row>
    <x:row r="266" ht="42" customHeight="1">
      <x:c r="A266" s="11" t="str">
        <x:v>BR-MIG-008</x:v>
      </x:c>
      <x:c r="B266" s="11" t="str">
        <x:v>FR-MIG-008</x:v>
      </x:c>
      <x:c r="C266" s="11" t="str">
        <x:v>P0</x:v>
      </x:c>
      <x:c r="D266" s="11" t="str">
        <x:v>R1</x:v>
      </x:c>
      <x:c r="E266" s="11" t="str">
        <x:v>C06</x:v>
      </x:c>
      <x:c r="F266" s="11" t="str">
        <x:v>TC-MIG-008-01 / -02</x:v>
      </x:c>
      <x:c r="G266" s="11" t="str">
        <x:v>Closure and deletion evidence</x:v>
      </x:c>
    </x:row>
    <x:row r="267" ht="42" customHeight="1">
      <x:c r="A267" s="11" t="str">
        <x:v>BR-UX-001</x:v>
      </x:c>
      <x:c r="B267" s="11" t="str">
        <x:v>FR-UX-001</x:v>
      </x:c>
      <x:c r="C267" s="11" t="str">
        <x:v>P0</x:v>
      </x:c>
      <x:c r="D267" s="11" t="str">
        <x:v>R1</x:v>
      </x:c>
      <x:c r="E267" s="11" t="str">
        <x:v>C15</x:v>
      </x:c>
      <x:c r="F267" s="11" t="str">
        <x:v>TC-UX-001-01 / -02</x:v>
      </x:c>
      <x:c r="G267" s="11" t="str">
        <x:v>Role relevant workspaces</x:v>
      </x:c>
    </x:row>
    <x:row r="268" ht="42" customHeight="1">
      <x:c r="A268" s="11" t="str">
        <x:v>BR-UX-002</x:v>
      </x:c>
      <x:c r="B268" s="11" t="str">
        <x:v>FR-UX-002</x:v>
      </x:c>
      <x:c r="C268" s="11" t="str">
        <x:v>P1</x:v>
      </x:c>
      <x:c r="D268" s="11" t="str">
        <x:v>R1</x:v>
      </x:c>
      <x:c r="E268" s="11" t="str">
        <x:v>C15</x:v>
      </x:c>
      <x:c r="F268" s="11" t="str">
        <x:v>TC-UX-002-01 / -02</x:v>
      </x:c>
      <x:c r="G268" s="11" t="str">
        <x:v>Progressive configuration</x:v>
      </x:c>
    </x:row>
    <x:row r="269" ht="42" customHeight="1">
      <x:c r="A269" s="11" t="str">
        <x:v>BR-UX-003</x:v>
      </x:c>
      <x:c r="B269" s="11" t="str">
        <x:v>FR-UX-003</x:v>
      </x:c>
      <x:c r="C269" s="11" t="str">
        <x:v>P0</x:v>
      </x:c>
      <x:c r="D269" s="11" t="str">
        <x:v>R1</x:v>
      </x:c>
      <x:c r="E269" s="11" t="str">
        <x:v>C15</x:v>
      </x:c>
      <x:c r="F269" s="11" t="str">
        <x:v>TC-UX-003-01 / -02</x:v>
      </x:c>
      <x:c r="G269" s="11" t="str">
        <x:v>Error recovery and work preservation</x:v>
      </x:c>
    </x:row>
    <x:row r="270" ht="42" customHeight="1">
      <x:c r="A270" s="11" t="str">
        <x:v>BR-UX-004</x:v>
      </x:c>
      <x:c r="B270" s="11" t="str">
        <x:v>FR-UX-004</x:v>
      </x:c>
      <x:c r="C270" s="11" t="str">
        <x:v>P0</x:v>
      </x:c>
      <x:c r="D270" s="11" t="str">
        <x:v>R1</x:v>
      </x:c>
      <x:c r="E270" s="11" t="str">
        <x:v>C15</x:v>
      </x:c>
      <x:c r="F270" s="11" t="str">
        <x:v>TC-UX-004-01 / -02</x:v>
      </x:c>
      <x:c r="G270" s="11" t="str">
        <x:v>Accessible interaction</x:v>
      </x:c>
    </x:row>
    <x:row r="271" ht="42" customHeight="1">
      <x:c r="A271" s="11" t="str">
        <x:v>BR-UX-005</x:v>
      </x:c>
      <x:c r="B271" s="11" t="str">
        <x:v>FR-UX-005</x:v>
      </x:c>
      <x:c r="C271" s="11" t="str">
        <x:v>P0</x:v>
      </x:c>
      <x:c r="D271" s="11" t="str">
        <x:v>R1</x:v>
      </x:c>
      <x:c r="E271" s="11" t="str">
        <x:v>C15</x:v>
      </x:c>
      <x:c r="F271" s="11" t="str">
        <x:v>TC-UX-005-01 / -02</x:v>
      </x:c>
      <x:c r="G271" s="11" t="str">
        <x:v>Responsive operation</x:v>
      </x:c>
    </x:row>
    <x:row r="272" ht="42" customHeight="1">
      <x:c r="A272" s="11" t="str">
        <x:v>BR-UX-006</x:v>
      </x:c>
      <x:c r="B272" s="11" t="str">
        <x:v>FR-UX-006</x:v>
      </x:c>
      <x:c r="C272" s="11" t="str">
        <x:v>P1</x:v>
      </x:c>
      <x:c r="D272" s="11" t="str">
        <x:v>R1</x:v>
      </x:c>
      <x:c r="E272" s="11" t="str">
        <x:v>C15</x:v>
      </x:c>
      <x:c r="F272" s="11" t="str">
        <x:v>TC-UX-006-01 / -02</x:v>
      </x:c>
      <x:c r="G272" s="11" t="str">
        <x:v>Language and locale</x:v>
      </x:c>
    </x:row>
    <x:row r="273" ht="42" customHeight="1">
      <x:c r="A273" s="11" t="str">
        <x:v>BR-UX-007</x:v>
      </x:c>
      <x:c r="B273" s="11" t="str">
        <x:v>FR-UX-007</x:v>
      </x:c>
      <x:c r="C273" s="11" t="str">
        <x:v>P1</x:v>
      </x:c>
      <x:c r="D273" s="11" t="str">
        <x:v>R2</x:v>
      </x:c>
      <x:c r="E273" s="11" t="str">
        <x:v>C15</x:v>
      </x:c>
      <x:c r="F273" s="11" t="str">
        <x:v>TC-UX-007-01 / -02</x:v>
      </x:c>
      <x:c r="G273" s="11" t="str">
        <x:v>Expanded localisation</x:v>
      </x:c>
    </x:row>
    <x:row r="274" ht="42" customHeight="1">
      <x:c r="A274" s="11" t="str">
        <x:v>BR-UX-008</x:v>
      </x:c>
      <x:c r="B274" s="11" t="str">
        <x:v>FR-UX-008</x:v>
      </x:c>
      <x:c r="C274" s="11" t="str">
        <x:v>P1</x:v>
      </x:c>
      <x:c r="D274" s="11" t="str">
        <x:v>R1</x:v>
      </x:c>
      <x:c r="E274" s="11" t="str">
        <x:v>C15</x:v>
      </x:c>
      <x:c r="F274" s="11" t="str">
        <x:v>TC-UX-008-01 / -02</x:v>
      </x:c>
      <x:c r="G274" s="11" t="str">
        <x:v>Discoverability and help</x:v>
      </x:c>
    </x:row>
    <x:row r="275" ht="42" customHeight="1">
      <x:c r="A275" s="11" t="str">
        <x:v>BR-UX-009</x:v>
      </x:c>
      <x:c r="B275" s="11" t="str">
        <x:v>FR-UX-009</x:v>
      </x:c>
      <x:c r="C275" s="11" t="str">
        <x:v>P0</x:v>
      </x:c>
      <x:c r="D275" s="11" t="str">
        <x:v>R1</x:v>
      </x:c>
      <x:c r="E275" s="11" t="str">
        <x:v>C15</x:v>
      </x:c>
      <x:c r="F275" s="11" t="str">
        <x:v>TC-UX-009-01 / -02</x:v>
      </x:c>
      <x:c r="G275" s="11" t="str">
        <x:v>Status and trust cues</x:v>
      </x:c>
    </x:row>
    <x:row r="276" ht="42" customHeight="1">
      <x:c r="A276" s="11" t="str">
        <x:v>BR-UX-010</x:v>
      </x:c>
      <x:c r="B276" s="11" t="str">
        <x:v>FR-UX-010</x:v>
      </x:c>
      <x:c r="C276" s="11" t="str">
        <x:v>P1</x:v>
      </x:c>
      <x:c r="D276" s="11" t="str">
        <x:v>R1</x:v>
      </x:c>
      <x:c r="E276" s="11" t="str">
        <x:v>C15</x:v>
      </x:c>
      <x:c r="F276" s="11" t="str">
        <x:v>TC-UX-010-01 / -02</x:v>
      </x:c>
      <x:c r="G276" s="11" t="str">
        <x:v>Usability evidence</x:v>
      </x:c>
    </x:row>
    <x:row r="277" ht="42" customHeight="1">
      <x:c r="A277" s="11" t="str">
        <x:v>NFR-PER-001</x:v>
      </x:c>
      <x:c r="B277" s="11" t="str">
        <x:v>VF-PER-001</x:v>
      </x:c>
      <x:c r="C277" s="11" t="str">
        <x:v>P0</x:v>
      </x:c>
      <x:c r="D277" s="11" t="str">
        <x:v>R1</x:v>
      </x:c>
      <x:c r="E277" s="11" t="str">
        <x:v>Cross-cutting</x:v>
      </x:c>
      <x:c r="F277" s="11" t="str">
        <x:v>TC-VF-PER-001</x:v>
      </x:c>
      <x:c r="G277" s="11" t="str">
        <x:v>Interactive response</x:v>
      </x:c>
    </x:row>
    <x:row r="278" ht="42" customHeight="1">
      <x:c r="A278" s="11" t="str">
        <x:v>NFR-PER-002</x:v>
      </x:c>
      <x:c r="B278" s="11" t="str">
        <x:v>VF-PER-002</x:v>
      </x:c>
      <x:c r="C278" s="11" t="str">
        <x:v>P1</x:v>
      </x:c>
      <x:c r="D278" s="11" t="str">
        <x:v>R1</x:v>
      </x:c>
      <x:c r="E278" s="11" t="str">
        <x:v>Cross-cutting</x:v>
      </x:c>
      <x:c r="F278" s="11" t="str">
        <x:v>TC-VF-PER-002</x:v>
      </x:c>
      <x:c r="G278" s="11" t="str">
        <x:v>Dashboard response</x:v>
      </x:c>
    </x:row>
    <x:row r="279" ht="42" customHeight="1">
      <x:c r="A279" s="11" t="str">
        <x:v>NFR-PER-003</x:v>
      </x:c>
      <x:c r="B279" s="11" t="str">
        <x:v>VF-PER-003</x:v>
      </x:c>
      <x:c r="C279" s="11" t="str">
        <x:v>P1</x:v>
      </x:c>
      <x:c r="D279" s="11" t="str">
        <x:v>R1</x:v>
      </x:c>
      <x:c r="E279" s="11" t="str">
        <x:v>Cross-cutting</x:v>
      </x:c>
      <x:c r="F279" s="11" t="str">
        <x:v>TC-VF-PER-003</x:v>
      </x:c>
      <x:c r="G279" s="11" t="str">
        <x:v>Search response</x:v>
      </x:c>
    </x:row>
    <x:row r="280" ht="42" customHeight="1">
      <x:c r="A280" s="11" t="str">
        <x:v>NFR-PER-004</x:v>
      </x:c>
      <x:c r="B280" s="11" t="str">
        <x:v>VF-PER-004</x:v>
      </x:c>
      <x:c r="C280" s="11" t="str">
        <x:v>P1</x:v>
      </x:c>
      <x:c r="D280" s="11" t="str">
        <x:v>R1</x:v>
      </x:c>
      <x:c r="E280" s="11" t="str">
        <x:v>Cross-cutting</x:v>
      </x:c>
      <x:c r="F280" s="11" t="str">
        <x:v>TC-VF-PER-004</x:v>
      </x:c>
      <x:c r="G280" s="11" t="str">
        <x:v>Import and recalculation throughput</x:v>
      </x:c>
    </x:row>
    <x:row r="281" ht="42" customHeight="1">
      <x:c r="A281" s="11" t="str">
        <x:v>NFR-PER-005</x:v>
      </x:c>
      <x:c r="B281" s="11" t="str">
        <x:v>VF-PER-005</x:v>
      </x:c>
      <x:c r="C281" s="11" t="str">
        <x:v>P1</x:v>
      </x:c>
      <x:c r="D281" s="11" t="str">
        <x:v>R1</x:v>
      </x:c>
      <x:c r="E281" s="11" t="str">
        <x:v>Cross-cutting</x:v>
      </x:c>
      <x:c r="F281" s="11" t="str">
        <x:v>TC-VF-PER-005</x:v>
      </x:c>
      <x:c r="G281" s="11" t="str">
        <x:v>Export and report generation</x:v>
      </x:c>
    </x:row>
    <x:row r="282" ht="42" customHeight="1">
      <x:c r="A282" s="11" t="str">
        <x:v>NFR-PER-006</x:v>
      </x:c>
      <x:c r="B282" s="11" t="str">
        <x:v>VF-PER-006</x:v>
      </x:c>
      <x:c r="C282" s="11" t="str">
        <x:v>P0</x:v>
      </x:c>
      <x:c r="D282" s="11" t="str">
        <x:v>R1</x:v>
      </x:c>
      <x:c r="E282" s="11" t="str">
        <x:v>Cross-cutting</x:v>
      </x:c>
      <x:c r="F282" s="11" t="str">
        <x:v>TC-VF-PER-006</x:v>
      </x:c>
      <x:c r="G282" s="11" t="str">
        <x:v>Data freshness</x:v>
      </x:c>
    </x:row>
    <x:row r="283" ht="42" customHeight="1">
      <x:c r="A283" s="11" t="str">
        <x:v>NFR-PER-007</x:v>
      </x:c>
      <x:c r="B283" s="11" t="str">
        <x:v>VF-PER-007</x:v>
      </x:c>
      <x:c r="C283" s="11" t="str">
        <x:v>P1</x:v>
      </x:c>
      <x:c r="D283" s="11" t="str">
        <x:v>R1</x:v>
      </x:c>
      <x:c r="E283" s="11" t="str">
        <x:v>Cross-cutting</x:v>
      </x:c>
      <x:c r="F283" s="11" t="str">
        <x:v>TC-VF-PER-007</x:v>
      </x:c>
      <x:c r="G283" s="11" t="str">
        <x:v>AI responsiveness</x:v>
      </x:c>
    </x:row>
    <x:row r="284" ht="42" customHeight="1">
      <x:c r="A284" s="11" t="str">
        <x:v>NFR-CAP-001</x:v>
      </x:c>
      <x:c r="B284" s="11" t="str">
        <x:v>VF-CAP-001</x:v>
      </x:c>
      <x:c r="C284" s="11" t="str">
        <x:v>P1</x:v>
      </x:c>
      <x:c r="D284" s="11" t="str">
        <x:v>R1</x:v>
      </x:c>
      <x:c r="E284" s="11" t="str">
        <x:v>Cross-cutting</x:v>
      </x:c>
      <x:c r="F284" s="11" t="str">
        <x:v>TC-VF-CAP-001</x:v>
      </x:c>
      <x:c r="G284" s="11" t="str">
        <x:v>Supported object limits</x:v>
      </x:c>
    </x:row>
    <x:row r="285" ht="42" customHeight="1">
      <x:c r="A285" s="11" t="str">
        <x:v>NFR-CAP-002</x:v>
      </x:c>
      <x:c r="B285" s="11" t="str">
        <x:v>VF-CAP-002</x:v>
      </x:c>
      <x:c r="C285" s="11" t="str">
        <x:v>P0</x:v>
      </x:c>
      <x:c r="D285" s="11" t="str">
        <x:v>R1</x:v>
      </x:c>
      <x:c r="E285" s="11" t="str">
        <x:v>Cross-cutting</x:v>
      </x:c>
      <x:c r="F285" s="11" t="str">
        <x:v>TC-VF-CAP-002</x:v>
      </x:c>
      <x:c r="G285" s="11" t="str">
        <x:v>Scaling and workload isolation</x:v>
      </x:c>
    </x:row>
    <x:row r="286" ht="42" customHeight="1">
      <x:c r="A286" s="11" t="str">
        <x:v>NFR-AVL-001</x:v>
      </x:c>
      <x:c r="B286" s="11" t="str">
        <x:v>VF-AVL-001</x:v>
      </x:c>
      <x:c r="C286" s="11" t="str">
        <x:v>P0</x:v>
      </x:c>
      <x:c r="D286" s="11" t="str">
        <x:v>R1</x:v>
      </x:c>
      <x:c r="E286" s="11" t="str">
        <x:v>Cross-cutting</x:v>
      </x:c>
      <x:c r="F286" s="11" t="str">
        <x:v>TC-VF-AVL-001</x:v>
      </x:c>
      <x:c r="G286" s="11" t="str">
        <x:v>Core availability</x:v>
      </x:c>
    </x:row>
    <x:row r="287" ht="42" customHeight="1">
      <x:c r="A287" s="11" t="str">
        <x:v>NFR-AVL-002</x:v>
      </x:c>
      <x:c r="B287" s="11" t="str">
        <x:v>VF-AVL-002</x:v>
      </x:c>
      <x:c r="C287" s="11" t="str">
        <x:v>P0</x:v>
      </x:c>
      <x:c r="D287" s="11" t="str">
        <x:v>R1</x:v>
      </x:c>
      <x:c r="E287" s="11" t="str">
        <x:v>Cross-cutting</x:v>
      </x:c>
      <x:c r="F287" s="11" t="str">
        <x:v>TC-VF-AVL-002</x:v>
      </x:c>
      <x:c r="G287" s="11" t="str">
        <x:v>Dependency degradation</x:v>
      </x:c>
    </x:row>
    <x:row r="288" ht="42" customHeight="1">
      <x:c r="A288" s="11" t="str">
        <x:v>NFR-DR-001</x:v>
      </x:c>
      <x:c r="B288" s="11" t="str">
        <x:v>VF-DR-001</x:v>
      </x:c>
      <x:c r="C288" s="11" t="str">
        <x:v>P0</x:v>
      </x:c>
      <x:c r="D288" s="11" t="str">
        <x:v>R1</x:v>
      </x:c>
      <x:c r="E288" s="11" t="str">
        <x:v>Cross-cutting</x:v>
      </x:c>
      <x:c r="F288" s="11" t="str">
        <x:v>TC-VF-DR-001</x:v>
      </x:c>
      <x:c r="G288" s="11" t="str">
        <x:v>Disaster recovery</x:v>
      </x:c>
    </x:row>
    <x:row r="289" ht="42" customHeight="1">
      <x:c r="A289" s="11" t="str">
        <x:v>NFR-DR-002</x:v>
      </x:c>
      <x:c r="B289" s="11" t="str">
        <x:v>VF-DR-002</x:v>
      </x:c>
      <x:c r="C289" s="11" t="str">
        <x:v>P0</x:v>
      </x:c>
      <x:c r="D289" s="11" t="str">
        <x:v>R1</x:v>
      </x:c>
      <x:c r="E289" s="11" t="str">
        <x:v>Cross-cutting</x:v>
      </x:c>
      <x:c r="F289" s="11" t="str">
        <x:v>TC-VF-DR-002</x:v>
      </x:c>
      <x:c r="G289" s="11" t="str">
        <x:v>Ordinary failure durability</x:v>
      </x:c>
    </x:row>
    <x:row r="290" ht="42" customHeight="1">
      <x:c r="A290" s="11" t="str">
        <x:v>NFR-DR-003</x:v>
      </x:c>
      <x:c r="B290" s="11" t="str">
        <x:v>VF-DR-003</x:v>
      </x:c>
      <x:c r="C290" s="11" t="str">
        <x:v>P0</x:v>
      </x:c>
      <x:c r="D290" s="11" t="str">
        <x:v>R1</x:v>
      </x:c>
      <x:c r="E290" s="11" t="str">
        <x:v>Cross-cutting</x:v>
      </x:c>
      <x:c r="F290" s="11" t="str">
        <x:v>TC-VF-DR-003</x:v>
      </x:c>
      <x:c r="G290" s="11" t="str">
        <x:v>Recovery testing and backups</x:v>
      </x:c>
    </x:row>
    <x:row r="291" ht="42" customHeight="1">
      <x:c r="A291" s="11" t="str">
        <x:v>NFR-DIN-001</x:v>
      </x:c>
      <x:c r="B291" s="11" t="str">
        <x:v>VF-DIN-001</x:v>
      </x:c>
      <x:c r="C291" s="11" t="str">
        <x:v>P0</x:v>
      </x:c>
      <x:c r="D291" s="11" t="str">
        <x:v>R1</x:v>
      </x:c>
      <x:c r="E291" s="11" t="str">
        <x:v>Cross-cutting</x:v>
      </x:c>
      <x:c r="F291" s="11" t="str">
        <x:v>TC-VF-DIN-001</x:v>
      </x:c>
      <x:c r="G291" s="11" t="str">
        <x:v>Calculation correctness</x:v>
      </x:c>
    </x:row>
    <x:row r="292" ht="42" customHeight="1">
      <x:c r="A292" s="11" t="str">
        <x:v>NFR-DIN-002</x:v>
      </x:c>
      <x:c r="B292" s="11" t="str">
        <x:v>VF-DIN-002</x:v>
      </x:c>
      <x:c r="C292" s="11" t="str">
        <x:v>P0</x:v>
      </x:c>
      <x:c r="D292" s="11" t="str">
        <x:v>R1</x:v>
      </x:c>
      <x:c r="E292" s="11" t="str">
        <x:v>Cross-cutting</x:v>
      </x:c>
      <x:c r="F292" s="11" t="str">
        <x:v>TC-VF-DIN-002</x:v>
      </x:c>
      <x:c r="G292" s="11" t="str">
        <x:v>Concurrent change integrity</x:v>
      </x:c>
    </x:row>
    <x:row r="293" ht="42" customHeight="1">
      <x:c r="A293" s="11" t="str">
        <x:v>NFR-IAM-001</x:v>
      </x:c>
      <x:c r="B293" s="11" t="str">
        <x:v>VF-IAM-001</x:v>
      </x:c>
      <x:c r="C293" s="11" t="str">
        <x:v>P0</x:v>
      </x:c>
      <x:c r="D293" s="11" t="str">
        <x:v>R1</x:v>
      </x:c>
      <x:c r="E293" s="11" t="str">
        <x:v>C01</x:v>
      </x:c>
      <x:c r="F293" s="11" t="str">
        <x:v>TC-VF-IAM-001</x:v>
      </x:c>
      <x:c r="G293" s="11" t="str">
        <x:v>Revocation time</x:v>
      </x:c>
    </x:row>
    <x:row r="294" ht="42" customHeight="1">
      <x:c r="A294" s="11" t="str">
        <x:v>NFR-OFF-001</x:v>
      </x:c>
      <x:c r="B294" s="11" t="str">
        <x:v>VF-OFF-001</x:v>
      </x:c>
      <x:c r="C294" s="11" t="str">
        <x:v>P0</x:v>
      </x:c>
      <x:c r="D294" s="11" t="str">
        <x:v>R1</x:v>
      </x:c>
      <x:c r="E294" s="11" t="str">
        <x:v>C05</x:v>
      </x:c>
      <x:c r="F294" s="11" t="str">
        <x:v>TC-VF-OFF-001</x:v>
      </x:c>
      <x:c r="G294" s="11" t="str">
        <x:v>Offline authority window</x:v>
      </x:c>
    </x:row>
    <x:row r="295" ht="42" customHeight="1">
      <x:c r="A295" s="11" t="str">
        <x:v>NFR-SEC-001</x:v>
      </x:c>
      <x:c r="B295" s="11" t="str">
        <x:v>VF-SEC-001</x:v>
      </x:c>
      <x:c r="C295" s="11" t="str">
        <x:v>P0</x:v>
      </x:c>
      <x:c r="D295" s="11" t="str">
        <x:v>R1</x:v>
      </x:c>
      <x:c r="E295" s="11" t="str">
        <x:v>C02</x:v>
      </x:c>
      <x:c r="F295" s="11" t="str">
        <x:v>TC-VF-SEC-001</x:v>
      </x:c>
      <x:c r="G295" s="11" t="str">
        <x:v>Release security threshold</x:v>
      </x:c>
    </x:row>
    <x:row r="296" ht="42" customHeight="1">
      <x:c r="A296" s="11" t="str">
        <x:v>NFR-SEC-002</x:v>
      </x:c>
      <x:c r="B296" s="11" t="str">
        <x:v>VF-SEC-002</x:v>
      </x:c>
      <x:c r="C296" s="11" t="str">
        <x:v>P0</x:v>
      </x:c>
      <x:c r="D296" s="11" t="str">
        <x:v>R1</x:v>
      </x:c>
      <x:c r="E296" s="11" t="str">
        <x:v>C02</x:v>
      </x:c>
      <x:c r="F296" s="11" t="str">
        <x:v>TC-VF-SEC-002</x:v>
      </x:c>
      <x:c r="G296" s="11" t="str">
        <x:v>Incident and remediation timing</x:v>
      </x:c>
    </x:row>
    <x:row r="297" ht="42" customHeight="1">
      <x:c r="A297" s="11" t="str">
        <x:v>NFR-AUD-001</x:v>
      </x:c>
      <x:c r="B297" s="11" t="str">
        <x:v>VF-AUD-001</x:v>
      </x:c>
      <x:c r="C297" s="11" t="str">
        <x:v>P0</x:v>
      </x:c>
      <x:c r="D297" s="11" t="str">
        <x:v>R1</x:v>
      </x:c>
      <x:c r="E297" s="11" t="str">
        <x:v>Cross-cutting</x:v>
      </x:c>
      <x:c r="F297" s="11" t="str">
        <x:v>TC-VF-AUD-001</x:v>
      </x:c>
      <x:c r="G297" s="11" t="str">
        <x:v>Audit coverage and retention</x:v>
      </x:c>
    </x:row>
    <x:row r="298" ht="42" customHeight="1">
      <x:c r="A298" s="11" t="str">
        <x:v>NFR-PRV-001</x:v>
      </x:c>
      <x:c r="B298" s="11" t="str">
        <x:v>VF-PRV-001</x:v>
      </x:c>
      <x:c r="C298" s="11" t="str">
        <x:v>P0</x:v>
      </x:c>
      <x:c r="D298" s="11" t="str">
        <x:v>R1</x:v>
      </x:c>
      <x:c r="E298" s="11" t="str">
        <x:v>C13</x:v>
      </x:c>
      <x:c r="F298" s="11" t="str">
        <x:v>TC-VF-PRV-001</x:v>
      </x:c>
      <x:c r="G298" s="11" t="str">
        <x:v>Deletion propagation</x:v>
      </x:c>
    </x:row>
    <x:row r="299" ht="42" customHeight="1">
      <x:c r="A299" s="11" t="str">
        <x:v>NFR-PRV-002</x:v>
      </x:c>
      <x:c r="B299" s="11" t="str">
        <x:v>VF-PRV-002</x:v>
      </x:c>
      <x:c r="C299" s="11" t="str">
        <x:v>P0</x:v>
      </x:c>
      <x:c r="D299" s="11" t="str">
        <x:v>R1</x:v>
      </x:c>
      <x:c r="E299" s="11" t="str">
        <x:v>C13</x:v>
      </x:c>
      <x:c r="F299" s="11" t="str">
        <x:v>TC-VF-PRV-002</x:v>
      </x:c>
      <x:c r="G299" s="11" t="str">
        <x:v>Retention defaults and proof</x:v>
      </x:c>
    </x:row>
    <x:row r="300" ht="42" customHeight="1">
      <x:c r="A300" s="11" t="str">
        <x:v>NFR-AIQ-001</x:v>
      </x:c>
      <x:c r="B300" s="11" t="str">
        <x:v>VF-AIQ-001</x:v>
      </x:c>
      <x:c r="C300" s="11" t="str">
        <x:v>P0</x:v>
      </x:c>
      <x:c r="D300" s="11" t="str">
        <x:v>R1</x:v>
      </x:c>
      <x:c r="E300" s="11" t="str">
        <x:v>Cross-cutting</x:v>
      </x:c>
      <x:c r="F300" s="11" t="str">
        <x:v>TC-VF-AIQ-001</x:v>
      </x:c>
      <x:c r="G300" s="11" t="str">
        <x:v>Evaluation set quality</x:v>
      </x:c>
    </x:row>
    <x:row r="301" ht="42" customHeight="1">
      <x:c r="A301" s="11" t="str">
        <x:v>NFR-AIQ-002</x:v>
      </x:c>
      <x:c r="B301" s="11" t="str">
        <x:v>VF-AIQ-002</x:v>
      </x:c>
      <x:c r="C301" s="11" t="str">
        <x:v>P0</x:v>
      </x:c>
      <x:c r="D301" s="11" t="str">
        <x:v>R1</x:v>
      </x:c>
      <x:c r="E301" s="11" t="str">
        <x:v>Cross-cutting</x:v>
      </x:c>
      <x:c r="F301" s="11" t="str">
        <x:v>TC-VF-AIQ-002</x:v>
      </x:c>
      <x:c r="G301" s="11" t="str">
        <x:v>Evidence and numeric accuracy</x:v>
      </x:c>
    </x:row>
    <x:row r="302" ht="42" customHeight="1">
      <x:c r="A302" s="11" t="str">
        <x:v>NFR-AIQ-003</x:v>
      </x:c>
      <x:c r="B302" s="11" t="str">
        <x:v>VF-AIQ-003</x:v>
      </x:c>
      <x:c r="C302" s="11" t="str">
        <x:v>P1</x:v>
      </x:c>
      <x:c r="D302" s="11" t="str">
        <x:v>R1</x:v>
      </x:c>
      <x:c r="E302" s="11" t="str">
        <x:v>Cross-cutting</x:v>
      </x:c>
      <x:c r="F302" s="11" t="str">
        <x:v>TC-VF-AIQ-003</x:v>
      </x:c>
      <x:c r="G302" s="11" t="str">
        <x:v>Extraction and abstention</x:v>
      </x:c>
    </x:row>
    <x:row r="303" ht="42" customHeight="1">
      <x:c r="A303" s="11" t="str">
        <x:v>NFR-AIQ-004</x:v>
      </x:c>
      <x:c r="B303" s="11" t="str">
        <x:v>VF-AIQ-004</x:v>
      </x:c>
      <x:c r="C303" s="11" t="str">
        <x:v>P0</x:v>
      </x:c>
      <x:c r="D303" s="11" t="str">
        <x:v>R1</x:v>
      </x:c>
      <x:c r="E303" s="11" t="str">
        <x:v>Cross-cutting</x:v>
      </x:c>
      <x:c r="F303" s="11" t="str">
        <x:v>TC-VF-AIQ-004</x:v>
      </x:c>
      <x:c r="G303" s="11" t="str">
        <x:v>Leakage and action safety</x:v>
      </x:c>
    </x:row>
    <x:row r="304" ht="42" customHeight="1">
      <x:c r="A304" s="11" t="str">
        <x:v>NFR-AIQ-005</x:v>
      </x:c>
      <x:c r="B304" s="11" t="str">
        <x:v>VF-AIQ-005</x:v>
      </x:c>
      <x:c r="C304" s="11" t="str">
        <x:v>P0</x:v>
      </x:c>
      <x:c r="D304" s="11" t="str">
        <x:v>R1</x:v>
      </x:c>
      <x:c r="E304" s="11" t="str">
        <x:v>Cross-cutting</x:v>
      </x:c>
      <x:c r="F304" s="11" t="str">
        <x:v>TC-VF-AIQ-005</x:v>
      </x:c>
      <x:c r="G304" s="11" t="str">
        <x:v>Change monitoring and rollback</x:v>
      </x:c>
    </x:row>
    <x:row r="305" ht="42" customHeight="1">
      <x:c r="A305" s="11" t="str">
        <x:v>NFR-UX-001</x:v>
      </x:c>
      <x:c r="B305" s="11" t="str">
        <x:v>VF-UX-001</x:v>
      </x:c>
      <x:c r="C305" s="11" t="str">
        <x:v>P0</x:v>
      </x:c>
      <x:c r="D305" s="11" t="str">
        <x:v>R1</x:v>
      </x:c>
      <x:c r="E305" s="11" t="str">
        <x:v>C15</x:v>
      </x:c>
      <x:c r="F305" s="11" t="str">
        <x:v>TC-VF-UX-001</x:v>
      </x:c>
      <x:c r="G305" s="11" t="str">
        <x:v>Accessibility conformance</x:v>
      </x:c>
    </x:row>
    <x:row r="306" ht="42" customHeight="1">
      <x:c r="A306" s="11" t="str">
        <x:v>NFR-UX-002</x:v>
      </x:c>
      <x:c r="B306" s="11" t="str">
        <x:v>VF-UX-002</x:v>
      </x:c>
      <x:c r="C306" s="11" t="str">
        <x:v>P1</x:v>
      </x:c>
      <x:c r="D306" s="11" t="str">
        <x:v>R1</x:v>
      </x:c>
      <x:c r="E306" s="11" t="str">
        <x:v>C15</x:v>
      </x:c>
      <x:c r="F306" s="11" t="str">
        <x:v>TC-VF-UX-002</x:v>
      </x:c>
      <x:c r="G306" s="11" t="str">
        <x:v>Usability qualification</x:v>
      </x:c>
    </x:row>
    <x:row r="307" ht="42" customHeight="1">
      <x:c r="A307" s="11" t="str">
        <x:v>NFR-CMP-001</x:v>
      </x:c>
      <x:c r="B307" s="11" t="str">
        <x:v>VF-CMP-001</x:v>
      </x:c>
      <x:c r="C307" s="11" t="str">
        <x:v>P1</x:v>
      </x:c>
      <x:c r="D307" s="11" t="str">
        <x:v>R1</x:v>
      </x:c>
      <x:c r="E307" s="11" t="str">
        <x:v>Cross-cutting</x:v>
      </x:c>
      <x:c r="F307" s="11" t="str">
        <x:v>TC-VF-CMP-001</x:v>
      </x:c>
      <x:c r="G307" s="11" t="str">
        <x:v>Browser and device support</x:v>
      </x:c>
    </x:row>
    <x:row r="308" ht="42" customHeight="1">
      <x:c r="A308" s="11" t="str">
        <x:v>NFR-L10-001</x:v>
      </x:c>
      <x:c r="B308" s="11" t="str">
        <x:v>VF-L10-001</x:v>
      </x:c>
      <x:c r="C308" s="11" t="str">
        <x:v>P1</x:v>
      </x:c>
      <x:c r="D308" s="11" t="str">
        <x:v>R1</x:v>
      </x:c>
      <x:c r="E308" s="11" t="str">
        <x:v>Cross-cutting</x:v>
      </x:c>
      <x:c r="F308" s="11" t="str">
        <x:v>TC-VF-L10-001</x:v>
      </x:c>
      <x:c r="G308" s="11" t="str">
        <x:v>Localisation integrity</x:v>
      </x:c>
    </x:row>
    <x:row r="309" ht="42" customHeight="1">
      <x:c r="A309" s="11" t="str">
        <x:v>NFR-MNT-001</x:v>
      </x:c>
      <x:c r="B309" s="11" t="str">
        <x:v>VF-MNT-001</x:v>
      </x:c>
      <x:c r="C309" s="11" t="str">
        <x:v>P1</x:v>
      </x:c>
      <x:c r="D309" s="11" t="str">
        <x:v>R1</x:v>
      </x:c>
      <x:c r="E309" s="11" t="str">
        <x:v>Cross-cutting</x:v>
      </x:c>
      <x:c r="F309" s="11" t="str">
        <x:v>TC-VF-MNT-001</x:v>
      </x:c>
      <x:c r="G309" s="11" t="str">
        <x:v>Maintainable contracts</x:v>
      </x:c>
    </x:row>
    <x:row r="310" ht="42" customHeight="1">
      <x:c r="A310" s="11" t="str">
        <x:v>NFR-OBS-001</x:v>
      </x:c>
      <x:c r="B310" s="11" t="str">
        <x:v>VF-OBS-001</x:v>
      </x:c>
      <x:c r="C310" s="11" t="str">
        <x:v>P0</x:v>
      </x:c>
      <x:c r="D310" s="11" t="str">
        <x:v>R1</x:v>
      </x:c>
      <x:c r="E310" s="11" t="str">
        <x:v>Cross-cutting</x:v>
      </x:c>
      <x:c r="F310" s="11" t="str">
        <x:v>TC-VF-OBS-001</x:v>
      </x:c>
      <x:c r="G310" s="11" t="str">
        <x:v>Operational diagnosability</x:v>
      </x:c>
    </x:row>
    <x:row r="311" ht="42" customHeight="1">
      <x:c r="A311" s="11" t="str">
        <x:v>NFR-PRT-001</x:v>
      </x:c>
      <x:c r="B311" s="11" t="str">
        <x:v>VF-PRT-001</x:v>
      </x:c>
      <x:c r="C311" s="11" t="str">
        <x:v>P0</x:v>
      </x:c>
      <x:c r="D311" s="11" t="str">
        <x:v>R1</x:v>
      </x:c>
      <x:c r="E311" s="11" t="str">
        <x:v>Cross-cutting</x:v>
      </x:c>
      <x:c r="F311" s="11" t="str">
        <x:v>TC-VF-PRT-001</x:v>
      </x:c>
      <x:c r="G311" s="11" t="str">
        <x:v>Portability and exit quality</x:v>
      </x:c>
    </x:row>
    <x:row r="312" ht="42" customHeight="1">
      <x:c r="A312" s="11" t="str">
        <x:v>NFR-ECO-001</x:v>
      </x:c>
      <x:c r="B312" s="11" t="str">
        <x:v>VF-ECO-001</x:v>
      </x:c>
      <x:c r="C312" s="11" t="str">
        <x:v>P1</x:v>
      </x:c>
      <x:c r="D312" s="11" t="str">
        <x:v>R2</x:v>
      </x:c>
      <x:c r="E312" s="11" t="str">
        <x:v>Cross-cutting</x:v>
      </x:c>
      <x:c r="F312" s="11" t="str">
        <x:v>TC-VF-ECO-001</x:v>
      </x:c>
      <x:c r="G312" s="11" t="str">
        <x:v>Cost transparency and sustainability</x:v>
      </x:c>
    </x:row>
    <x:row r="313" ht="42" customHeight="1">
      <x:c r="A313" s="11" t="str">
        <x:v>NFR-SUP-001</x:v>
      </x:c>
      <x:c r="B313" s="11" t="str">
        <x:v>VF-SUP-001</x:v>
      </x:c>
      <x:c r="C313" s="11" t="str">
        <x:v>P0</x:v>
      </x:c>
      <x:c r="D313" s="11" t="str">
        <x:v>R1</x:v>
      </x:c>
      <x:c r="E313" s="11" t="str">
        <x:v>Cross-cutting</x:v>
      </x:c>
      <x:c r="F313" s="11" t="str">
        <x:v>TC-VF-SUP-001</x:v>
      </x:c>
      <x:c r="G313" s="11" t="str">
        <x:v>Support and service readiness</x:v>
      </x:c>
    </x:row>
  </x:sheetData>
  <x:pageMargins left="0.7" right="0.7" top="0.75" bottom="0.75" header="0.3" footer="0.3"/>
  <x:tableParts count="1">
    <x:tablePart xmlns:r="http://schemas.openxmlformats.org/officeDocument/2006/relationships" r:id="R06fda09459fd4a89"/>
  </x:tableParts>
</x:worksheet>
</file>

<file path=xl/worksheets/sheet11.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7" hidden="0" customWidth="1"/>
    <x:col min="2" max="2" width="28" hidden="0" customWidth="1"/>
    <x:col min="3" max="3" width="115" hidden="0" customWidth="1"/>
    <x:col min="4" max="4" width="30" hidden="0" customWidth="1"/>
    <x:col min="5" max="5" width="66" hidden="0" customWidth="1"/>
    <x:col min="6" max="6" width="65" hidden="0" customWidth="1"/>
  </x:cols>
  <x:sheetData>
    <x:row r="1" ht="12" customHeight="1">
      <x:c r="A1" s="1"/>
      <x:c r="B1" s="1"/>
      <x:c r="C1" s="1"/>
      <x:c r="D1" s="1"/>
      <x:c r="E1" s="1"/>
      <x:c r="F1" s="1"/>
    </x:row>
    <x:row r="2" ht="32" customHeight="1">
      <x:c r="A2" s="2" t="str">
        <x:v>Required fixture packs</x:v>
      </x:c>
      <x:c r="B2" s="1"/>
      <x:c r="C2" s="1"/>
      <x:c r="D2" s="1"/>
      <x:c r="E2" s="1"/>
      <x:c r="F2" s="1"/>
    </x:row>
    <x:row r="3">
      <x:c r="A3" s="1"/>
      <x:c r="B3" s="1"/>
      <x:c r="C3" s="1"/>
      <x:c r="D3" s="1"/>
      <x:c r="E3" s="1"/>
      <x:c r="F3" s="1"/>
    </x:row>
    <x:row r="4" ht="20" customHeight="1">
      <x:c r="A4" s="3" t="str">
        <x:v>10 records • Source FSD version 1.0 dated 24 September 2026</x:v>
      </x:c>
      <x:c r="B4" s="1"/>
      <x:c r="C4" s="1"/>
      <x:c r="D4" s="1"/>
      <x:c r="E4" s="1"/>
      <x:c r="F4" s="1"/>
    </x:row>
    <x:row r="5">
      <x:c r="A5" s="4"/>
      <x:c r="B5" s="4"/>
      <x:c r="C5" s="4"/>
      <x:c r="D5" s="4"/>
      <x:c r="E5" s="4"/>
      <x:c r="F5" s="4"/>
    </x:row>
    <x:row r="6" ht="34" customHeight="1">
      <x:c r="A6" s="9" t="str">
        <x:v>Fixture ID</x:v>
      </x:c>
      <x:c r="B6" s="9" t="str">
        <x:v>Fixture pack</x:v>
      </x:c>
      <x:c r="C6" s="9" t="str">
        <x:v>Required data</x:v>
      </x:c>
      <x:c r="D6" s="9" t="str">
        <x:v>Owner</x:v>
      </x:c>
      <x:c r="E6" s="9" t="str">
        <x:v>Control</x:v>
      </x:c>
      <x:c r="F6" s="9" t="str">
        <x:v>Expected use</x:v>
      </x:c>
    </x:row>
    <x:row r="7" ht="42" customHeight="1">
      <x:c r="A7" s="11" t="str">
        <x:v>FX01</x:v>
      </x:c>
      <x:c r="B7" s="11" t="str">
        <x:v>Tenants and principals</x:v>
      </x:c>
      <x:c r="C7" s="11" t="str">
        <x:v>A/B isolated tenant markers, author, reviewer, partner, privacy, admin, operator, revoked identity</x:v>
      </x:c>
      <x:c r="D7" s="11" t="str">
        <x:v>Security QA</x:v>
      </x:c>
      <x:c r="E7" s="11" t="str">
        <x:v>Synthetic only; credentials from environment</x:v>
      </x:c>
      <x:c r="F7" s="11" t="str">
        <x:v>No marker leaks across channels</x:v>
      </x:c>
    </x:row>
    <x:row r="8" ht="42" customHeight="1">
      <x:c r="A8" s="11" t="str">
        <x:v>FX02</x:v>
      </x:c>
      <x:c r="B8" s="11" t="str">
        <x:v>Natural identity aliases</x:v>
      </x:c>
      <x:c r="C8" s="11" t="str">
        <x:v>Author has two issuer/subject accounts mapped through verified identity reconciliation</x:v>
      </x:c>
      <x:c r="D8" s="11" t="str">
        <x:v>Identity QA</x:v>
      </x:c>
      <x:c r="E8" s="11" t="str">
        <x:v>Never join identities by matching email only</x:v>
      </x:c>
      <x:c r="F8" s="11" t="str">
        <x:v>Alias cannot self approve</x:v>
      </x:c>
    </x:row>
    <x:row r="9" ht="42" customHeight="1">
      <x:c r="A9" s="11" t="str">
        <x:v>FX03</x:v>
      </x:c>
      <x:c r="B9" s="11" t="str">
        <x:v>Golden mathematics</x:v>
      </x:c>
      <x:c r="C9" s="11" t="str">
        <x:v>CAL01–CAL20 full corpus; raw decimals; compatible and incompatible definitions</x:v>
      </x:c>
      <x:c r="D9" s="11" t="str">
        <x:v>Measurement lead</x:v>
      </x:c>
      <x:c r="E9" s="11" t="str">
        <x:v>Fixed independent expected values in FSD</x:v>
      </x:c>
      <x:c r="F9" s="11" t="str">
        <x:v>Zero unexplained official reconciliation difference</x:v>
      </x:c>
    </x:row>
    <x:row r="10" ht="42" customHeight="1">
      <x:c r="A10" s="11" t="str">
        <x:v>FX04</x:v>
      </x:c>
      <x:c r="B10" s="11" t="str">
        <x:v>Forms and devices</x:v>
      </x:c>
      <x:c r="C10" s="11" t="str">
        <x:v>200 questions,100 repeats,multilingual labels,25MB media,clock/reboot devices</x:v>
      </x:c>
      <x:c r="D10" s="11" t="str">
        <x:v>Mobile QA</x:v>
      </x:c>
      <x:c r="E10" s="11" t="str">
        <x:v>Android profiles qualified separately</x:v>
      </x:c>
      <x:c r="F10" s="11" t="str">
        <x:v>No duplicate sync or extended lease</x:v>
      </x:c>
    </x:row>
    <x:row r="11" ht="42" customHeight="1">
      <x:c r="A11" s="11" t="str">
        <x:v>FX05</x:v>
      </x:c>
      <x:c r="B11" s="11" t="str">
        <x:v>Imports and sources</x:v>
      </x:c>
      <x:c r="C11" s="11" t="str">
        <x:v>100k standard rows/30 fields,1M capacity,100MB files,keys,revisions,drift</x:v>
      </x:c>
      <x:c r="D11" s="11" t="str">
        <x:v>Data QA</x:v>
      </x:c>
      <x:c r="E11" s="11" t="str">
        <x:v>Deterministic files and checksums</x:v>
      </x:c>
      <x:c r="F11" s="11" t="str">
        <x:v>Complete row accounting</x:v>
      </x:c>
    </x:row>
    <x:row r="12" ht="42" customHeight="1">
      <x:c r="A12" s="11" t="str">
        <x:v>FX06</x:v>
      </x:c>
      <x:c r="B12" s="11" t="str">
        <x:v>Governed publication</x:v>
      </x:c>
      <x:c r="C12" s="11" t="str">
        <x:v>Draft/returned/approved candidates,locked snapshot,report,public cells 2/8/10</x:v>
      </x:c>
      <x:c r="D12" s="11" t="str">
        <x:v>Workflow QA</x:v>
      </x:c>
      <x:c r="E12" s="11" t="str">
        <x:v>Independent people and evidence manifests</x:v>
      </x:c>
      <x:c r="F12" s="11" t="str">
        <x:v>Immutable arithmetic and current privacy both preserved</x:v>
      </x:c>
    </x:row>
    <x:row r="13" ht="42" customHeight="1">
      <x:c r="A13" s="11" t="str">
        <x:v>FX07</x:v>
      </x:c>
      <x:c r="B13" s="11" t="str">
        <x:v>Privacy and restore</x:v>
      </x:c>
      <x:c r="C13" s="11" t="str">
        <x:v>Held item,executable deletion,old backup,index/cache/AI derivatives</x:v>
      </x:c>
      <x:c r="D13" s="11" t="str">
        <x:v>Privacy and SRE</x:v>
      </x:c>
      <x:c r="E13" s="11" t="str">
        <x:v>Restricted synthetic markers</x:v>
      </x:c>
      <x:c r="F13" s="11" t="str">
        <x:v>No resurrection after restore</x:v>
      </x:c>
    </x:row>
    <x:row r="14" ht="42" customHeight="1">
      <x:c r="A14" s="11" t="str">
        <x:v>FX08</x:v>
      </x:c>
      <x:c r="B14" s="11" t="str">
        <x:v>Capacity and resilience</x:v>
      </x:c>
      <x:c r="C14" s="11" t="str">
        <x:v>250 tenants,20 active,1000 users,100M total observations,20M largest tenant</x:v>
      </x:c>
      <x:c r="D14" s="11" t="str">
        <x:v>Performance QA</x:v>
      </x:c>
      <x:c r="E14" s="11" t="str">
        <x:v>Generated reproducible data; pinned region/config</x:v>
      </x:c>
      <x:c r="F14" s="11" t="str">
        <x:v>Per cohort targets; bounded queues</x:v>
      </x:c>
    </x:row>
    <x:row r="15" ht="42" customHeight="1">
      <x:c r="A15" s="11" t="str">
        <x:v>FX09</x:v>
      </x:c>
      <x:c r="B15" s="11" t="str">
        <x:v>AI qualification</x:v>
      </x:c>
      <x:c r="C15" s="11" t="str">
        <x:v>At least200 representative cases/use case where feasible;20% adversarial/boundary</x:v>
      </x:c>
      <x:c r="D15" s="11" t="str">
        <x:v>AI evaluation lead</x:v>
      </x:c>
      <x:c r="E15" s="11" t="str">
        <x:v>Held-out releases/languages; adjudicated human labels</x:v>
      </x:c>
      <x:c r="F15" s="11" t="str">
        <x:v>Citation,precision,recall,abstention and leakage gates</x:v>
      </x:c>
    </x:row>
    <x:row r="16" ht="42" customHeight="1">
      <x:c r="A16" s="11" t="str">
        <x:v>FX10</x:v>
      </x:c>
      <x:c r="B16" s="11" t="str">
        <x:v>API runner fixture</x:v>
      </x:c>
      <x:c r="C16" s="11" t="str">
        <x:v>Dedicated mutable programme,expired bound grant,author-owned workflow,approved result</x:v>
      </x:c>
      <x:c r="D16" s="11" t="str">
        <x:v>Engineering QA</x:v>
      </x:c>
      <x:c r="E16" s="11" t="str">
        <x:v>Replace every example ID; isolated staging; three mutation opt ins</x:v>
      </x:c>
      <x:c r="F16" s="11" t="str">
        <x:v>18 integration and12 readonly smoke cases executable</x:v>
      </x:c>
    </x:row>
  </x:sheetData>
  <x:pageMargins left="0.7" right="0.7" top="0.75" bottom="0.75" header="0.3" footer="0.3"/>
  <x:tableParts count="1">
    <x:tablePart xmlns:r="http://schemas.openxmlformats.org/officeDocument/2006/relationships" r:id="R9fc2957e189a4aa3"/>
  </x:tableParts>
</x:worksheet>
</file>